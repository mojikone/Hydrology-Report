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8.xml" ContentType="application/vnd.openxmlformats-officedocument.drawing+xml"/>
  <Override PartName="/xl/worksheets/sheet39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0.xml" ContentType="application/vnd.openxmlformats-officedocument.drawing+xml"/>
  <Override PartName="/xl/worksheets/sheet41.xml" ContentType="application/vnd.openxmlformats-officedocument.spreadsheetml.worksheet+xml"/>
  <Override PartName="/xl/drawings/drawing41.xml" ContentType="application/vnd.openxmlformats-officedocument.drawing+xml"/>
  <Override PartName="/xl/worksheets/sheet42.xml" ContentType="application/vnd.openxmlformats-officedocument.spreadsheetml.worksheet+xml"/>
  <Override PartName="/xl/drawings/drawing42.xml" ContentType="application/vnd.openxmlformats-officedocument.drawing+xml"/>
  <Override PartName="/xl/worksheets/sheet43.xml" ContentType="application/vnd.openxmlformats-officedocument.spreadsheetml.worksheet+xml"/>
  <Override PartName="/xl/drawings/drawing43.xml" ContentType="application/vnd.openxmlformats-officedocument.drawing+xml"/>
  <Override PartName="/xl/worksheets/sheet44.xml" ContentType="application/vnd.openxmlformats-officedocument.spreadsheetml.worksheet+xml"/>
  <Override PartName="/xl/drawings/drawing44.xml" ContentType="application/vnd.openxmlformats-officedocument.drawing+xml"/>
  <Override PartName="/xl/worksheets/sheet45.xml" ContentType="application/vnd.openxmlformats-officedocument.spreadsheetml.worksheet+xml"/>
  <Override PartName="/xl/drawings/drawing45.xml" ContentType="application/vnd.openxmlformats-officedocument.drawing+xml"/>
  <Override PartName="/xl/worksheets/sheet46.xml" ContentType="application/vnd.openxmlformats-officedocument.spreadsheetml.worksheet+xml"/>
  <Override PartName="/xl/drawings/drawing46.xml" ContentType="application/vnd.openxmlformats-officedocument.drawing+xml"/>
  <Override PartName="/xl/worksheets/sheet47.xml" ContentType="application/vnd.openxmlformats-officedocument.spreadsheetml.worksheet+xml"/>
  <Override PartName="/xl/drawings/drawing47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charts/chart45.xml" ContentType="application/vnd.openxmlformats-officedocument.drawingml.chart+xml"/>
  <Override PartName="/xl/charts/chart46.xml" ContentType="application/vnd.openxmlformats-officedocument.drawingml.chart+xml"/>
  <Override PartName="/xl/charts/chart47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4_FM309915AF" sheetId="1" state="visible" r:id="rId1"/>
    <sheet xmlns:r="http://schemas.openxmlformats.org/officeDocument/2006/relationships" name="5_FM415095AF" sheetId="2" state="visible" r:id="rId2"/>
    <sheet xmlns:r="http://schemas.openxmlformats.org/officeDocument/2006/relationships" name="6_FM517016AF" sheetId="3" state="visible" r:id="rId3"/>
    <sheet xmlns:r="http://schemas.openxmlformats.org/officeDocument/2006/relationships" name="7_FM612285BF" sheetId="4" state="visible" r:id="rId4"/>
    <sheet xmlns:r="http://schemas.openxmlformats.org/officeDocument/2006/relationships" name="12_FM201534AF" sheetId="5" state="visible" r:id="rId5"/>
    <sheet xmlns:r="http://schemas.openxmlformats.org/officeDocument/2006/relationships" name="13_FM405394AF" sheetId="6" state="visible" r:id="rId6"/>
    <sheet xmlns:r="http://schemas.openxmlformats.org/officeDocument/2006/relationships" name="14_FM505467AF" sheetId="7" state="visible" r:id="rId7"/>
    <sheet xmlns:r="http://schemas.openxmlformats.org/officeDocument/2006/relationships" name="15_FL609065AF" sheetId="8" state="visible" r:id="rId8"/>
    <sheet xmlns:r="http://schemas.openxmlformats.org/officeDocument/2006/relationships" name="20_FL194557BF" sheetId="9" state="visible" r:id="rId9"/>
    <sheet xmlns:r="http://schemas.openxmlformats.org/officeDocument/2006/relationships" name="21_FL397706AF" sheetId="10" state="visible" r:id="rId10"/>
    <sheet xmlns:r="http://schemas.openxmlformats.org/officeDocument/2006/relationships" name="22_FL593824AF" sheetId="11" state="visible" r:id="rId11"/>
    <sheet xmlns:r="http://schemas.openxmlformats.org/officeDocument/2006/relationships" name="26_FL182756AF" sheetId="12" state="visible" r:id="rId12"/>
    <sheet xmlns:r="http://schemas.openxmlformats.org/officeDocument/2006/relationships" name="27_FL385022AF" sheetId="13" state="visible" r:id="rId13"/>
    <sheet xmlns:r="http://schemas.openxmlformats.org/officeDocument/2006/relationships" name="28_FL481079AF" sheetId="14" state="visible" r:id="rId14"/>
    <sheet xmlns:r="http://schemas.openxmlformats.org/officeDocument/2006/relationships" name="29_FL580672AF" sheetId="15" state="visible" r:id="rId15"/>
    <sheet xmlns:r="http://schemas.openxmlformats.org/officeDocument/2006/relationships" name="30_FL585627AF" sheetId="16" state="visible" r:id="rId16"/>
    <sheet xmlns:r="http://schemas.openxmlformats.org/officeDocument/2006/relationships" name="31_FL681271CF" sheetId="17" state="visible" r:id="rId17"/>
    <sheet xmlns:r="http://schemas.openxmlformats.org/officeDocument/2006/relationships" name="32_FL788017AF" sheetId="18" state="visible" r:id="rId18"/>
    <sheet xmlns:r="http://schemas.openxmlformats.org/officeDocument/2006/relationships" name="38_FL275746AF" sheetId="19" state="visible" r:id="rId19"/>
    <sheet xmlns:r="http://schemas.openxmlformats.org/officeDocument/2006/relationships" name="39_FL672275AF" sheetId="20" state="visible" r:id="rId20"/>
    <sheet xmlns:r="http://schemas.openxmlformats.org/officeDocument/2006/relationships" name="40_FL669998AF" sheetId="21" state="visible" r:id="rId21"/>
    <sheet xmlns:r="http://schemas.openxmlformats.org/officeDocument/2006/relationships" name="41_FL771702AF" sheetId="22" state="visible" r:id="rId22"/>
    <sheet xmlns:r="http://schemas.openxmlformats.org/officeDocument/2006/relationships" name="42_FL974085AF" sheetId="23" state="visible" r:id="rId23"/>
    <sheet xmlns:r="http://schemas.openxmlformats.org/officeDocument/2006/relationships" name="47_FL364343AF" sheetId="24" state="visible" r:id="rId24"/>
    <sheet xmlns:r="http://schemas.openxmlformats.org/officeDocument/2006/relationships" name="48_FL455969AF" sheetId="25" state="visible" r:id="rId25"/>
    <sheet xmlns:r="http://schemas.openxmlformats.org/officeDocument/2006/relationships" name="49_FL762629AF" sheetId="26" state="visible" r:id="rId26"/>
    <sheet xmlns:r="http://schemas.openxmlformats.org/officeDocument/2006/relationships" name="50_FM865337AF" sheetId="27" state="visible" r:id="rId27"/>
    <sheet xmlns:r="http://schemas.openxmlformats.org/officeDocument/2006/relationships" name="54_FL157691BF" sheetId="28" state="visible" r:id="rId28"/>
    <sheet xmlns:r="http://schemas.openxmlformats.org/officeDocument/2006/relationships" name="55_FL358553BF" sheetId="29" state="visible" r:id="rId29"/>
    <sheet xmlns:r="http://schemas.openxmlformats.org/officeDocument/2006/relationships" name="56_FL655789AF" sheetId="30" state="visible" r:id="rId30"/>
    <sheet xmlns:r="http://schemas.openxmlformats.org/officeDocument/2006/relationships" name="57_FL740974AF" sheetId="31" state="visible" r:id="rId31"/>
    <sheet xmlns:r="http://schemas.openxmlformats.org/officeDocument/2006/relationships" name="58_FL950429CF" sheetId="32" state="visible" r:id="rId32"/>
    <sheet xmlns:r="http://schemas.openxmlformats.org/officeDocument/2006/relationships" name="59_GL052000AF" sheetId="33" state="visible" r:id="rId33"/>
    <sheet xmlns:r="http://schemas.openxmlformats.org/officeDocument/2006/relationships" name="63_FL245564BF" sheetId="34" state="visible" r:id="rId34"/>
    <sheet xmlns:r="http://schemas.openxmlformats.org/officeDocument/2006/relationships" name="64_FL343236AF" sheetId="35" state="visible" r:id="rId35"/>
    <sheet xmlns:r="http://schemas.openxmlformats.org/officeDocument/2006/relationships" name="65_FL443121AF" sheetId="36" state="visible" r:id="rId36"/>
    <sheet xmlns:r="http://schemas.openxmlformats.org/officeDocument/2006/relationships" name="66_FL544208AF" sheetId="37" state="visible" r:id="rId37"/>
    <sheet xmlns:r="http://schemas.openxmlformats.org/officeDocument/2006/relationships" name="67_FL844896AF" sheetId="38" state="visible" r:id="rId38"/>
    <sheet xmlns:r="http://schemas.openxmlformats.org/officeDocument/2006/relationships" name="68_FL942459AF" sheetId="39" state="visible" r:id="rId39"/>
    <sheet xmlns:r="http://schemas.openxmlformats.org/officeDocument/2006/relationships" name="69_GL142813AF" sheetId="40" state="visible" r:id="rId40"/>
    <sheet xmlns:r="http://schemas.openxmlformats.org/officeDocument/2006/relationships" name="72_FL331254AF" sheetId="41" state="visible" r:id="rId41"/>
    <sheet xmlns:r="http://schemas.openxmlformats.org/officeDocument/2006/relationships" name="73_FL434668AF" sheetId="42" state="visible" r:id="rId42"/>
    <sheet xmlns:r="http://schemas.openxmlformats.org/officeDocument/2006/relationships" name="74_FL730339AF" sheetId="43" state="visible" r:id="rId43"/>
    <sheet xmlns:r="http://schemas.openxmlformats.org/officeDocument/2006/relationships" name="75_FL737261AF" sheetId="44" state="visible" r:id="rId44"/>
    <sheet xmlns:r="http://schemas.openxmlformats.org/officeDocument/2006/relationships" name="76_FL933320AF" sheetId="45" state="visible" r:id="rId45"/>
    <sheet xmlns:r="http://schemas.openxmlformats.org/officeDocument/2006/relationships" name="83_FL527473AF" sheetId="46" state="visible" r:id="rId46"/>
    <sheet xmlns:r="http://schemas.openxmlformats.org/officeDocument/2006/relationships" name="85_FL921766AF" sheetId="47" state="visible" r:id="rId4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2"/>
    </font>
    <font>
      <b val="1"/>
      <sz val="10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5C99"/>
      </patternFill>
    </fill>
    <fill>
      <patternFill patternType="solid">
        <fgColor rgb="00FFE699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0" fontId="3" fillId="2" borderId="0" pivotButton="0" quotePrefix="0" xfId="0"/>
    <xf numFmtId="0" fontId="3" fillId="2" borderId="0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styles" Target="styles.xml" Id="rId48"/><Relationship Type="http://schemas.openxmlformats.org/officeDocument/2006/relationships/theme" Target="theme/theme1.xml" Id="rId49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Catchment-style IDF - Gauge 4 (FM309915AF)</a:t>
            </a:r>
          </a:p>
        </rich>
      </tx>
    </title>
    <plotArea>
      <scatterChart>
        <ser>
          <idx val="0"/>
          <order val="0"/>
          <tx>
            <strRef>
              <f>'4_FM309915AF'!N17</f>
            </strRef>
          </tx>
          <spPr>
            <a:ln xmlns:a="http://schemas.openxmlformats.org/drawingml/2006/main" w="18000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'4_FM309915AF'!$M$18:$M$27</f>
            </numRef>
          </xVal>
          <yVal>
            <numRef>
              <f>'4_FM309915AF'!$N$18:$N$27</f>
            </numRef>
          </yVal>
        </ser>
        <ser>
          <idx val="1"/>
          <order val="1"/>
          <tx>
            <strRef>
              <f>'4_FM309915AF'!O17</f>
            </strRef>
          </tx>
          <spPr>
            <a:ln xmlns:a="http://schemas.openxmlformats.org/drawingml/2006/main" w="18000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'4_FM309915AF'!$M$18:$M$27</f>
            </numRef>
          </xVal>
          <yVal>
            <numRef>
              <f>'4_FM309915AF'!$O$18:$O$27</f>
            </numRef>
          </yVal>
        </ser>
        <ser>
          <idx val="2"/>
          <order val="2"/>
          <tx>
            <strRef>
              <f>'4_FM309915AF'!P17</f>
            </strRef>
          </tx>
          <spPr>
            <a:ln xmlns:a="http://schemas.openxmlformats.org/drawingml/2006/main" w="18000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'4_FM309915AF'!$M$18:$M$27</f>
            </numRef>
          </xVal>
          <yVal>
            <numRef>
              <f>'4_FM309915AF'!$P$18:$P$27</f>
            </numRef>
          </yVal>
        </ser>
        <ser>
          <idx val="3"/>
          <order val="3"/>
          <tx>
            <strRef>
              <f>'4_FM309915AF'!Q17</f>
            </strRef>
          </tx>
          <spPr>
            <a:ln xmlns:a="http://schemas.openxmlformats.org/drawingml/2006/main" w="18000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'4_FM309915AF'!$M$18:$M$27</f>
            </numRef>
          </xVal>
          <yVal>
            <numRef>
              <f>'4_FM309915AF'!$Q$18:$Q$27</f>
            </numRef>
          </yVal>
        </ser>
        <ser>
          <idx val="4"/>
          <order val="4"/>
          <tx>
            <strRef>
              <f>'4_FM309915AF'!R17</f>
            </strRef>
          </tx>
          <spPr>
            <a:ln xmlns:a="http://schemas.openxmlformats.org/drawingml/2006/main" w="18000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'4_FM309915AF'!$M$18:$M$27</f>
            </numRef>
          </xVal>
          <yVal>
            <numRef>
              <f>'4_FM309915AF'!$R$18:$R$27</f>
            </numRef>
          </yVal>
        </ser>
        <ser>
          <idx val="5"/>
          <order val="5"/>
          <tx>
            <strRef>
              <f>'4_FM309915AF'!S17</f>
            </strRef>
          </tx>
          <spPr>
            <a:ln xmlns:a="http://schemas.openxmlformats.org/drawingml/2006/main" w="18000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'4_FM309915AF'!$M$18:$M$27</f>
            </numRef>
          </xVal>
          <yVal>
            <numRef>
              <f>'4_FM309915AF'!$S$18:$S$27</f>
            </numRef>
          </yVal>
        </ser>
        <ser>
          <idx val="6"/>
          <order val="6"/>
          <tx>
            <strRef>
              <f>'4_FM309915AF'!T17</f>
            </strRef>
          </tx>
          <spPr>
            <a:ln xmlns:a="http://schemas.openxmlformats.org/drawingml/2006/main" w="18000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'4_FM309915AF'!$M$18:$M$27</f>
            </numRef>
          </xVal>
          <yVal>
            <numRef>
              <f>'4_FM309915AF'!$T$18:$T$27</f>
            </numRef>
          </yVal>
        </ser>
        <ser>
          <idx val="7"/>
          <order val="7"/>
          <tx>
            <strRef>
              <f>'4_FM309915AF'!U17</f>
            </strRef>
          </tx>
          <spPr>
            <a:ln xmlns:a="http://schemas.openxmlformats.org/drawingml/2006/main" w="18000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'4_FM309915AF'!$M$18:$M$27</f>
            </numRef>
          </xVal>
          <yVal>
            <numRef>
              <f>'4_FM309915AF'!$U$18:$U$27</f>
            </numRef>
          </yVal>
        </ser>
        <ser>
          <idx val="8"/>
          <order val="8"/>
          <tx>
            <strRef>
              <f>'4_FM309915AF'!V17</f>
            </strRef>
          </tx>
          <spPr>
            <a:ln xmlns:a="http://schemas.openxmlformats.org/drawingml/2006/main" w="18000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'4_FM309915AF'!$M$18:$M$27</f>
            </numRef>
          </xVal>
          <yVal>
            <numRef>
              <f>'4_FM309915AF'!$V$18:$V$27</f>
            </numRef>
          </yVal>
        </ser>
        <ser>
          <idx val="9"/>
          <order val="9"/>
          <tx>
            <strRef>
              <f>'4_FM309915AF'!W17</f>
            </strRef>
          </tx>
          <spPr>
            <a:ln xmlns:a="http://schemas.openxmlformats.org/drawingml/2006/main" w="18000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'4_FM309915AF'!$M$18:$M$27</f>
            </numRef>
          </xVal>
          <yVal>
            <numRef>
              <f>'4_FM309915AF'!$W$18:$W$27</f>
            </numRef>
          </yVal>
        </ser>
        <ser>
          <idx val="10"/>
          <order val="10"/>
          <tx>
            <strRef>
              <f>'4_FM309915AF'!X17</f>
            </strRef>
          </tx>
          <spPr>
            <a:ln xmlns:a="http://schemas.openxmlformats.org/drawingml/2006/main" w="18000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'4_FM309915AF'!$M$18:$M$27</f>
            </numRef>
          </xVal>
          <yVal>
            <numRef>
              <f>'4_FM309915AF'!$X$18:$X$27</f>
            </numRef>
          </yVal>
        </ser>
        <ser>
          <idx val="11"/>
          <order val="11"/>
          <tx>
            <strRef>
              <f>'4_FM309915AF'!Y17</f>
            </strRef>
          </tx>
          <spPr>
            <a:ln xmlns:a="http://schemas.openxmlformats.org/drawingml/2006/main" w="18000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'4_FM309915AF'!$M$18:$M$27</f>
            </numRef>
          </xVal>
          <yVal>
            <numRef>
              <f>'4_FM309915AF'!$Y$18:$Y$27</f>
            </numRef>
          </yVal>
        </ser>
        <axId val="10"/>
        <axId val="20"/>
      </scatterChart>
      <valAx>
        <axId val="10"/>
        <scaling>
          <logBase val="10"/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Duration (min)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logBase val="10"/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Intensity (mm/hr)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Catchment-style IDF - Gauge 5 (FM415095AF)</a:t>
            </a:r>
          </a:p>
        </rich>
      </tx>
    </title>
    <plotArea>
      <scatterChart>
        <ser>
          <idx val="0"/>
          <order val="0"/>
          <tx>
            <strRef>
              <f>'5_FM415095AF'!N17</f>
            </strRef>
          </tx>
          <spPr>
            <a:ln xmlns:a="http://schemas.openxmlformats.org/drawingml/2006/main" w="18000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'5_FM415095AF'!$M$18:$M$27</f>
            </numRef>
          </xVal>
          <yVal>
            <numRef>
              <f>'5_FM415095AF'!$N$18:$N$27</f>
            </numRef>
          </yVal>
        </ser>
        <ser>
          <idx val="1"/>
          <order val="1"/>
          <tx>
            <strRef>
              <f>'5_FM415095AF'!O17</f>
            </strRef>
          </tx>
          <spPr>
            <a:ln xmlns:a="http://schemas.openxmlformats.org/drawingml/2006/main" w="18000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'5_FM415095AF'!$M$18:$M$27</f>
            </numRef>
          </xVal>
          <yVal>
            <numRef>
              <f>'5_FM415095AF'!$O$18:$O$27</f>
            </numRef>
          </yVal>
        </ser>
        <ser>
          <idx val="2"/>
          <order val="2"/>
          <tx>
            <strRef>
              <f>'5_FM415095AF'!P17</f>
            </strRef>
          </tx>
          <spPr>
            <a:ln xmlns:a="http://schemas.openxmlformats.org/drawingml/2006/main" w="18000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'5_FM415095AF'!$M$18:$M$27</f>
            </numRef>
          </xVal>
          <yVal>
            <numRef>
              <f>'5_FM415095AF'!$P$18:$P$27</f>
            </numRef>
          </yVal>
        </ser>
        <ser>
          <idx val="3"/>
          <order val="3"/>
          <tx>
            <strRef>
              <f>'5_FM415095AF'!Q17</f>
            </strRef>
          </tx>
          <spPr>
            <a:ln xmlns:a="http://schemas.openxmlformats.org/drawingml/2006/main" w="18000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'5_FM415095AF'!$M$18:$M$27</f>
            </numRef>
          </xVal>
          <yVal>
            <numRef>
              <f>'5_FM415095AF'!$Q$18:$Q$27</f>
            </numRef>
          </yVal>
        </ser>
        <ser>
          <idx val="4"/>
          <order val="4"/>
          <tx>
            <strRef>
              <f>'5_FM415095AF'!R17</f>
            </strRef>
          </tx>
          <spPr>
            <a:ln xmlns:a="http://schemas.openxmlformats.org/drawingml/2006/main" w="18000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'5_FM415095AF'!$M$18:$M$27</f>
            </numRef>
          </xVal>
          <yVal>
            <numRef>
              <f>'5_FM415095AF'!$R$18:$R$27</f>
            </numRef>
          </yVal>
        </ser>
        <ser>
          <idx val="5"/>
          <order val="5"/>
          <tx>
            <strRef>
              <f>'5_FM415095AF'!S17</f>
            </strRef>
          </tx>
          <spPr>
            <a:ln xmlns:a="http://schemas.openxmlformats.org/drawingml/2006/main" w="18000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'5_FM415095AF'!$M$18:$M$27</f>
            </numRef>
          </xVal>
          <yVal>
            <numRef>
              <f>'5_FM415095AF'!$S$18:$S$27</f>
            </numRef>
          </yVal>
        </ser>
        <ser>
          <idx val="6"/>
          <order val="6"/>
          <tx>
            <strRef>
              <f>'5_FM415095AF'!T17</f>
            </strRef>
          </tx>
          <spPr>
            <a:ln xmlns:a="http://schemas.openxmlformats.org/drawingml/2006/main" w="18000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'5_FM415095AF'!$M$18:$M$27</f>
            </numRef>
          </xVal>
          <yVal>
            <numRef>
              <f>'5_FM415095AF'!$T$18:$T$27</f>
            </numRef>
          </yVal>
        </ser>
        <ser>
          <idx val="7"/>
          <order val="7"/>
          <tx>
            <strRef>
              <f>'5_FM415095AF'!U17</f>
            </strRef>
          </tx>
          <spPr>
            <a:ln xmlns:a="http://schemas.openxmlformats.org/drawingml/2006/main" w="18000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'5_FM415095AF'!$M$18:$M$27</f>
            </numRef>
          </xVal>
          <yVal>
            <numRef>
              <f>'5_FM415095AF'!$U$18:$U$27</f>
            </numRef>
          </yVal>
        </ser>
        <ser>
          <idx val="8"/>
          <order val="8"/>
          <tx>
            <strRef>
              <f>'5_FM415095AF'!V17</f>
            </strRef>
          </tx>
          <spPr>
            <a:ln xmlns:a="http://schemas.openxmlformats.org/drawingml/2006/main" w="18000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'5_FM415095AF'!$M$18:$M$27</f>
            </numRef>
          </xVal>
          <yVal>
            <numRef>
              <f>'5_FM415095AF'!$V$18:$V$27</f>
            </numRef>
          </yVal>
        </ser>
        <ser>
          <idx val="9"/>
          <order val="9"/>
          <tx>
            <strRef>
              <f>'5_FM415095AF'!W17</f>
            </strRef>
          </tx>
          <spPr>
            <a:ln xmlns:a="http://schemas.openxmlformats.org/drawingml/2006/main" w="18000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'5_FM415095AF'!$M$18:$M$27</f>
            </numRef>
          </xVal>
          <yVal>
            <numRef>
              <f>'5_FM415095AF'!$W$18:$W$27</f>
            </numRef>
          </yVal>
        </ser>
        <ser>
          <idx val="10"/>
          <order val="10"/>
          <tx>
            <strRef>
              <f>'5_FM415095AF'!X17</f>
            </strRef>
          </tx>
          <spPr>
            <a:ln xmlns:a="http://schemas.openxmlformats.org/drawingml/2006/main" w="18000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'5_FM415095AF'!$M$18:$M$27</f>
            </numRef>
          </xVal>
          <yVal>
            <numRef>
              <f>'5_FM415095AF'!$X$18:$X$27</f>
            </numRef>
          </yVal>
        </ser>
        <ser>
          <idx val="11"/>
          <order val="11"/>
          <tx>
            <strRef>
              <f>'5_FM415095AF'!Y17</f>
            </strRef>
          </tx>
          <spPr>
            <a:ln xmlns:a="http://schemas.openxmlformats.org/drawingml/2006/main" w="18000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'5_FM415095AF'!$M$18:$M$27</f>
            </numRef>
          </xVal>
          <yVal>
            <numRef>
              <f>'5_FM415095AF'!$Y$18:$Y$27</f>
            </numRef>
          </yVal>
        </ser>
        <axId val="10"/>
        <axId val="20"/>
      </scatterChart>
      <valAx>
        <axId val="10"/>
        <scaling>
          <logBase val="10"/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Duration (min)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logBase val="10"/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Intensity (mm/hr)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Catchment-style IDF - Gauge 6 (FM517016AF)</a:t>
            </a:r>
          </a:p>
        </rich>
      </tx>
    </title>
    <plotArea>
      <scatterChart>
        <ser>
          <idx val="0"/>
          <order val="0"/>
          <tx>
            <strRef>
              <f>'6_FM517016AF'!N17</f>
            </strRef>
          </tx>
          <spPr>
            <a:ln xmlns:a="http://schemas.openxmlformats.org/drawingml/2006/main" w="18000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'6_FM517016AF'!$M$18:$M$27</f>
            </numRef>
          </xVal>
          <yVal>
            <numRef>
              <f>'6_FM517016AF'!$N$18:$N$27</f>
            </numRef>
          </yVal>
        </ser>
        <ser>
          <idx val="1"/>
          <order val="1"/>
          <tx>
            <strRef>
              <f>'6_FM517016AF'!O17</f>
            </strRef>
          </tx>
          <spPr>
            <a:ln xmlns:a="http://schemas.openxmlformats.org/drawingml/2006/main" w="18000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'6_FM517016AF'!$M$18:$M$27</f>
            </numRef>
          </xVal>
          <yVal>
            <numRef>
              <f>'6_FM517016AF'!$O$18:$O$27</f>
            </numRef>
          </yVal>
        </ser>
        <ser>
          <idx val="2"/>
          <order val="2"/>
          <tx>
            <strRef>
              <f>'6_FM517016AF'!P17</f>
            </strRef>
          </tx>
          <spPr>
            <a:ln xmlns:a="http://schemas.openxmlformats.org/drawingml/2006/main" w="18000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'6_FM517016AF'!$M$18:$M$27</f>
            </numRef>
          </xVal>
          <yVal>
            <numRef>
              <f>'6_FM517016AF'!$P$18:$P$27</f>
            </numRef>
          </yVal>
        </ser>
        <ser>
          <idx val="3"/>
          <order val="3"/>
          <tx>
            <strRef>
              <f>'6_FM517016AF'!Q17</f>
            </strRef>
          </tx>
          <spPr>
            <a:ln xmlns:a="http://schemas.openxmlformats.org/drawingml/2006/main" w="18000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'6_FM517016AF'!$M$18:$M$27</f>
            </numRef>
          </xVal>
          <yVal>
            <numRef>
              <f>'6_FM517016AF'!$Q$18:$Q$27</f>
            </numRef>
          </yVal>
        </ser>
        <ser>
          <idx val="4"/>
          <order val="4"/>
          <tx>
            <strRef>
              <f>'6_FM517016AF'!R17</f>
            </strRef>
          </tx>
          <spPr>
            <a:ln xmlns:a="http://schemas.openxmlformats.org/drawingml/2006/main" w="18000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'6_FM517016AF'!$M$18:$M$27</f>
            </numRef>
          </xVal>
          <yVal>
            <numRef>
              <f>'6_FM517016AF'!$R$18:$R$27</f>
            </numRef>
          </yVal>
        </ser>
        <ser>
          <idx val="5"/>
          <order val="5"/>
          <tx>
            <strRef>
              <f>'6_FM517016AF'!S17</f>
            </strRef>
          </tx>
          <spPr>
            <a:ln xmlns:a="http://schemas.openxmlformats.org/drawingml/2006/main" w="18000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'6_FM517016AF'!$M$18:$M$27</f>
            </numRef>
          </xVal>
          <yVal>
            <numRef>
              <f>'6_FM517016AF'!$S$18:$S$27</f>
            </numRef>
          </yVal>
        </ser>
        <ser>
          <idx val="6"/>
          <order val="6"/>
          <tx>
            <strRef>
              <f>'6_FM517016AF'!T17</f>
            </strRef>
          </tx>
          <spPr>
            <a:ln xmlns:a="http://schemas.openxmlformats.org/drawingml/2006/main" w="18000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'6_FM517016AF'!$M$18:$M$27</f>
            </numRef>
          </xVal>
          <yVal>
            <numRef>
              <f>'6_FM517016AF'!$T$18:$T$27</f>
            </numRef>
          </yVal>
        </ser>
        <ser>
          <idx val="7"/>
          <order val="7"/>
          <tx>
            <strRef>
              <f>'6_FM517016AF'!U17</f>
            </strRef>
          </tx>
          <spPr>
            <a:ln xmlns:a="http://schemas.openxmlformats.org/drawingml/2006/main" w="18000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'6_FM517016AF'!$M$18:$M$27</f>
            </numRef>
          </xVal>
          <yVal>
            <numRef>
              <f>'6_FM517016AF'!$U$18:$U$27</f>
            </numRef>
          </yVal>
        </ser>
        <ser>
          <idx val="8"/>
          <order val="8"/>
          <tx>
            <strRef>
              <f>'6_FM517016AF'!V17</f>
            </strRef>
          </tx>
          <spPr>
            <a:ln xmlns:a="http://schemas.openxmlformats.org/drawingml/2006/main" w="18000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'6_FM517016AF'!$M$18:$M$27</f>
            </numRef>
          </xVal>
          <yVal>
            <numRef>
              <f>'6_FM517016AF'!$V$18:$V$27</f>
            </numRef>
          </yVal>
        </ser>
        <ser>
          <idx val="9"/>
          <order val="9"/>
          <tx>
            <strRef>
              <f>'6_FM517016AF'!W17</f>
            </strRef>
          </tx>
          <spPr>
            <a:ln xmlns:a="http://schemas.openxmlformats.org/drawingml/2006/main" w="18000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'6_FM517016AF'!$M$18:$M$27</f>
            </numRef>
          </xVal>
          <yVal>
            <numRef>
              <f>'6_FM517016AF'!$W$18:$W$27</f>
            </numRef>
          </yVal>
        </ser>
        <ser>
          <idx val="10"/>
          <order val="10"/>
          <tx>
            <strRef>
              <f>'6_FM517016AF'!X17</f>
            </strRef>
          </tx>
          <spPr>
            <a:ln xmlns:a="http://schemas.openxmlformats.org/drawingml/2006/main" w="18000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'6_FM517016AF'!$M$18:$M$27</f>
            </numRef>
          </xVal>
          <yVal>
            <numRef>
              <f>'6_FM517016AF'!$X$18:$X$27</f>
            </numRef>
          </yVal>
        </ser>
        <ser>
          <idx val="11"/>
          <order val="11"/>
          <tx>
            <strRef>
              <f>'6_FM517016AF'!Y17</f>
            </strRef>
          </tx>
          <spPr>
            <a:ln xmlns:a="http://schemas.openxmlformats.org/drawingml/2006/main" w="18000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'6_FM517016AF'!$M$18:$M$27</f>
            </numRef>
          </xVal>
          <yVal>
            <numRef>
              <f>'6_FM517016AF'!$Y$18:$Y$27</f>
            </numRef>
          </yVal>
        </ser>
        <axId val="10"/>
        <axId val="20"/>
      </scatterChart>
      <valAx>
        <axId val="10"/>
        <scaling>
          <logBase val="10"/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Duration (min)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logBase val="10"/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Intensity (mm/hr)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Catchment-style IDF - Gauge 7 (FM612285BF)</a:t>
            </a:r>
          </a:p>
        </rich>
      </tx>
    </title>
    <plotArea>
      <scatterChart>
        <ser>
          <idx val="0"/>
          <order val="0"/>
          <tx>
            <strRef>
              <f>'7_FM612285BF'!N17</f>
            </strRef>
          </tx>
          <spPr>
            <a:ln xmlns:a="http://schemas.openxmlformats.org/drawingml/2006/main" w="18000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'7_FM612285BF'!$M$18:$M$27</f>
            </numRef>
          </xVal>
          <yVal>
            <numRef>
              <f>'7_FM612285BF'!$N$18:$N$27</f>
            </numRef>
          </yVal>
        </ser>
        <ser>
          <idx val="1"/>
          <order val="1"/>
          <tx>
            <strRef>
              <f>'7_FM612285BF'!O17</f>
            </strRef>
          </tx>
          <spPr>
            <a:ln xmlns:a="http://schemas.openxmlformats.org/drawingml/2006/main" w="18000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'7_FM612285BF'!$M$18:$M$27</f>
            </numRef>
          </xVal>
          <yVal>
            <numRef>
              <f>'7_FM612285BF'!$O$18:$O$27</f>
            </numRef>
          </yVal>
        </ser>
        <ser>
          <idx val="2"/>
          <order val="2"/>
          <tx>
            <strRef>
              <f>'7_FM612285BF'!P17</f>
            </strRef>
          </tx>
          <spPr>
            <a:ln xmlns:a="http://schemas.openxmlformats.org/drawingml/2006/main" w="18000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'7_FM612285BF'!$M$18:$M$27</f>
            </numRef>
          </xVal>
          <yVal>
            <numRef>
              <f>'7_FM612285BF'!$P$18:$P$27</f>
            </numRef>
          </yVal>
        </ser>
        <ser>
          <idx val="3"/>
          <order val="3"/>
          <tx>
            <strRef>
              <f>'7_FM612285BF'!Q17</f>
            </strRef>
          </tx>
          <spPr>
            <a:ln xmlns:a="http://schemas.openxmlformats.org/drawingml/2006/main" w="18000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'7_FM612285BF'!$M$18:$M$27</f>
            </numRef>
          </xVal>
          <yVal>
            <numRef>
              <f>'7_FM612285BF'!$Q$18:$Q$27</f>
            </numRef>
          </yVal>
        </ser>
        <ser>
          <idx val="4"/>
          <order val="4"/>
          <tx>
            <strRef>
              <f>'7_FM612285BF'!R17</f>
            </strRef>
          </tx>
          <spPr>
            <a:ln xmlns:a="http://schemas.openxmlformats.org/drawingml/2006/main" w="18000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'7_FM612285BF'!$M$18:$M$27</f>
            </numRef>
          </xVal>
          <yVal>
            <numRef>
              <f>'7_FM612285BF'!$R$18:$R$27</f>
            </numRef>
          </yVal>
        </ser>
        <ser>
          <idx val="5"/>
          <order val="5"/>
          <tx>
            <strRef>
              <f>'7_FM612285BF'!S17</f>
            </strRef>
          </tx>
          <spPr>
            <a:ln xmlns:a="http://schemas.openxmlformats.org/drawingml/2006/main" w="18000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'7_FM612285BF'!$M$18:$M$27</f>
            </numRef>
          </xVal>
          <yVal>
            <numRef>
              <f>'7_FM612285BF'!$S$18:$S$27</f>
            </numRef>
          </yVal>
        </ser>
        <ser>
          <idx val="6"/>
          <order val="6"/>
          <tx>
            <strRef>
              <f>'7_FM612285BF'!T17</f>
            </strRef>
          </tx>
          <spPr>
            <a:ln xmlns:a="http://schemas.openxmlformats.org/drawingml/2006/main" w="18000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'7_FM612285BF'!$M$18:$M$27</f>
            </numRef>
          </xVal>
          <yVal>
            <numRef>
              <f>'7_FM612285BF'!$T$18:$T$27</f>
            </numRef>
          </yVal>
        </ser>
        <ser>
          <idx val="7"/>
          <order val="7"/>
          <tx>
            <strRef>
              <f>'7_FM612285BF'!U17</f>
            </strRef>
          </tx>
          <spPr>
            <a:ln xmlns:a="http://schemas.openxmlformats.org/drawingml/2006/main" w="18000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'7_FM612285BF'!$M$18:$M$27</f>
            </numRef>
          </xVal>
          <yVal>
            <numRef>
              <f>'7_FM612285BF'!$U$18:$U$27</f>
            </numRef>
          </yVal>
        </ser>
        <ser>
          <idx val="8"/>
          <order val="8"/>
          <tx>
            <strRef>
              <f>'7_FM612285BF'!V17</f>
            </strRef>
          </tx>
          <spPr>
            <a:ln xmlns:a="http://schemas.openxmlformats.org/drawingml/2006/main" w="18000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'7_FM612285BF'!$M$18:$M$27</f>
            </numRef>
          </xVal>
          <yVal>
            <numRef>
              <f>'7_FM612285BF'!$V$18:$V$27</f>
            </numRef>
          </yVal>
        </ser>
        <ser>
          <idx val="9"/>
          <order val="9"/>
          <tx>
            <strRef>
              <f>'7_FM612285BF'!W17</f>
            </strRef>
          </tx>
          <spPr>
            <a:ln xmlns:a="http://schemas.openxmlformats.org/drawingml/2006/main" w="18000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'7_FM612285BF'!$M$18:$M$27</f>
            </numRef>
          </xVal>
          <yVal>
            <numRef>
              <f>'7_FM612285BF'!$W$18:$W$27</f>
            </numRef>
          </yVal>
        </ser>
        <ser>
          <idx val="10"/>
          <order val="10"/>
          <tx>
            <strRef>
              <f>'7_FM612285BF'!X17</f>
            </strRef>
          </tx>
          <spPr>
            <a:ln xmlns:a="http://schemas.openxmlformats.org/drawingml/2006/main" w="18000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'7_FM612285BF'!$M$18:$M$27</f>
            </numRef>
          </xVal>
          <yVal>
            <numRef>
              <f>'7_FM612285BF'!$X$18:$X$27</f>
            </numRef>
          </yVal>
        </ser>
        <ser>
          <idx val="11"/>
          <order val="11"/>
          <tx>
            <strRef>
              <f>'7_FM612285BF'!Y17</f>
            </strRef>
          </tx>
          <spPr>
            <a:ln xmlns:a="http://schemas.openxmlformats.org/drawingml/2006/main" w="18000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'7_FM612285BF'!$M$18:$M$27</f>
            </numRef>
          </xVal>
          <yVal>
            <numRef>
              <f>'7_FM612285BF'!$Y$18:$Y$27</f>
            </numRef>
          </yVal>
        </ser>
        <axId val="10"/>
        <axId val="20"/>
      </scatterChart>
      <valAx>
        <axId val="10"/>
        <scaling>
          <logBase val="10"/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Duration (min)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logBase val="10"/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Intensity (mm/hr)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Catchment-style IDF - Gauge 12 (FM201534AF)</a:t>
            </a:r>
          </a:p>
        </rich>
      </tx>
    </title>
    <plotArea>
      <scatterChart>
        <ser>
          <idx val="0"/>
          <order val="0"/>
          <tx>
            <strRef>
              <f>'12_FM201534AF'!N17</f>
            </strRef>
          </tx>
          <spPr>
            <a:ln xmlns:a="http://schemas.openxmlformats.org/drawingml/2006/main" w="18000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'12_FM201534AF'!$M$18:$M$27</f>
            </numRef>
          </xVal>
          <yVal>
            <numRef>
              <f>'12_FM201534AF'!$N$18:$N$27</f>
            </numRef>
          </yVal>
        </ser>
        <ser>
          <idx val="1"/>
          <order val="1"/>
          <tx>
            <strRef>
              <f>'12_FM201534AF'!O17</f>
            </strRef>
          </tx>
          <spPr>
            <a:ln xmlns:a="http://schemas.openxmlformats.org/drawingml/2006/main" w="18000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'12_FM201534AF'!$M$18:$M$27</f>
            </numRef>
          </xVal>
          <yVal>
            <numRef>
              <f>'12_FM201534AF'!$O$18:$O$27</f>
            </numRef>
          </yVal>
        </ser>
        <ser>
          <idx val="2"/>
          <order val="2"/>
          <tx>
            <strRef>
              <f>'12_FM201534AF'!P17</f>
            </strRef>
          </tx>
          <spPr>
            <a:ln xmlns:a="http://schemas.openxmlformats.org/drawingml/2006/main" w="18000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'12_FM201534AF'!$M$18:$M$27</f>
            </numRef>
          </xVal>
          <yVal>
            <numRef>
              <f>'12_FM201534AF'!$P$18:$P$27</f>
            </numRef>
          </yVal>
        </ser>
        <ser>
          <idx val="3"/>
          <order val="3"/>
          <tx>
            <strRef>
              <f>'12_FM201534AF'!Q17</f>
            </strRef>
          </tx>
          <spPr>
            <a:ln xmlns:a="http://schemas.openxmlformats.org/drawingml/2006/main" w="18000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'12_FM201534AF'!$M$18:$M$27</f>
            </numRef>
          </xVal>
          <yVal>
            <numRef>
              <f>'12_FM201534AF'!$Q$18:$Q$27</f>
            </numRef>
          </yVal>
        </ser>
        <ser>
          <idx val="4"/>
          <order val="4"/>
          <tx>
            <strRef>
              <f>'12_FM201534AF'!R17</f>
            </strRef>
          </tx>
          <spPr>
            <a:ln xmlns:a="http://schemas.openxmlformats.org/drawingml/2006/main" w="18000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'12_FM201534AF'!$M$18:$M$27</f>
            </numRef>
          </xVal>
          <yVal>
            <numRef>
              <f>'12_FM201534AF'!$R$18:$R$27</f>
            </numRef>
          </yVal>
        </ser>
        <ser>
          <idx val="5"/>
          <order val="5"/>
          <tx>
            <strRef>
              <f>'12_FM201534AF'!S17</f>
            </strRef>
          </tx>
          <spPr>
            <a:ln xmlns:a="http://schemas.openxmlformats.org/drawingml/2006/main" w="18000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'12_FM201534AF'!$M$18:$M$27</f>
            </numRef>
          </xVal>
          <yVal>
            <numRef>
              <f>'12_FM201534AF'!$S$18:$S$27</f>
            </numRef>
          </yVal>
        </ser>
        <ser>
          <idx val="6"/>
          <order val="6"/>
          <tx>
            <strRef>
              <f>'12_FM201534AF'!T17</f>
            </strRef>
          </tx>
          <spPr>
            <a:ln xmlns:a="http://schemas.openxmlformats.org/drawingml/2006/main" w="18000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'12_FM201534AF'!$M$18:$M$27</f>
            </numRef>
          </xVal>
          <yVal>
            <numRef>
              <f>'12_FM201534AF'!$T$18:$T$27</f>
            </numRef>
          </yVal>
        </ser>
        <ser>
          <idx val="7"/>
          <order val="7"/>
          <tx>
            <strRef>
              <f>'12_FM201534AF'!U17</f>
            </strRef>
          </tx>
          <spPr>
            <a:ln xmlns:a="http://schemas.openxmlformats.org/drawingml/2006/main" w="18000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'12_FM201534AF'!$M$18:$M$27</f>
            </numRef>
          </xVal>
          <yVal>
            <numRef>
              <f>'12_FM201534AF'!$U$18:$U$27</f>
            </numRef>
          </yVal>
        </ser>
        <ser>
          <idx val="8"/>
          <order val="8"/>
          <tx>
            <strRef>
              <f>'12_FM201534AF'!V17</f>
            </strRef>
          </tx>
          <spPr>
            <a:ln xmlns:a="http://schemas.openxmlformats.org/drawingml/2006/main" w="18000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'12_FM201534AF'!$M$18:$M$27</f>
            </numRef>
          </xVal>
          <yVal>
            <numRef>
              <f>'12_FM201534AF'!$V$18:$V$27</f>
            </numRef>
          </yVal>
        </ser>
        <ser>
          <idx val="9"/>
          <order val="9"/>
          <tx>
            <strRef>
              <f>'12_FM201534AF'!W17</f>
            </strRef>
          </tx>
          <spPr>
            <a:ln xmlns:a="http://schemas.openxmlformats.org/drawingml/2006/main" w="18000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'12_FM201534AF'!$M$18:$M$27</f>
            </numRef>
          </xVal>
          <yVal>
            <numRef>
              <f>'12_FM201534AF'!$W$18:$W$27</f>
            </numRef>
          </yVal>
        </ser>
        <ser>
          <idx val="10"/>
          <order val="10"/>
          <tx>
            <strRef>
              <f>'12_FM201534AF'!X17</f>
            </strRef>
          </tx>
          <spPr>
            <a:ln xmlns:a="http://schemas.openxmlformats.org/drawingml/2006/main" w="18000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'12_FM201534AF'!$M$18:$M$27</f>
            </numRef>
          </xVal>
          <yVal>
            <numRef>
              <f>'12_FM201534AF'!$X$18:$X$27</f>
            </numRef>
          </yVal>
        </ser>
        <ser>
          <idx val="11"/>
          <order val="11"/>
          <tx>
            <strRef>
              <f>'12_FM201534AF'!Y17</f>
            </strRef>
          </tx>
          <spPr>
            <a:ln xmlns:a="http://schemas.openxmlformats.org/drawingml/2006/main" w="18000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'12_FM201534AF'!$M$18:$M$27</f>
            </numRef>
          </xVal>
          <yVal>
            <numRef>
              <f>'12_FM201534AF'!$Y$18:$Y$27</f>
            </numRef>
          </yVal>
        </ser>
        <axId val="10"/>
        <axId val="20"/>
      </scatterChart>
      <valAx>
        <axId val="10"/>
        <scaling>
          <logBase val="10"/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Duration (min)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logBase val="10"/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Intensity (mm/hr)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Catchment-style IDF - Gauge 13 (FM405394AF)</a:t>
            </a:r>
          </a:p>
        </rich>
      </tx>
    </title>
    <plotArea>
      <scatterChart>
        <ser>
          <idx val="0"/>
          <order val="0"/>
          <tx>
            <strRef>
              <f>'13_FM405394AF'!N17</f>
            </strRef>
          </tx>
          <spPr>
            <a:ln xmlns:a="http://schemas.openxmlformats.org/drawingml/2006/main" w="18000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'13_FM405394AF'!$M$18:$M$27</f>
            </numRef>
          </xVal>
          <yVal>
            <numRef>
              <f>'13_FM405394AF'!$N$18:$N$27</f>
            </numRef>
          </yVal>
        </ser>
        <ser>
          <idx val="1"/>
          <order val="1"/>
          <tx>
            <strRef>
              <f>'13_FM405394AF'!O17</f>
            </strRef>
          </tx>
          <spPr>
            <a:ln xmlns:a="http://schemas.openxmlformats.org/drawingml/2006/main" w="18000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'13_FM405394AF'!$M$18:$M$27</f>
            </numRef>
          </xVal>
          <yVal>
            <numRef>
              <f>'13_FM405394AF'!$O$18:$O$27</f>
            </numRef>
          </yVal>
        </ser>
        <ser>
          <idx val="2"/>
          <order val="2"/>
          <tx>
            <strRef>
              <f>'13_FM405394AF'!P17</f>
            </strRef>
          </tx>
          <spPr>
            <a:ln xmlns:a="http://schemas.openxmlformats.org/drawingml/2006/main" w="18000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'13_FM405394AF'!$M$18:$M$27</f>
            </numRef>
          </xVal>
          <yVal>
            <numRef>
              <f>'13_FM405394AF'!$P$18:$P$27</f>
            </numRef>
          </yVal>
        </ser>
        <ser>
          <idx val="3"/>
          <order val="3"/>
          <tx>
            <strRef>
              <f>'13_FM405394AF'!Q17</f>
            </strRef>
          </tx>
          <spPr>
            <a:ln xmlns:a="http://schemas.openxmlformats.org/drawingml/2006/main" w="18000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'13_FM405394AF'!$M$18:$M$27</f>
            </numRef>
          </xVal>
          <yVal>
            <numRef>
              <f>'13_FM405394AF'!$Q$18:$Q$27</f>
            </numRef>
          </yVal>
        </ser>
        <ser>
          <idx val="4"/>
          <order val="4"/>
          <tx>
            <strRef>
              <f>'13_FM405394AF'!R17</f>
            </strRef>
          </tx>
          <spPr>
            <a:ln xmlns:a="http://schemas.openxmlformats.org/drawingml/2006/main" w="18000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'13_FM405394AF'!$M$18:$M$27</f>
            </numRef>
          </xVal>
          <yVal>
            <numRef>
              <f>'13_FM405394AF'!$R$18:$R$27</f>
            </numRef>
          </yVal>
        </ser>
        <ser>
          <idx val="5"/>
          <order val="5"/>
          <tx>
            <strRef>
              <f>'13_FM405394AF'!S17</f>
            </strRef>
          </tx>
          <spPr>
            <a:ln xmlns:a="http://schemas.openxmlformats.org/drawingml/2006/main" w="18000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'13_FM405394AF'!$M$18:$M$27</f>
            </numRef>
          </xVal>
          <yVal>
            <numRef>
              <f>'13_FM405394AF'!$S$18:$S$27</f>
            </numRef>
          </yVal>
        </ser>
        <ser>
          <idx val="6"/>
          <order val="6"/>
          <tx>
            <strRef>
              <f>'13_FM405394AF'!T17</f>
            </strRef>
          </tx>
          <spPr>
            <a:ln xmlns:a="http://schemas.openxmlformats.org/drawingml/2006/main" w="18000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'13_FM405394AF'!$M$18:$M$27</f>
            </numRef>
          </xVal>
          <yVal>
            <numRef>
              <f>'13_FM405394AF'!$T$18:$T$27</f>
            </numRef>
          </yVal>
        </ser>
        <ser>
          <idx val="7"/>
          <order val="7"/>
          <tx>
            <strRef>
              <f>'13_FM405394AF'!U17</f>
            </strRef>
          </tx>
          <spPr>
            <a:ln xmlns:a="http://schemas.openxmlformats.org/drawingml/2006/main" w="18000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'13_FM405394AF'!$M$18:$M$27</f>
            </numRef>
          </xVal>
          <yVal>
            <numRef>
              <f>'13_FM405394AF'!$U$18:$U$27</f>
            </numRef>
          </yVal>
        </ser>
        <ser>
          <idx val="8"/>
          <order val="8"/>
          <tx>
            <strRef>
              <f>'13_FM405394AF'!V17</f>
            </strRef>
          </tx>
          <spPr>
            <a:ln xmlns:a="http://schemas.openxmlformats.org/drawingml/2006/main" w="18000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'13_FM405394AF'!$M$18:$M$27</f>
            </numRef>
          </xVal>
          <yVal>
            <numRef>
              <f>'13_FM405394AF'!$V$18:$V$27</f>
            </numRef>
          </yVal>
        </ser>
        <ser>
          <idx val="9"/>
          <order val="9"/>
          <tx>
            <strRef>
              <f>'13_FM405394AF'!W17</f>
            </strRef>
          </tx>
          <spPr>
            <a:ln xmlns:a="http://schemas.openxmlformats.org/drawingml/2006/main" w="18000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'13_FM405394AF'!$M$18:$M$27</f>
            </numRef>
          </xVal>
          <yVal>
            <numRef>
              <f>'13_FM405394AF'!$W$18:$W$27</f>
            </numRef>
          </yVal>
        </ser>
        <ser>
          <idx val="10"/>
          <order val="10"/>
          <tx>
            <strRef>
              <f>'13_FM405394AF'!X17</f>
            </strRef>
          </tx>
          <spPr>
            <a:ln xmlns:a="http://schemas.openxmlformats.org/drawingml/2006/main" w="18000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'13_FM405394AF'!$M$18:$M$27</f>
            </numRef>
          </xVal>
          <yVal>
            <numRef>
              <f>'13_FM405394AF'!$X$18:$X$27</f>
            </numRef>
          </yVal>
        </ser>
        <ser>
          <idx val="11"/>
          <order val="11"/>
          <tx>
            <strRef>
              <f>'13_FM405394AF'!Y17</f>
            </strRef>
          </tx>
          <spPr>
            <a:ln xmlns:a="http://schemas.openxmlformats.org/drawingml/2006/main" w="18000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'13_FM405394AF'!$M$18:$M$27</f>
            </numRef>
          </xVal>
          <yVal>
            <numRef>
              <f>'13_FM405394AF'!$Y$18:$Y$27</f>
            </numRef>
          </yVal>
        </ser>
        <axId val="10"/>
        <axId val="20"/>
      </scatterChart>
      <valAx>
        <axId val="10"/>
        <scaling>
          <logBase val="10"/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Duration (min)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logBase val="10"/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Intensity (mm/hr)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Catchment-style IDF - Gauge 14 (FM505467AF)</a:t>
            </a:r>
          </a:p>
        </rich>
      </tx>
    </title>
    <plotArea>
      <scatterChart>
        <ser>
          <idx val="0"/>
          <order val="0"/>
          <tx>
            <strRef>
              <f>'14_FM505467AF'!N17</f>
            </strRef>
          </tx>
          <spPr>
            <a:ln xmlns:a="http://schemas.openxmlformats.org/drawingml/2006/main" w="18000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'14_FM505467AF'!$M$18:$M$27</f>
            </numRef>
          </xVal>
          <yVal>
            <numRef>
              <f>'14_FM505467AF'!$N$18:$N$27</f>
            </numRef>
          </yVal>
        </ser>
        <ser>
          <idx val="1"/>
          <order val="1"/>
          <tx>
            <strRef>
              <f>'14_FM505467AF'!O17</f>
            </strRef>
          </tx>
          <spPr>
            <a:ln xmlns:a="http://schemas.openxmlformats.org/drawingml/2006/main" w="18000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'14_FM505467AF'!$M$18:$M$27</f>
            </numRef>
          </xVal>
          <yVal>
            <numRef>
              <f>'14_FM505467AF'!$O$18:$O$27</f>
            </numRef>
          </yVal>
        </ser>
        <ser>
          <idx val="2"/>
          <order val="2"/>
          <tx>
            <strRef>
              <f>'14_FM505467AF'!P17</f>
            </strRef>
          </tx>
          <spPr>
            <a:ln xmlns:a="http://schemas.openxmlformats.org/drawingml/2006/main" w="18000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'14_FM505467AF'!$M$18:$M$27</f>
            </numRef>
          </xVal>
          <yVal>
            <numRef>
              <f>'14_FM505467AF'!$P$18:$P$27</f>
            </numRef>
          </yVal>
        </ser>
        <ser>
          <idx val="3"/>
          <order val="3"/>
          <tx>
            <strRef>
              <f>'14_FM505467AF'!Q17</f>
            </strRef>
          </tx>
          <spPr>
            <a:ln xmlns:a="http://schemas.openxmlformats.org/drawingml/2006/main" w="18000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'14_FM505467AF'!$M$18:$M$27</f>
            </numRef>
          </xVal>
          <yVal>
            <numRef>
              <f>'14_FM505467AF'!$Q$18:$Q$27</f>
            </numRef>
          </yVal>
        </ser>
        <ser>
          <idx val="4"/>
          <order val="4"/>
          <tx>
            <strRef>
              <f>'14_FM505467AF'!R17</f>
            </strRef>
          </tx>
          <spPr>
            <a:ln xmlns:a="http://schemas.openxmlformats.org/drawingml/2006/main" w="18000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'14_FM505467AF'!$M$18:$M$27</f>
            </numRef>
          </xVal>
          <yVal>
            <numRef>
              <f>'14_FM505467AF'!$R$18:$R$27</f>
            </numRef>
          </yVal>
        </ser>
        <ser>
          <idx val="5"/>
          <order val="5"/>
          <tx>
            <strRef>
              <f>'14_FM505467AF'!S17</f>
            </strRef>
          </tx>
          <spPr>
            <a:ln xmlns:a="http://schemas.openxmlformats.org/drawingml/2006/main" w="18000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'14_FM505467AF'!$M$18:$M$27</f>
            </numRef>
          </xVal>
          <yVal>
            <numRef>
              <f>'14_FM505467AF'!$S$18:$S$27</f>
            </numRef>
          </yVal>
        </ser>
        <ser>
          <idx val="6"/>
          <order val="6"/>
          <tx>
            <strRef>
              <f>'14_FM505467AF'!T17</f>
            </strRef>
          </tx>
          <spPr>
            <a:ln xmlns:a="http://schemas.openxmlformats.org/drawingml/2006/main" w="18000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'14_FM505467AF'!$M$18:$M$27</f>
            </numRef>
          </xVal>
          <yVal>
            <numRef>
              <f>'14_FM505467AF'!$T$18:$T$27</f>
            </numRef>
          </yVal>
        </ser>
        <ser>
          <idx val="7"/>
          <order val="7"/>
          <tx>
            <strRef>
              <f>'14_FM505467AF'!U17</f>
            </strRef>
          </tx>
          <spPr>
            <a:ln xmlns:a="http://schemas.openxmlformats.org/drawingml/2006/main" w="18000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'14_FM505467AF'!$M$18:$M$27</f>
            </numRef>
          </xVal>
          <yVal>
            <numRef>
              <f>'14_FM505467AF'!$U$18:$U$27</f>
            </numRef>
          </yVal>
        </ser>
        <ser>
          <idx val="8"/>
          <order val="8"/>
          <tx>
            <strRef>
              <f>'14_FM505467AF'!V17</f>
            </strRef>
          </tx>
          <spPr>
            <a:ln xmlns:a="http://schemas.openxmlformats.org/drawingml/2006/main" w="18000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'14_FM505467AF'!$M$18:$M$27</f>
            </numRef>
          </xVal>
          <yVal>
            <numRef>
              <f>'14_FM505467AF'!$V$18:$V$27</f>
            </numRef>
          </yVal>
        </ser>
        <ser>
          <idx val="9"/>
          <order val="9"/>
          <tx>
            <strRef>
              <f>'14_FM505467AF'!W17</f>
            </strRef>
          </tx>
          <spPr>
            <a:ln xmlns:a="http://schemas.openxmlformats.org/drawingml/2006/main" w="18000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'14_FM505467AF'!$M$18:$M$27</f>
            </numRef>
          </xVal>
          <yVal>
            <numRef>
              <f>'14_FM505467AF'!$W$18:$W$27</f>
            </numRef>
          </yVal>
        </ser>
        <ser>
          <idx val="10"/>
          <order val="10"/>
          <tx>
            <strRef>
              <f>'14_FM505467AF'!X17</f>
            </strRef>
          </tx>
          <spPr>
            <a:ln xmlns:a="http://schemas.openxmlformats.org/drawingml/2006/main" w="18000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'14_FM505467AF'!$M$18:$M$27</f>
            </numRef>
          </xVal>
          <yVal>
            <numRef>
              <f>'14_FM505467AF'!$X$18:$X$27</f>
            </numRef>
          </yVal>
        </ser>
        <ser>
          <idx val="11"/>
          <order val="11"/>
          <tx>
            <strRef>
              <f>'14_FM505467AF'!Y17</f>
            </strRef>
          </tx>
          <spPr>
            <a:ln xmlns:a="http://schemas.openxmlformats.org/drawingml/2006/main" w="18000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'14_FM505467AF'!$M$18:$M$27</f>
            </numRef>
          </xVal>
          <yVal>
            <numRef>
              <f>'14_FM505467AF'!$Y$18:$Y$27</f>
            </numRef>
          </yVal>
        </ser>
        <axId val="10"/>
        <axId val="20"/>
      </scatterChart>
      <valAx>
        <axId val="10"/>
        <scaling>
          <logBase val="10"/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Duration (min)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logBase val="10"/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Intensity (mm/hr)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Catchment-style IDF - Gauge 15 (FL609065AF)</a:t>
            </a:r>
          </a:p>
        </rich>
      </tx>
    </title>
    <plotArea>
      <scatterChart>
        <ser>
          <idx val="0"/>
          <order val="0"/>
          <tx>
            <strRef>
              <f>'15_FL609065AF'!N17</f>
            </strRef>
          </tx>
          <spPr>
            <a:ln xmlns:a="http://schemas.openxmlformats.org/drawingml/2006/main" w="18000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'15_FL609065AF'!$M$18:$M$27</f>
            </numRef>
          </xVal>
          <yVal>
            <numRef>
              <f>'15_FL609065AF'!$N$18:$N$27</f>
            </numRef>
          </yVal>
        </ser>
        <ser>
          <idx val="1"/>
          <order val="1"/>
          <tx>
            <strRef>
              <f>'15_FL609065AF'!O17</f>
            </strRef>
          </tx>
          <spPr>
            <a:ln xmlns:a="http://schemas.openxmlformats.org/drawingml/2006/main" w="18000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'15_FL609065AF'!$M$18:$M$27</f>
            </numRef>
          </xVal>
          <yVal>
            <numRef>
              <f>'15_FL609065AF'!$O$18:$O$27</f>
            </numRef>
          </yVal>
        </ser>
        <ser>
          <idx val="2"/>
          <order val="2"/>
          <tx>
            <strRef>
              <f>'15_FL609065AF'!P17</f>
            </strRef>
          </tx>
          <spPr>
            <a:ln xmlns:a="http://schemas.openxmlformats.org/drawingml/2006/main" w="18000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'15_FL609065AF'!$M$18:$M$27</f>
            </numRef>
          </xVal>
          <yVal>
            <numRef>
              <f>'15_FL609065AF'!$P$18:$P$27</f>
            </numRef>
          </yVal>
        </ser>
        <ser>
          <idx val="3"/>
          <order val="3"/>
          <tx>
            <strRef>
              <f>'15_FL609065AF'!Q17</f>
            </strRef>
          </tx>
          <spPr>
            <a:ln xmlns:a="http://schemas.openxmlformats.org/drawingml/2006/main" w="18000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'15_FL609065AF'!$M$18:$M$27</f>
            </numRef>
          </xVal>
          <yVal>
            <numRef>
              <f>'15_FL609065AF'!$Q$18:$Q$27</f>
            </numRef>
          </yVal>
        </ser>
        <ser>
          <idx val="4"/>
          <order val="4"/>
          <tx>
            <strRef>
              <f>'15_FL609065AF'!R17</f>
            </strRef>
          </tx>
          <spPr>
            <a:ln xmlns:a="http://schemas.openxmlformats.org/drawingml/2006/main" w="18000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'15_FL609065AF'!$M$18:$M$27</f>
            </numRef>
          </xVal>
          <yVal>
            <numRef>
              <f>'15_FL609065AF'!$R$18:$R$27</f>
            </numRef>
          </yVal>
        </ser>
        <ser>
          <idx val="5"/>
          <order val="5"/>
          <tx>
            <strRef>
              <f>'15_FL609065AF'!S17</f>
            </strRef>
          </tx>
          <spPr>
            <a:ln xmlns:a="http://schemas.openxmlformats.org/drawingml/2006/main" w="18000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'15_FL609065AF'!$M$18:$M$27</f>
            </numRef>
          </xVal>
          <yVal>
            <numRef>
              <f>'15_FL609065AF'!$S$18:$S$27</f>
            </numRef>
          </yVal>
        </ser>
        <ser>
          <idx val="6"/>
          <order val="6"/>
          <tx>
            <strRef>
              <f>'15_FL609065AF'!T17</f>
            </strRef>
          </tx>
          <spPr>
            <a:ln xmlns:a="http://schemas.openxmlformats.org/drawingml/2006/main" w="18000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'15_FL609065AF'!$M$18:$M$27</f>
            </numRef>
          </xVal>
          <yVal>
            <numRef>
              <f>'15_FL609065AF'!$T$18:$T$27</f>
            </numRef>
          </yVal>
        </ser>
        <ser>
          <idx val="7"/>
          <order val="7"/>
          <tx>
            <strRef>
              <f>'15_FL609065AF'!U17</f>
            </strRef>
          </tx>
          <spPr>
            <a:ln xmlns:a="http://schemas.openxmlformats.org/drawingml/2006/main" w="18000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'15_FL609065AF'!$M$18:$M$27</f>
            </numRef>
          </xVal>
          <yVal>
            <numRef>
              <f>'15_FL609065AF'!$U$18:$U$27</f>
            </numRef>
          </yVal>
        </ser>
        <ser>
          <idx val="8"/>
          <order val="8"/>
          <tx>
            <strRef>
              <f>'15_FL609065AF'!V17</f>
            </strRef>
          </tx>
          <spPr>
            <a:ln xmlns:a="http://schemas.openxmlformats.org/drawingml/2006/main" w="18000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'15_FL609065AF'!$M$18:$M$27</f>
            </numRef>
          </xVal>
          <yVal>
            <numRef>
              <f>'15_FL609065AF'!$V$18:$V$27</f>
            </numRef>
          </yVal>
        </ser>
        <ser>
          <idx val="9"/>
          <order val="9"/>
          <tx>
            <strRef>
              <f>'15_FL609065AF'!W17</f>
            </strRef>
          </tx>
          <spPr>
            <a:ln xmlns:a="http://schemas.openxmlformats.org/drawingml/2006/main" w="18000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'15_FL609065AF'!$M$18:$M$27</f>
            </numRef>
          </xVal>
          <yVal>
            <numRef>
              <f>'15_FL609065AF'!$W$18:$W$27</f>
            </numRef>
          </yVal>
        </ser>
        <ser>
          <idx val="10"/>
          <order val="10"/>
          <tx>
            <strRef>
              <f>'15_FL609065AF'!X17</f>
            </strRef>
          </tx>
          <spPr>
            <a:ln xmlns:a="http://schemas.openxmlformats.org/drawingml/2006/main" w="18000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'15_FL609065AF'!$M$18:$M$27</f>
            </numRef>
          </xVal>
          <yVal>
            <numRef>
              <f>'15_FL609065AF'!$X$18:$X$27</f>
            </numRef>
          </yVal>
        </ser>
        <ser>
          <idx val="11"/>
          <order val="11"/>
          <tx>
            <strRef>
              <f>'15_FL609065AF'!Y17</f>
            </strRef>
          </tx>
          <spPr>
            <a:ln xmlns:a="http://schemas.openxmlformats.org/drawingml/2006/main" w="18000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'15_FL609065AF'!$M$18:$M$27</f>
            </numRef>
          </xVal>
          <yVal>
            <numRef>
              <f>'15_FL609065AF'!$Y$18:$Y$27</f>
            </numRef>
          </yVal>
        </ser>
        <axId val="10"/>
        <axId val="20"/>
      </scatterChart>
      <valAx>
        <axId val="10"/>
        <scaling>
          <logBase val="10"/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Duration (min)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logBase val="10"/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Intensity (mm/hr)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Catchment-style IDF - Gauge 20 (FL194557BF)</a:t>
            </a:r>
          </a:p>
        </rich>
      </tx>
    </title>
    <plotArea>
      <scatterChart>
        <ser>
          <idx val="0"/>
          <order val="0"/>
          <tx>
            <strRef>
              <f>'20_FL194557BF'!N17</f>
            </strRef>
          </tx>
          <spPr>
            <a:ln xmlns:a="http://schemas.openxmlformats.org/drawingml/2006/main" w="18000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'20_FL194557BF'!$M$18:$M$27</f>
            </numRef>
          </xVal>
          <yVal>
            <numRef>
              <f>'20_FL194557BF'!$N$18:$N$27</f>
            </numRef>
          </yVal>
        </ser>
        <ser>
          <idx val="1"/>
          <order val="1"/>
          <tx>
            <strRef>
              <f>'20_FL194557BF'!O17</f>
            </strRef>
          </tx>
          <spPr>
            <a:ln xmlns:a="http://schemas.openxmlformats.org/drawingml/2006/main" w="18000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'20_FL194557BF'!$M$18:$M$27</f>
            </numRef>
          </xVal>
          <yVal>
            <numRef>
              <f>'20_FL194557BF'!$O$18:$O$27</f>
            </numRef>
          </yVal>
        </ser>
        <ser>
          <idx val="2"/>
          <order val="2"/>
          <tx>
            <strRef>
              <f>'20_FL194557BF'!P17</f>
            </strRef>
          </tx>
          <spPr>
            <a:ln xmlns:a="http://schemas.openxmlformats.org/drawingml/2006/main" w="18000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'20_FL194557BF'!$M$18:$M$27</f>
            </numRef>
          </xVal>
          <yVal>
            <numRef>
              <f>'20_FL194557BF'!$P$18:$P$27</f>
            </numRef>
          </yVal>
        </ser>
        <ser>
          <idx val="3"/>
          <order val="3"/>
          <tx>
            <strRef>
              <f>'20_FL194557BF'!Q17</f>
            </strRef>
          </tx>
          <spPr>
            <a:ln xmlns:a="http://schemas.openxmlformats.org/drawingml/2006/main" w="18000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'20_FL194557BF'!$M$18:$M$27</f>
            </numRef>
          </xVal>
          <yVal>
            <numRef>
              <f>'20_FL194557BF'!$Q$18:$Q$27</f>
            </numRef>
          </yVal>
        </ser>
        <ser>
          <idx val="4"/>
          <order val="4"/>
          <tx>
            <strRef>
              <f>'20_FL194557BF'!R17</f>
            </strRef>
          </tx>
          <spPr>
            <a:ln xmlns:a="http://schemas.openxmlformats.org/drawingml/2006/main" w="18000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'20_FL194557BF'!$M$18:$M$27</f>
            </numRef>
          </xVal>
          <yVal>
            <numRef>
              <f>'20_FL194557BF'!$R$18:$R$27</f>
            </numRef>
          </yVal>
        </ser>
        <ser>
          <idx val="5"/>
          <order val="5"/>
          <tx>
            <strRef>
              <f>'20_FL194557BF'!S17</f>
            </strRef>
          </tx>
          <spPr>
            <a:ln xmlns:a="http://schemas.openxmlformats.org/drawingml/2006/main" w="18000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'20_FL194557BF'!$M$18:$M$27</f>
            </numRef>
          </xVal>
          <yVal>
            <numRef>
              <f>'20_FL194557BF'!$S$18:$S$27</f>
            </numRef>
          </yVal>
        </ser>
        <ser>
          <idx val="6"/>
          <order val="6"/>
          <tx>
            <strRef>
              <f>'20_FL194557BF'!T17</f>
            </strRef>
          </tx>
          <spPr>
            <a:ln xmlns:a="http://schemas.openxmlformats.org/drawingml/2006/main" w="18000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'20_FL194557BF'!$M$18:$M$27</f>
            </numRef>
          </xVal>
          <yVal>
            <numRef>
              <f>'20_FL194557BF'!$T$18:$T$27</f>
            </numRef>
          </yVal>
        </ser>
        <ser>
          <idx val="7"/>
          <order val="7"/>
          <tx>
            <strRef>
              <f>'20_FL194557BF'!U17</f>
            </strRef>
          </tx>
          <spPr>
            <a:ln xmlns:a="http://schemas.openxmlformats.org/drawingml/2006/main" w="18000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'20_FL194557BF'!$M$18:$M$27</f>
            </numRef>
          </xVal>
          <yVal>
            <numRef>
              <f>'20_FL194557BF'!$U$18:$U$27</f>
            </numRef>
          </yVal>
        </ser>
        <ser>
          <idx val="8"/>
          <order val="8"/>
          <tx>
            <strRef>
              <f>'20_FL194557BF'!V17</f>
            </strRef>
          </tx>
          <spPr>
            <a:ln xmlns:a="http://schemas.openxmlformats.org/drawingml/2006/main" w="18000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'20_FL194557BF'!$M$18:$M$27</f>
            </numRef>
          </xVal>
          <yVal>
            <numRef>
              <f>'20_FL194557BF'!$V$18:$V$27</f>
            </numRef>
          </yVal>
        </ser>
        <ser>
          <idx val="9"/>
          <order val="9"/>
          <tx>
            <strRef>
              <f>'20_FL194557BF'!W17</f>
            </strRef>
          </tx>
          <spPr>
            <a:ln xmlns:a="http://schemas.openxmlformats.org/drawingml/2006/main" w="18000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'20_FL194557BF'!$M$18:$M$27</f>
            </numRef>
          </xVal>
          <yVal>
            <numRef>
              <f>'20_FL194557BF'!$W$18:$W$27</f>
            </numRef>
          </yVal>
        </ser>
        <ser>
          <idx val="10"/>
          <order val="10"/>
          <tx>
            <strRef>
              <f>'20_FL194557BF'!X17</f>
            </strRef>
          </tx>
          <spPr>
            <a:ln xmlns:a="http://schemas.openxmlformats.org/drawingml/2006/main" w="18000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'20_FL194557BF'!$M$18:$M$27</f>
            </numRef>
          </xVal>
          <yVal>
            <numRef>
              <f>'20_FL194557BF'!$X$18:$X$27</f>
            </numRef>
          </yVal>
        </ser>
        <ser>
          <idx val="11"/>
          <order val="11"/>
          <tx>
            <strRef>
              <f>'20_FL194557BF'!Y17</f>
            </strRef>
          </tx>
          <spPr>
            <a:ln xmlns:a="http://schemas.openxmlformats.org/drawingml/2006/main" w="18000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'20_FL194557BF'!$M$18:$M$27</f>
            </numRef>
          </xVal>
          <yVal>
            <numRef>
              <f>'20_FL194557BF'!$Y$18:$Y$27</f>
            </numRef>
          </yVal>
        </ser>
        <axId val="10"/>
        <axId val="20"/>
      </scatterChart>
      <valAx>
        <axId val="10"/>
        <scaling>
          <logBase val="10"/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Duration (min)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logBase val="10"/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Intensity (mm/hr)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Catchment-style IDF - Gauge 21 (FL397706AF)</a:t>
            </a:r>
          </a:p>
        </rich>
      </tx>
    </title>
    <plotArea>
      <scatterChart>
        <ser>
          <idx val="0"/>
          <order val="0"/>
          <tx>
            <strRef>
              <f>'21_FL397706AF'!N17</f>
            </strRef>
          </tx>
          <spPr>
            <a:ln xmlns:a="http://schemas.openxmlformats.org/drawingml/2006/main" w="18000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'21_FL397706AF'!$M$18:$M$27</f>
            </numRef>
          </xVal>
          <yVal>
            <numRef>
              <f>'21_FL397706AF'!$N$18:$N$27</f>
            </numRef>
          </yVal>
        </ser>
        <ser>
          <idx val="1"/>
          <order val="1"/>
          <tx>
            <strRef>
              <f>'21_FL397706AF'!O17</f>
            </strRef>
          </tx>
          <spPr>
            <a:ln xmlns:a="http://schemas.openxmlformats.org/drawingml/2006/main" w="18000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'21_FL397706AF'!$M$18:$M$27</f>
            </numRef>
          </xVal>
          <yVal>
            <numRef>
              <f>'21_FL397706AF'!$O$18:$O$27</f>
            </numRef>
          </yVal>
        </ser>
        <ser>
          <idx val="2"/>
          <order val="2"/>
          <tx>
            <strRef>
              <f>'21_FL397706AF'!P17</f>
            </strRef>
          </tx>
          <spPr>
            <a:ln xmlns:a="http://schemas.openxmlformats.org/drawingml/2006/main" w="18000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'21_FL397706AF'!$M$18:$M$27</f>
            </numRef>
          </xVal>
          <yVal>
            <numRef>
              <f>'21_FL397706AF'!$P$18:$P$27</f>
            </numRef>
          </yVal>
        </ser>
        <ser>
          <idx val="3"/>
          <order val="3"/>
          <tx>
            <strRef>
              <f>'21_FL397706AF'!Q17</f>
            </strRef>
          </tx>
          <spPr>
            <a:ln xmlns:a="http://schemas.openxmlformats.org/drawingml/2006/main" w="18000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'21_FL397706AF'!$M$18:$M$27</f>
            </numRef>
          </xVal>
          <yVal>
            <numRef>
              <f>'21_FL397706AF'!$Q$18:$Q$27</f>
            </numRef>
          </yVal>
        </ser>
        <ser>
          <idx val="4"/>
          <order val="4"/>
          <tx>
            <strRef>
              <f>'21_FL397706AF'!R17</f>
            </strRef>
          </tx>
          <spPr>
            <a:ln xmlns:a="http://schemas.openxmlformats.org/drawingml/2006/main" w="18000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'21_FL397706AF'!$M$18:$M$27</f>
            </numRef>
          </xVal>
          <yVal>
            <numRef>
              <f>'21_FL397706AF'!$R$18:$R$27</f>
            </numRef>
          </yVal>
        </ser>
        <ser>
          <idx val="5"/>
          <order val="5"/>
          <tx>
            <strRef>
              <f>'21_FL397706AF'!S17</f>
            </strRef>
          </tx>
          <spPr>
            <a:ln xmlns:a="http://schemas.openxmlformats.org/drawingml/2006/main" w="18000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'21_FL397706AF'!$M$18:$M$27</f>
            </numRef>
          </xVal>
          <yVal>
            <numRef>
              <f>'21_FL397706AF'!$S$18:$S$27</f>
            </numRef>
          </yVal>
        </ser>
        <ser>
          <idx val="6"/>
          <order val="6"/>
          <tx>
            <strRef>
              <f>'21_FL397706AF'!T17</f>
            </strRef>
          </tx>
          <spPr>
            <a:ln xmlns:a="http://schemas.openxmlformats.org/drawingml/2006/main" w="18000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'21_FL397706AF'!$M$18:$M$27</f>
            </numRef>
          </xVal>
          <yVal>
            <numRef>
              <f>'21_FL397706AF'!$T$18:$T$27</f>
            </numRef>
          </yVal>
        </ser>
        <ser>
          <idx val="7"/>
          <order val="7"/>
          <tx>
            <strRef>
              <f>'21_FL397706AF'!U17</f>
            </strRef>
          </tx>
          <spPr>
            <a:ln xmlns:a="http://schemas.openxmlformats.org/drawingml/2006/main" w="18000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'21_FL397706AF'!$M$18:$M$27</f>
            </numRef>
          </xVal>
          <yVal>
            <numRef>
              <f>'21_FL397706AF'!$U$18:$U$27</f>
            </numRef>
          </yVal>
        </ser>
        <ser>
          <idx val="8"/>
          <order val="8"/>
          <tx>
            <strRef>
              <f>'21_FL397706AF'!V17</f>
            </strRef>
          </tx>
          <spPr>
            <a:ln xmlns:a="http://schemas.openxmlformats.org/drawingml/2006/main" w="18000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'21_FL397706AF'!$M$18:$M$27</f>
            </numRef>
          </xVal>
          <yVal>
            <numRef>
              <f>'21_FL397706AF'!$V$18:$V$27</f>
            </numRef>
          </yVal>
        </ser>
        <ser>
          <idx val="9"/>
          <order val="9"/>
          <tx>
            <strRef>
              <f>'21_FL397706AF'!W17</f>
            </strRef>
          </tx>
          <spPr>
            <a:ln xmlns:a="http://schemas.openxmlformats.org/drawingml/2006/main" w="18000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'21_FL397706AF'!$M$18:$M$27</f>
            </numRef>
          </xVal>
          <yVal>
            <numRef>
              <f>'21_FL397706AF'!$W$18:$W$27</f>
            </numRef>
          </yVal>
        </ser>
        <ser>
          <idx val="10"/>
          <order val="10"/>
          <tx>
            <strRef>
              <f>'21_FL397706AF'!X17</f>
            </strRef>
          </tx>
          <spPr>
            <a:ln xmlns:a="http://schemas.openxmlformats.org/drawingml/2006/main" w="18000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'21_FL397706AF'!$M$18:$M$27</f>
            </numRef>
          </xVal>
          <yVal>
            <numRef>
              <f>'21_FL397706AF'!$X$18:$X$27</f>
            </numRef>
          </yVal>
        </ser>
        <ser>
          <idx val="11"/>
          <order val="11"/>
          <tx>
            <strRef>
              <f>'21_FL397706AF'!Y17</f>
            </strRef>
          </tx>
          <spPr>
            <a:ln xmlns:a="http://schemas.openxmlformats.org/drawingml/2006/main" w="18000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'21_FL397706AF'!$M$18:$M$27</f>
            </numRef>
          </xVal>
          <yVal>
            <numRef>
              <f>'21_FL397706AF'!$Y$18:$Y$27</f>
            </numRef>
          </yVal>
        </ser>
        <axId val="10"/>
        <axId val="20"/>
      </scatterChart>
      <valAx>
        <axId val="10"/>
        <scaling>
          <logBase val="10"/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Duration (min)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logBase val="10"/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Intensity (mm/hr)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Catchment-style IDF - Gauge 22 (FL593824AF)</a:t>
            </a:r>
          </a:p>
        </rich>
      </tx>
    </title>
    <plotArea>
      <scatterChart>
        <ser>
          <idx val="0"/>
          <order val="0"/>
          <tx>
            <strRef>
              <f>'22_FL593824AF'!N17</f>
            </strRef>
          </tx>
          <spPr>
            <a:ln xmlns:a="http://schemas.openxmlformats.org/drawingml/2006/main" w="18000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'22_FL593824AF'!$M$18:$M$27</f>
            </numRef>
          </xVal>
          <yVal>
            <numRef>
              <f>'22_FL593824AF'!$N$18:$N$27</f>
            </numRef>
          </yVal>
        </ser>
        <ser>
          <idx val="1"/>
          <order val="1"/>
          <tx>
            <strRef>
              <f>'22_FL593824AF'!O17</f>
            </strRef>
          </tx>
          <spPr>
            <a:ln xmlns:a="http://schemas.openxmlformats.org/drawingml/2006/main" w="18000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'22_FL593824AF'!$M$18:$M$27</f>
            </numRef>
          </xVal>
          <yVal>
            <numRef>
              <f>'22_FL593824AF'!$O$18:$O$27</f>
            </numRef>
          </yVal>
        </ser>
        <ser>
          <idx val="2"/>
          <order val="2"/>
          <tx>
            <strRef>
              <f>'22_FL593824AF'!P17</f>
            </strRef>
          </tx>
          <spPr>
            <a:ln xmlns:a="http://schemas.openxmlformats.org/drawingml/2006/main" w="18000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'22_FL593824AF'!$M$18:$M$27</f>
            </numRef>
          </xVal>
          <yVal>
            <numRef>
              <f>'22_FL593824AF'!$P$18:$P$27</f>
            </numRef>
          </yVal>
        </ser>
        <ser>
          <idx val="3"/>
          <order val="3"/>
          <tx>
            <strRef>
              <f>'22_FL593824AF'!Q17</f>
            </strRef>
          </tx>
          <spPr>
            <a:ln xmlns:a="http://schemas.openxmlformats.org/drawingml/2006/main" w="18000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'22_FL593824AF'!$M$18:$M$27</f>
            </numRef>
          </xVal>
          <yVal>
            <numRef>
              <f>'22_FL593824AF'!$Q$18:$Q$27</f>
            </numRef>
          </yVal>
        </ser>
        <ser>
          <idx val="4"/>
          <order val="4"/>
          <tx>
            <strRef>
              <f>'22_FL593824AF'!R17</f>
            </strRef>
          </tx>
          <spPr>
            <a:ln xmlns:a="http://schemas.openxmlformats.org/drawingml/2006/main" w="18000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'22_FL593824AF'!$M$18:$M$27</f>
            </numRef>
          </xVal>
          <yVal>
            <numRef>
              <f>'22_FL593824AF'!$R$18:$R$27</f>
            </numRef>
          </yVal>
        </ser>
        <ser>
          <idx val="5"/>
          <order val="5"/>
          <tx>
            <strRef>
              <f>'22_FL593824AF'!S17</f>
            </strRef>
          </tx>
          <spPr>
            <a:ln xmlns:a="http://schemas.openxmlformats.org/drawingml/2006/main" w="18000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'22_FL593824AF'!$M$18:$M$27</f>
            </numRef>
          </xVal>
          <yVal>
            <numRef>
              <f>'22_FL593824AF'!$S$18:$S$27</f>
            </numRef>
          </yVal>
        </ser>
        <ser>
          <idx val="6"/>
          <order val="6"/>
          <tx>
            <strRef>
              <f>'22_FL593824AF'!T17</f>
            </strRef>
          </tx>
          <spPr>
            <a:ln xmlns:a="http://schemas.openxmlformats.org/drawingml/2006/main" w="18000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'22_FL593824AF'!$M$18:$M$27</f>
            </numRef>
          </xVal>
          <yVal>
            <numRef>
              <f>'22_FL593824AF'!$T$18:$T$27</f>
            </numRef>
          </yVal>
        </ser>
        <ser>
          <idx val="7"/>
          <order val="7"/>
          <tx>
            <strRef>
              <f>'22_FL593824AF'!U17</f>
            </strRef>
          </tx>
          <spPr>
            <a:ln xmlns:a="http://schemas.openxmlformats.org/drawingml/2006/main" w="18000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'22_FL593824AF'!$M$18:$M$27</f>
            </numRef>
          </xVal>
          <yVal>
            <numRef>
              <f>'22_FL593824AF'!$U$18:$U$27</f>
            </numRef>
          </yVal>
        </ser>
        <ser>
          <idx val="8"/>
          <order val="8"/>
          <tx>
            <strRef>
              <f>'22_FL593824AF'!V17</f>
            </strRef>
          </tx>
          <spPr>
            <a:ln xmlns:a="http://schemas.openxmlformats.org/drawingml/2006/main" w="18000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'22_FL593824AF'!$M$18:$M$27</f>
            </numRef>
          </xVal>
          <yVal>
            <numRef>
              <f>'22_FL593824AF'!$V$18:$V$27</f>
            </numRef>
          </yVal>
        </ser>
        <ser>
          <idx val="9"/>
          <order val="9"/>
          <tx>
            <strRef>
              <f>'22_FL593824AF'!W17</f>
            </strRef>
          </tx>
          <spPr>
            <a:ln xmlns:a="http://schemas.openxmlformats.org/drawingml/2006/main" w="18000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'22_FL593824AF'!$M$18:$M$27</f>
            </numRef>
          </xVal>
          <yVal>
            <numRef>
              <f>'22_FL593824AF'!$W$18:$W$27</f>
            </numRef>
          </yVal>
        </ser>
        <ser>
          <idx val="10"/>
          <order val="10"/>
          <tx>
            <strRef>
              <f>'22_FL593824AF'!X17</f>
            </strRef>
          </tx>
          <spPr>
            <a:ln xmlns:a="http://schemas.openxmlformats.org/drawingml/2006/main" w="18000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'22_FL593824AF'!$M$18:$M$27</f>
            </numRef>
          </xVal>
          <yVal>
            <numRef>
              <f>'22_FL593824AF'!$X$18:$X$27</f>
            </numRef>
          </yVal>
        </ser>
        <ser>
          <idx val="11"/>
          <order val="11"/>
          <tx>
            <strRef>
              <f>'22_FL593824AF'!Y17</f>
            </strRef>
          </tx>
          <spPr>
            <a:ln xmlns:a="http://schemas.openxmlformats.org/drawingml/2006/main" w="18000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'22_FL593824AF'!$M$18:$M$27</f>
            </numRef>
          </xVal>
          <yVal>
            <numRef>
              <f>'22_FL593824AF'!$Y$18:$Y$27</f>
            </numRef>
          </yVal>
        </ser>
        <axId val="10"/>
        <axId val="20"/>
      </scatterChart>
      <valAx>
        <axId val="10"/>
        <scaling>
          <logBase val="10"/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Duration (min)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logBase val="10"/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Intensity (mm/hr)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Catchment-style IDF - Gauge 26 (FL182756AF)</a:t>
            </a:r>
          </a:p>
        </rich>
      </tx>
    </title>
    <plotArea>
      <scatterChart>
        <ser>
          <idx val="0"/>
          <order val="0"/>
          <tx>
            <strRef>
              <f>'26_FL182756AF'!N17</f>
            </strRef>
          </tx>
          <spPr>
            <a:ln xmlns:a="http://schemas.openxmlformats.org/drawingml/2006/main" w="18000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'26_FL182756AF'!$M$18:$M$27</f>
            </numRef>
          </xVal>
          <yVal>
            <numRef>
              <f>'26_FL182756AF'!$N$18:$N$27</f>
            </numRef>
          </yVal>
        </ser>
        <ser>
          <idx val="1"/>
          <order val="1"/>
          <tx>
            <strRef>
              <f>'26_FL182756AF'!O17</f>
            </strRef>
          </tx>
          <spPr>
            <a:ln xmlns:a="http://schemas.openxmlformats.org/drawingml/2006/main" w="18000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'26_FL182756AF'!$M$18:$M$27</f>
            </numRef>
          </xVal>
          <yVal>
            <numRef>
              <f>'26_FL182756AF'!$O$18:$O$27</f>
            </numRef>
          </yVal>
        </ser>
        <ser>
          <idx val="2"/>
          <order val="2"/>
          <tx>
            <strRef>
              <f>'26_FL182756AF'!P17</f>
            </strRef>
          </tx>
          <spPr>
            <a:ln xmlns:a="http://schemas.openxmlformats.org/drawingml/2006/main" w="18000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'26_FL182756AF'!$M$18:$M$27</f>
            </numRef>
          </xVal>
          <yVal>
            <numRef>
              <f>'26_FL182756AF'!$P$18:$P$27</f>
            </numRef>
          </yVal>
        </ser>
        <ser>
          <idx val="3"/>
          <order val="3"/>
          <tx>
            <strRef>
              <f>'26_FL182756AF'!Q17</f>
            </strRef>
          </tx>
          <spPr>
            <a:ln xmlns:a="http://schemas.openxmlformats.org/drawingml/2006/main" w="18000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'26_FL182756AF'!$M$18:$M$27</f>
            </numRef>
          </xVal>
          <yVal>
            <numRef>
              <f>'26_FL182756AF'!$Q$18:$Q$27</f>
            </numRef>
          </yVal>
        </ser>
        <ser>
          <idx val="4"/>
          <order val="4"/>
          <tx>
            <strRef>
              <f>'26_FL182756AF'!R17</f>
            </strRef>
          </tx>
          <spPr>
            <a:ln xmlns:a="http://schemas.openxmlformats.org/drawingml/2006/main" w="18000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'26_FL182756AF'!$M$18:$M$27</f>
            </numRef>
          </xVal>
          <yVal>
            <numRef>
              <f>'26_FL182756AF'!$R$18:$R$27</f>
            </numRef>
          </yVal>
        </ser>
        <ser>
          <idx val="5"/>
          <order val="5"/>
          <tx>
            <strRef>
              <f>'26_FL182756AF'!S17</f>
            </strRef>
          </tx>
          <spPr>
            <a:ln xmlns:a="http://schemas.openxmlformats.org/drawingml/2006/main" w="18000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'26_FL182756AF'!$M$18:$M$27</f>
            </numRef>
          </xVal>
          <yVal>
            <numRef>
              <f>'26_FL182756AF'!$S$18:$S$27</f>
            </numRef>
          </yVal>
        </ser>
        <ser>
          <idx val="6"/>
          <order val="6"/>
          <tx>
            <strRef>
              <f>'26_FL182756AF'!T17</f>
            </strRef>
          </tx>
          <spPr>
            <a:ln xmlns:a="http://schemas.openxmlformats.org/drawingml/2006/main" w="18000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'26_FL182756AF'!$M$18:$M$27</f>
            </numRef>
          </xVal>
          <yVal>
            <numRef>
              <f>'26_FL182756AF'!$T$18:$T$27</f>
            </numRef>
          </yVal>
        </ser>
        <ser>
          <idx val="7"/>
          <order val="7"/>
          <tx>
            <strRef>
              <f>'26_FL182756AF'!U17</f>
            </strRef>
          </tx>
          <spPr>
            <a:ln xmlns:a="http://schemas.openxmlformats.org/drawingml/2006/main" w="18000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'26_FL182756AF'!$M$18:$M$27</f>
            </numRef>
          </xVal>
          <yVal>
            <numRef>
              <f>'26_FL182756AF'!$U$18:$U$27</f>
            </numRef>
          </yVal>
        </ser>
        <ser>
          <idx val="8"/>
          <order val="8"/>
          <tx>
            <strRef>
              <f>'26_FL182756AF'!V17</f>
            </strRef>
          </tx>
          <spPr>
            <a:ln xmlns:a="http://schemas.openxmlformats.org/drawingml/2006/main" w="18000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'26_FL182756AF'!$M$18:$M$27</f>
            </numRef>
          </xVal>
          <yVal>
            <numRef>
              <f>'26_FL182756AF'!$V$18:$V$27</f>
            </numRef>
          </yVal>
        </ser>
        <ser>
          <idx val="9"/>
          <order val="9"/>
          <tx>
            <strRef>
              <f>'26_FL182756AF'!W17</f>
            </strRef>
          </tx>
          <spPr>
            <a:ln xmlns:a="http://schemas.openxmlformats.org/drawingml/2006/main" w="18000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'26_FL182756AF'!$M$18:$M$27</f>
            </numRef>
          </xVal>
          <yVal>
            <numRef>
              <f>'26_FL182756AF'!$W$18:$W$27</f>
            </numRef>
          </yVal>
        </ser>
        <ser>
          <idx val="10"/>
          <order val="10"/>
          <tx>
            <strRef>
              <f>'26_FL182756AF'!X17</f>
            </strRef>
          </tx>
          <spPr>
            <a:ln xmlns:a="http://schemas.openxmlformats.org/drawingml/2006/main" w="18000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'26_FL182756AF'!$M$18:$M$27</f>
            </numRef>
          </xVal>
          <yVal>
            <numRef>
              <f>'26_FL182756AF'!$X$18:$X$27</f>
            </numRef>
          </yVal>
        </ser>
        <ser>
          <idx val="11"/>
          <order val="11"/>
          <tx>
            <strRef>
              <f>'26_FL182756AF'!Y17</f>
            </strRef>
          </tx>
          <spPr>
            <a:ln xmlns:a="http://schemas.openxmlformats.org/drawingml/2006/main" w="18000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'26_FL182756AF'!$M$18:$M$27</f>
            </numRef>
          </xVal>
          <yVal>
            <numRef>
              <f>'26_FL182756AF'!$Y$18:$Y$27</f>
            </numRef>
          </yVal>
        </ser>
        <axId val="10"/>
        <axId val="20"/>
      </scatterChart>
      <valAx>
        <axId val="10"/>
        <scaling>
          <logBase val="10"/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Duration (min)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logBase val="10"/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Intensity (mm/hr)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Catchment-style IDF - Gauge 27 (FL385022AF)</a:t>
            </a:r>
          </a:p>
        </rich>
      </tx>
    </title>
    <plotArea>
      <scatterChart>
        <ser>
          <idx val="0"/>
          <order val="0"/>
          <tx>
            <strRef>
              <f>'27_FL385022AF'!N17</f>
            </strRef>
          </tx>
          <spPr>
            <a:ln xmlns:a="http://schemas.openxmlformats.org/drawingml/2006/main" w="18000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'27_FL385022AF'!$M$18:$M$27</f>
            </numRef>
          </xVal>
          <yVal>
            <numRef>
              <f>'27_FL385022AF'!$N$18:$N$27</f>
            </numRef>
          </yVal>
        </ser>
        <ser>
          <idx val="1"/>
          <order val="1"/>
          <tx>
            <strRef>
              <f>'27_FL385022AF'!O17</f>
            </strRef>
          </tx>
          <spPr>
            <a:ln xmlns:a="http://schemas.openxmlformats.org/drawingml/2006/main" w="18000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'27_FL385022AF'!$M$18:$M$27</f>
            </numRef>
          </xVal>
          <yVal>
            <numRef>
              <f>'27_FL385022AF'!$O$18:$O$27</f>
            </numRef>
          </yVal>
        </ser>
        <ser>
          <idx val="2"/>
          <order val="2"/>
          <tx>
            <strRef>
              <f>'27_FL385022AF'!P17</f>
            </strRef>
          </tx>
          <spPr>
            <a:ln xmlns:a="http://schemas.openxmlformats.org/drawingml/2006/main" w="18000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'27_FL385022AF'!$M$18:$M$27</f>
            </numRef>
          </xVal>
          <yVal>
            <numRef>
              <f>'27_FL385022AF'!$P$18:$P$27</f>
            </numRef>
          </yVal>
        </ser>
        <ser>
          <idx val="3"/>
          <order val="3"/>
          <tx>
            <strRef>
              <f>'27_FL385022AF'!Q17</f>
            </strRef>
          </tx>
          <spPr>
            <a:ln xmlns:a="http://schemas.openxmlformats.org/drawingml/2006/main" w="18000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'27_FL385022AF'!$M$18:$M$27</f>
            </numRef>
          </xVal>
          <yVal>
            <numRef>
              <f>'27_FL385022AF'!$Q$18:$Q$27</f>
            </numRef>
          </yVal>
        </ser>
        <ser>
          <idx val="4"/>
          <order val="4"/>
          <tx>
            <strRef>
              <f>'27_FL385022AF'!R17</f>
            </strRef>
          </tx>
          <spPr>
            <a:ln xmlns:a="http://schemas.openxmlformats.org/drawingml/2006/main" w="18000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'27_FL385022AF'!$M$18:$M$27</f>
            </numRef>
          </xVal>
          <yVal>
            <numRef>
              <f>'27_FL385022AF'!$R$18:$R$27</f>
            </numRef>
          </yVal>
        </ser>
        <ser>
          <idx val="5"/>
          <order val="5"/>
          <tx>
            <strRef>
              <f>'27_FL385022AF'!S17</f>
            </strRef>
          </tx>
          <spPr>
            <a:ln xmlns:a="http://schemas.openxmlformats.org/drawingml/2006/main" w="18000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'27_FL385022AF'!$M$18:$M$27</f>
            </numRef>
          </xVal>
          <yVal>
            <numRef>
              <f>'27_FL385022AF'!$S$18:$S$27</f>
            </numRef>
          </yVal>
        </ser>
        <ser>
          <idx val="6"/>
          <order val="6"/>
          <tx>
            <strRef>
              <f>'27_FL385022AF'!T17</f>
            </strRef>
          </tx>
          <spPr>
            <a:ln xmlns:a="http://schemas.openxmlformats.org/drawingml/2006/main" w="18000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'27_FL385022AF'!$M$18:$M$27</f>
            </numRef>
          </xVal>
          <yVal>
            <numRef>
              <f>'27_FL385022AF'!$T$18:$T$27</f>
            </numRef>
          </yVal>
        </ser>
        <ser>
          <idx val="7"/>
          <order val="7"/>
          <tx>
            <strRef>
              <f>'27_FL385022AF'!U17</f>
            </strRef>
          </tx>
          <spPr>
            <a:ln xmlns:a="http://schemas.openxmlformats.org/drawingml/2006/main" w="18000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'27_FL385022AF'!$M$18:$M$27</f>
            </numRef>
          </xVal>
          <yVal>
            <numRef>
              <f>'27_FL385022AF'!$U$18:$U$27</f>
            </numRef>
          </yVal>
        </ser>
        <ser>
          <idx val="8"/>
          <order val="8"/>
          <tx>
            <strRef>
              <f>'27_FL385022AF'!V17</f>
            </strRef>
          </tx>
          <spPr>
            <a:ln xmlns:a="http://schemas.openxmlformats.org/drawingml/2006/main" w="18000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'27_FL385022AF'!$M$18:$M$27</f>
            </numRef>
          </xVal>
          <yVal>
            <numRef>
              <f>'27_FL385022AF'!$V$18:$V$27</f>
            </numRef>
          </yVal>
        </ser>
        <ser>
          <idx val="9"/>
          <order val="9"/>
          <tx>
            <strRef>
              <f>'27_FL385022AF'!W17</f>
            </strRef>
          </tx>
          <spPr>
            <a:ln xmlns:a="http://schemas.openxmlformats.org/drawingml/2006/main" w="18000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'27_FL385022AF'!$M$18:$M$27</f>
            </numRef>
          </xVal>
          <yVal>
            <numRef>
              <f>'27_FL385022AF'!$W$18:$W$27</f>
            </numRef>
          </yVal>
        </ser>
        <ser>
          <idx val="10"/>
          <order val="10"/>
          <tx>
            <strRef>
              <f>'27_FL385022AF'!X17</f>
            </strRef>
          </tx>
          <spPr>
            <a:ln xmlns:a="http://schemas.openxmlformats.org/drawingml/2006/main" w="18000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'27_FL385022AF'!$M$18:$M$27</f>
            </numRef>
          </xVal>
          <yVal>
            <numRef>
              <f>'27_FL385022AF'!$X$18:$X$27</f>
            </numRef>
          </yVal>
        </ser>
        <ser>
          <idx val="11"/>
          <order val="11"/>
          <tx>
            <strRef>
              <f>'27_FL385022AF'!Y17</f>
            </strRef>
          </tx>
          <spPr>
            <a:ln xmlns:a="http://schemas.openxmlformats.org/drawingml/2006/main" w="18000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'27_FL385022AF'!$M$18:$M$27</f>
            </numRef>
          </xVal>
          <yVal>
            <numRef>
              <f>'27_FL385022AF'!$Y$18:$Y$27</f>
            </numRef>
          </yVal>
        </ser>
        <axId val="10"/>
        <axId val="20"/>
      </scatterChart>
      <valAx>
        <axId val="10"/>
        <scaling>
          <logBase val="10"/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Duration (min)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logBase val="10"/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Intensity (mm/hr)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Catchment-style IDF - Gauge 28 (FL481079AF)</a:t>
            </a:r>
          </a:p>
        </rich>
      </tx>
    </title>
    <plotArea>
      <scatterChart>
        <ser>
          <idx val="0"/>
          <order val="0"/>
          <tx>
            <strRef>
              <f>'28_FL481079AF'!N17</f>
            </strRef>
          </tx>
          <spPr>
            <a:ln xmlns:a="http://schemas.openxmlformats.org/drawingml/2006/main" w="18000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'28_FL481079AF'!$M$18:$M$27</f>
            </numRef>
          </xVal>
          <yVal>
            <numRef>
              <f>'28_FL481079AF'!$N$18:$N$27</f>
            </numRef>
          </yVal>
        </ser>
        <ser>
          <idx val="1"/>
          <order val="1"/>
          <tx>
            <strRef>
              <f>'28_FL481079AF'!O17</f>
            </strRef>
          </tx>
          <spPr>
            <a:ln xmlns:a="http://schemas.openxmlformats.org/drawingml/2006/main" w="18000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'28_FL481079AF'!$M$18:$M$27</f>
            </numRef>
          </xVal>
          <yVal>
            <numRef>
              <f>'28_FL481079AF'!$O$18:$O$27</f>
            </numRef>
          </yVal>
        </ser>
        <ser>
          <idx val="2"/>
          <order val="2"/>
          <tx>
            <strRef>
              <f>'28_FL481079AF'!P17</f>
            </strRef>
          </tx>
          <spPr>
            <a:ln xmlns:a="http://schemas.openxmlformats.org/drawingml/2006/main" w="18000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'28_FL481079AF'!$M$18:$M$27</f>
            </numRef>
          </xVal>
          <yVal>
            <numRef>
              <f>'28_FL481079AF'!$P$18:$P$27</f>
            </numRef>
          </yVal>
        </ser>
        <ser>
          <idx val="3"/>
          <order val="3"/>
          <tx>
            <strRef>
              <f>'28_FL481079AF'!Q17</f>
            </strRef>
          </tx>
          <spPr>
            <a:ln xmlns:a="http://schemas.openxmlformats.org/drawingml/2006/main" w="18000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'28_FL481079AF'!$M$18:$M$27</f>
            </numRef>
          </xVal>
          <yVal>
            <numRef>
              <f>'28_FL481079AF'!$Q$18:$Q$27</f>
            </numRef>
          </yVal>
        </ser>
        <ser>
          <idx val="4"/>
          <order val="4"/>
          <tx>
            <strRef>
              <f>'28_FL481079AF'!R17</f>
            </strRef>
          </tx>
          <spPr>
            <a:ln xmlns:a="http://schemas.openxmlformats.org/drawingml/2006/main" w="18000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'28_FL481079AF'!$M$18:$M$27</f>
            </numRef>
          </xVal>
          <yVal>
            <numRef>
              <f>'28_FL481079AF'!$R$18:$R$27</f>
            </numRef>
          </yVal>
        </ser>
        <ser>
          <idx val="5"/>
          <order val="5"/>
          <tx>
            <strRef>
              <f>'28_FL481079AF'!S17</f>
            </strRef>
          </tx>
          <spPr>
            <a:ln xmlns:a="http://schemas.openxmlformats.org/drawingml/2006/main" w="18000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'28_FL481079AF'!$M$18:$M$27</f>
            </numRef>
          </xVal>
          <yVal>
            <numRef>
              <f>'28_FL481079AF'!$S$18:$S$27</f>
            </numRef>
          </yVal>
        </ser>
        <ser>
          <idx val="6"/>
          <order val="6"/>
          <tx>
            <strRef>
              <f>'28_FL481079AF'!T17</f>
            </strRef>
          </tx>
          <spPr>
            <a:ln xmlns:a="http://schemas.openxmlformats.org/drawingml/2006/main" w="18000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'28_FL481079AF'!$M$18:$M$27</f>
            </numRef>
          </xVal>
          <yVal>
            <numRef>
              <f>'28_FL481079AF'!$T$18:$T$27</f>
            </numRef>
          </yVal>
        </ser>
        <ser>
          <idx val="7"/>
          <order val="7"/>
          <tx>
            <strRef>
              <f>'28_FL481079AF'!U17</f>
            </strRef>
          </tx>
          <spPr>
            <a:ln xmlns:a="http://schemas.openxmlformats.org/drawingml/2006/main" w="18000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'28_FL481079AF'!$M$18:$M$27</f>
            </numRef>
          </xVal>
          <yVal>
            <numRef>
              <f>'28_FL481079AF'!$U$18:$U$27</f>
            </numRef>
          </yVal>
        </ser>
        <ser>
          <idx val="8"/>
          <order val="8"/>
          <tx>
            <strRef>
              <f>'28_FL481079AF'!V17</f>
            </strRef>
          </tx>
          <spPr>
            <a:ln xmlns:a="http://schemas.openxmlformats.org/drawingml/2006/main" w="18000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'28_FL481079AF'!$M$18:$M$27</f>
            </numRef>
          </xVal>
          <yVal>
            <numRef>
              <f>'28_FL481079AF'!$V$18:$V$27</f>
            </numRef>
          </yVal>
        </ser>
        <ser>
          <idx val="9"/>
          <order val="9"/>
          <tx>
            <strRef>
              <f>'28_FL481079AF'!W17</f>
            </strRef>
          </tx>
          <spPr>
            <a:ln xmlns:a="http://schemas.openxmlformats.org/drawingml/2006/main" w="18000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'28_FL481079AF'!$M$18:$M$27</f>
            </numRef>
          </xVal>
          <yVal>
            <numRef>
              <f>'28_FL481079AF'!$W$18:$W$27</f>
            </numRef>
          </yVal>
        </ser>
        <ser>
          <idx val="10"/>
          <order val="10"/>
          <tx>
            <strRef>
              <f>'28_FL481079AF'!X17</f>
            </strRef>
          </tx>
          <spPr>
            <a:ln xmlns:a="http://schemas.openxmlformats.org/drawingml/2006/main" w="18000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'28_FL481079AF'!$M$18:$M$27</f>
            </numRef>
          </xVal>
          <yVal>
            <numRef>
              <f>'28_FL481079AF'!$X$18:$X$27</f>
            </numRef>
          </yVal>
        </ser>
        <ser>
          <idx val="11"/>
          <order val="11"/>
          <tx>
            <strRef>
              <f>'28_FL481079AF'!Y17</f>
            </strRef>
          </tx>
          <spPr>
            <a:ln xmlns:a="http://schemas.openxmlformats.org/drawingml/2006/main" w="18000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'28_FL481079AF'!$M$18:$M$27</f>
            </numRef>
          </xVal>
          <yVal>
            <numRef>
              <f>'28_FL481079AF'!$Y$18:$Y$27</f>
            </numRef>
          </yVal>
        </ser>
        <axId val="10"/>
        <axId val="20"/>
      </scatterChart>
      <valAx>
        <axId val="10"/>
        <scaling>
          <logBase val="10"/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Duration (min)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logBase val="10"/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Intensity (mm/hr)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Catchment-style IDF - Gauge 29 (FL580672AF)</a:t>
            </a:r>
          </a:p>
        </rich>
      </tx>
    </title>
    <plotArea>
      <scatterChart>
        <ser>
          <idx val="0"/>
          <order val="0"/>
          <tx>
            <strRef>
              <f>'29_FL580672AF'!N17</f>
            </strRef>
          </tx>
          <spPr>
            <a:ln xmlns:a="http://schemas.openxmlformats.org/drawingml/2006/main" w="18000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'29_FL580672AF'!$M$18:$M$27</f>
            </numRef>
          </xVal>
          <yVal>
            <numRef>
              <f>'29_FL580672AF'!$N$18:$N$27</f>
            </numRef>
          </yVal>
        </ser>
        <ser>
          <idx val="1"/>
          <order val="1"/>
          <tx>
            <strRef>
              <f>'29_FL580672AF'!O17</f>
            </strRef>
          </tx>
          <spPr>
            <a:ln xmlns:a="http://schemas.openxmlformats.org/drawingml/2006/main" w="18000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'29_FL580672AF'!$M$18:$M$27</f>
            </numRef>
          </xVal>
          <yVal>
            <numRef>
              <f>'29_FL580672AF'!$O$18:$O$27</f>
            </numRef>
          </yVal>
        </ser>
        <ser>
          <idx val="2"/>
          <order val="2"/>
          <tx>
            <strRef>
              <f>'29_FL580672AF'!P17</f>
            </strRef>
          </tx>
          <spPr>
            <a:ln xmlns:a="http://schemas.openxmlformats.org/drawingml/2006/main" w="18000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'29_FL580672AF'!$M$18:$M$27</f>
            </numRef>
          </xVal>
          <yVal>
            <numRef>
              <f>'29_FL580672AF'!$P$18:$P$27</f>
            </numRef>
          </yVal>
        </ser>
        <ser>
          <idx val="3"/>
          <order val="3"/>
          <tx>
            <strRef>
              <f>'29_FL580672AF'!Q17</f>
            </strRef>
          </tx>
          <spPr>
            <a:ln xmlns:a="http://schemas.openxmlformats.org/drawingml/2006/main" w="18000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'29_FL580672AF'!$M$18:$M$27</f>
            </numRef>
          </xVal>
          <yVal>
            <numRef>
              <f>'29_FL580672AF'!$Q$18:$Q$27</f>
            </numRef>
          </yVal>
        </ser>
        <ser>
          <idx val="4"/>
          <order val="4"/>
          <tx>
            <strRef>
              <f>'29_FL580672AF'!R17</f>
            </strRef>
          </tx>
          <spPr>
            <a:ln xmlns:a="http://schemas.openxmlformats.org/drawingml/2006/main" w="18000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'29_FL580672AF'!$M$18:$M$27</f>
            </numRef>
          </xVal>
          <yVal>
            <numRef>
              <f>'29_FL580672AF'!$R$18:$R$27</f>
            </numRef>
          </yVal>
        </ser>
        <ser>
          <idx val="5"/>
          <order val="5"/>
          <tx>
            <strRef>
              <f>'29_FL580672AF'!S17</f>
            </strRef>
          </tx>
          <spPr>
            <a:ln xmlns:a="http://schemas.openxmlformats.org/drawingml/2006/main" w="18000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'29_FL580672AF'!$M$18:$M$27</f>
            </numRef>
          </xVal>
          <yVal>
            <numRef>
              <f>'29_FL580672AF'!$S$18:$S$27</f>
            </numRef>
          </yVal>
        </ser>
        <ser>
          <idx val="6"/>
          <order val="6"/>
          <tx>
            <strRef>
              <f>'29_FL580672AF'!T17</f>
            </strRef>
          </tx>
          <spPr>
            <a:ln xmlns:a="http://schemas.openxmlformats.org/drawingml/2006/main" w="18000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'29_FL580672AF'!$M$18:$M$27</f>
            </numRef>
          </xVal>
          <yVal>
            <numRef>
              <f>'29_FL580672AF'!$T$18:$T$27</f>
            </numRef>
          </yVal>
        </ser>
        <ser>
          <idx val="7"/>
          <order val="7"/>
          <tx>
            <strRef>
              <f>'29_FL580672AF'!U17</f>
            </strRef>
          </tx>
          <spPr>
            <a:ln xmlns:a="http://schemas.openxmlformats.org/drawingml/2006/main" w="18000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'29_FL580672AF'!$M$18:$M$27</f>
            </numRef>
          </xVal>
          <yVal>
            <numRef>
              <f>'29_FL580672AF'!$U$18:$U$27</f>
            </numRef>
          </yVal>
        </ser>
        <ser>
          <idx val="8"/>
          <order val="8"/>
          <tx>
            <strRef>
              <f>'29_FL580672AF'!V17</f>
            </strRef>
          </tx>
          <spPr>
            <a:ln xmlns:a="http://schemas.openxmlformats.org/drawingml/2006/main" w="18000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'29_FL580672AF'!$M$18:$M$27</f>
            </numRef>
          </xVal>
          <yVal>
            <numRef>
              <f>'29_FL580672AF'!$V$18:$V$27</f>
            </numRef>
          </yVal>
        </ser>
        <ser>
          <idx val="9"/>
          <order val="9"/>
          <tx>
            <strRef>
              <f>'29_FL580672AF'!W17</f>
            </strRef>
          </tx>
          <spPr>
            <a:ln xmlns:a="http://schemas.openxmlformats.org/drawingml/2006/main" w="18000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'29_FL580672AF'!$M$18:$M$27</f>
            </numRef>
          </xVal>
          <yVal>
            <numRef>
              <f>'29_FL580672AF'!$W$18:$W$27</f>
            </numRef>
          </yVal>
        </ser>
        <ser>
          <idx val="10"/>
          <order val="10"/>
          <tx>
            <strRef>
              <f>'29_FL580672AF'!X17</f>
            </strRef>
          </tx>
          <spPr>
            <a:ln xmlns:a="http://schemas.openxmlformats.org/drawingml/2006/main" w="18000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'29_FL580672AF'!$M$18:$M$27</f>
            </numRef>
          </xVal>
          <yVal>
            <numRef>
              <f>'29_FL580672AF'!$X$18:$X$27</f>
            </numRef>
          </yVal>
        </ser>
        <ser>
          <idx val="11"/>
          <order val="11"/>
          <tx>
            <strRef>
              <f>'29_FL580672AF'!Y17</f>
            </strRef>
          </tx>
          <spPr>
            <a:ln xmlns:a="http://schemas.openxmlformats.org/drawingml/2006/main" w="18000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'29_FL580672AF'!$M$18:$M$27</f>
            </numRef>
          </xVal>
          <yVal>
            <numRef>
              <f>'29_FL580672AF'!$Y$18:$Y$27</f>
            </numRef>
          </yVal>
        </ser>
        <axId val="10"/>
        <axId val="20"/>
      </scatterChart>
      <valAx>
        <axId val="10"/>
        <scaling>
          <logBase val="10"/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Duration (min)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logBase val="10"/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Intensity (mm/hr)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6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Catchment-style IDF - Gauge 30 (FL585627AF)</a:t>
            </a:r>
          </a:p>
        </rich>
      </tx>
    </title>
    <plotArea>
      <scatterChart>
        <ser>
          <idx val="0"/>
          <order val="0"/>
          <tx>
            <strRef>
              <f>'30_FL585627AF'!N17</f>
            </strRef>
          </tx>
          <spPr>
            <a:ln xmlns:a="http://schemas.openxmlformats.org/drawingml/2006/main" w="18000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'30_FL585627AF'!$M$18:$M$27</f>
            </numRef>
          </xVal>
          <yVal>
            <numRef>
              <f>'30_FL585627AF'!$N$18:$N$27</f>
            </numRef>
          </yVal>
        </ser>
        <ser>
          <idx val="1"/>
          <order val="1"/>
          <tx>
            <strRef>
              <f>'30_FL585627AF'!O17</f>
            </strRef>
          </tx>
          <spPr>
            <a:ln xmlns:a="http://schemas.openxmlformats.org/drawingml/2006/main" w="18000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'30_FL585627AF'!$M$18:$M$27</f>
            </numRef>
          </xVal>
          <yVal>
            <numRef>
              <f>'30_FL585627AF'!$O$18:$O$27</f>
            </numRef>
          </yVal>
        </ser>
        <ser>
          <idx val="2"/>
          <order val="2"/>
          <tx>
            <strRef>
              <f>'30_FL585627AF'!P17</f>
            </strRef>
          </tx>
          <spPr>
            <a:ln xmlns:a="http://schemas.openxmlformats.org/drawingml/2006/main" w="18000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'30_FL585627AF'!$M$18:$M$27</f>
            </numRef>
          </xVal>
          <yVal>
            <numRef>
              <f>'30_FL585627AF'!$P$18:$P$27</f>
            </numRef>
          </yVal>
        </ser>
        <ser>
          <idx val="3"/>
          <order val="3"/>
          <tx>
            <strRef>
              <f>'30_FL585627AF'!Q17</f>
            </strRef>
          </tx>
          <spPr>
            <a:ln xmlns:a="http://schemas.openxmlformats.org/drawingml/2006/main" w="18000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'30_FL585627AF'!$M$18:$M$27</f>
            </numRef>
          </xVal>
          <yVal>
            <numRef>
              <f>'30_FL585627AF'!$Q$18:$Q$27</f>
            </numRef>
          </yVal>
        </ser>
        <ser>
          <idx val="4"/>
          <order val="4"/>
          <tx>
            <strRef>
              <f>'30_FL585627AF'!R17</f>
            </strRef>
          </tx>
          <spPr>
            <a:ln xmlns:a="http://schemas.openxmlformats.org/drawingml/2006/main" w="18000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'30_FL585627AF'!$M$18:$M$27</f>
            </numRef>
          </xVal>
          <yVal>
            <numRef>
              <f>'30_FL585627AF'!$R$18:$R$27</f>
            </numRef>
          </yVal>
        </ser>
        <ser>
          <idx val="5"/>
          <order val="5"/>
          <tx>
            <strRef>
              <f>'30_FL585627AF'!S17</f>
            </strRef>
          </tx>
          <spPr>
            <a:ln xmlns:a="http://schemas.openxmlformats.org/drawingml/2006/main" w="18000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'30_FL585627AF'!$M$18:$M$27</f>
            </numRef>
          </xVal>
          <yVal>
            <numRef>
              <f>'30_FL585627AF'!$S$18:$S$27</f>
            </numRef>
          </yVal>
        </ser>
        <ser>
          <idx val="6"/>
          <order val="6"/>
          <tx>
            <strRef>
              <f>'30_FL585627AF'!T17</f>
            </strRef>
          </tx>
          <spPr>
            <a:ln xmlns:a="http://schemas.openxmlformats.org/drawingml/2006/main" w="18000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'30_FL585627AF'!$M$18:$M$27</f>
            </numRef>
          </xVal>
          <yVal>
            <numRef>
              <f>'30_FL585627AF'!$T$18:$T$27</f>
            </numRef>
          </yVal>
        </ser>
        <ser>
          <idx val="7"/>
          <order val="7"/>
          <tx>
            <strRef>
              <f>'30_FL585627AF'!U17</f>
            </strRef>
          </tx>
          <spPr>
            <a:ln xmlns:a="http://schemas.openxmlformats.org/drawingml/2006/main" w="18000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'30_FL585627AF'!$M$18:$M$27</f>
            </numRef>
          </xVal>
          <yVal>
            <numRef>
              <f>'30_FL585627AF'!$U$18:$U$27</f>
            </numRef>
          </yVal>
        </ser>
        <ser>
          <idx val="8"/>
          <order val="8"/>
          <tx>
            <strRef>
              <f>'30_FL585627AF'!V17</f>
            </strRef>
          </tx>
          <spPr>
            <a:ln xmlns:a="http://schemas.openxmlformats.org/drawingml/2006/main" w="18000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'30_FL585627AF'!$M$18:$M$27</f>
            </numRef>
          </xVal>
          <yVal>
            <numRef>
              <f>'30_FL585627AF'!$V$18:$V$27</f>
            </numRef>
          </yVal>
        </ser>
        <ser>
          <idx val="9"/>
          <order val="9"/>
          <tx>
            <strRef>
              <f>'30_FL585627AF'!W17</f>
            </strRef>
          </tx>
          <spPr>
            <a:ln xmlns:a="http://schemas.openxmlformats.org/drawingml/2006/main" w="18000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'30_FL585627AF'!$M$18:$M$27</f>
            </numRef>
          </xVal>
          <yVal>
            <numRef>
              <f>'30_FL585627AF'!$W$18:$W$27</f>
            </numRef>
          </yVal>
        </ser>
        <ser>
          <idx val="10"/>
          <order val="10"/>
          <tx>
            <strRef>
              <f>'30_FL585627AF'!X17</f>
            </strRef>
          </tx>
          <spPr>
            <a:ln xmlns:a="http://schemas.openxmlformats.org/drawingml/2006/main" w="18000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'30_FL585627AF'!$M$18:$M$27</f>
            </numRef>
          </xVal>
          <yVal>
            <numRef>
              <f>'30_FL585627AF'!$X$18:$X$27</f>
            </numRef>
          </yVal>
        </ser>
        <ser>
          <idx val="11"/>
          <order val="11"/>
          <tx>
            <strRef>
              <f>'30_FL585627AF'!Y17</f>
            </strRef>
          </tx>
          <spPr>
            <a:ln xmlns:a="http://schemas.openxmlformats.org/drawingml/2006/main" w="18000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'30_FL585627AF'!$M$18:$M$27</f>
            </numRef>
          </xVal>
          <yVal>
            <numRef>
              <f>'30_FL585627AF'!$Y$18:$Y$27</f>
            </numRef>
          </yVal>
        </ser>
        <axId val="10"/>
        <axId val="20"/>
      </scatterChart>
      <valAx>
        <axId val="10"/>
        <scaling>
          <logBase val="10"/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Duration (min)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logBase val="10"/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Intensity (mm/hr)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7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Catchment-style IDF - Gauge 31 (FL681271CF)</a:t>
            </a:r>
          </a:p>
        </rich>
      </tx>
    </title>
    <plotArea>
      <scatterChart>
        <ser>
          <idx val="0"/>
          <order val="0"/>
          <tx>
            <strRef>
              <f>'31_FL681271CF'!N17</f>
            </strRef>
          </tx>
          <spPr>
            <a:ln xmlns:a="http://schemas.openxmlformats.org/drawingml/2006/main" w="18000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'31_FL681271CF'!$M$18:$M$27</f>
            </numRef>
          </xVal>
          <yVal>
            <numRef>
              <f>'31_FL681271CF'!$N$18:$N$27</f>
            </numRef>
          </yVal>
        </ser>
        <ser>
          <idx val="1"/>
          <order val="1"/>
          <tx>
            <strRef>
              <f>'31_FL681271CF'!O17</f>
            </strRef>
          </tx>
          <spPr>
            <a:ln xmlns:a="http://schemas.openxmlformats.org/drawingml/2006/main" w="18000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'31_FL681271CF'!$M$18:$M$27</f>
            </numRef>
          </xVal>
          <yVal>
            <numRef>
              <f>'31_FL681271CF'!$O$18:$O$27</f>
            </numRef>
          </yVal>
        </ser>
        <ser>
          <idx val="2"/>
          <order val="2"/>
          <tx>
            <strRef>
              <f>'31_FL681271CF'!P17</f>
            </strRef>
          </tx>
          <spPr>
            <a:ln xmlns:a="http://schemas.openxmlformats.org/drawingml/2006/main" w="18000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'31_FL681271CF'!$M$18:$M$27</f>
            </numRef>
          </xVal>
          <yVal>
            <numRef>
              <f>'31_FL681271CF'!$P$18:$P$27</f>
            </numRef>
          </yVal>
        </ser>
        <ser>
          <idx val="3"/>
          <order val="3"/>
          <tx>
            <strRef>
              <f>'31_FL681271CF'!Q17</f>
            </strRef>
          </tx>
          <spPr>
            <a:ln xmlns:a="http://schemas.openxmlformats.org/drawingml/2006/main" w="18000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'31_FL681271CF'!$M$18:$M$27</f>
            </numRef>
          </xVal>
          <yVal>
            <numRef>
              <f>'31_FL681271CF'!$Q$18:$Q$27</f>
            </numRef>
          </yVal>
        </ser>
        <ser>
          <idx val="4"/>
          <order val="4"/>
          <tx>
            <strRef>
              <f>'31_FL681271CF'!R17</f>
            </strRef>
          </tx>
          <spPr>
            <a:ln xmlns:a="http://schemas.openxmlformats.org/drawingml/2006/main" w="18000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'31_FL681271CF'!$M$18:$M$27</f>
            </numRef>
          </xVal>
          <yVal>
            <numRef>
              <f>'31_FL681271CF'!$R$18:$R$27</f>
            </numRef>
          </yVal>
        </ser>
        <ser>
          <idx val="5"/>
          <order val="5"/>
          <tx>
            <strRef>
              <f>'31_FL681271CF'!S17</f>
            </strRef>
          </tx>
          <spPr>
            <a:ln xmlns:a="http://schemas.openxmlformats.org/drawingml/2006/main" w="18000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'31_FL681271CF'!$M$18:$M$27</f>
            </numRef>
          </xVal>
          <yVal>
            <numRef>
              <f>'31_FL681271CF'!$S$18:$S$27</f>
            </numRef>
          </yVal>
        </ser>
        <ser>
          <idx val="6"/>
          <order val="6"/>
          <tx>
            <strRef>
              <f>'31_FL681271CF'!T17</f>
            </strRef>
          </tx>
          <spPr>
            <a:ln xmlns:a="http://schemas.openxmlformats.org/drawingml/2006/main" w="18000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'31_FL681271CF'!$M$18:$M$27</f>
            </numRef>
          </xVal>
          <yVal>
            <numRef>
              <f>'31_FL681271CF'!$T$18:$T$27</f>
            </numRef>
          </yVal>
        </ser>
        <ser>
          <idx val="7"/>
          <order val="7"/>
          <tx>
            <strRef>
              <f>'31_FL681271CF'!U17</f>
            </strRef>
          </tx>
          <spPr>
            <a:ln xmlns:a="http://schemas.openxmlformats.org/drawingml/2006/main" w="18000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'31_FL681271CF'!$M$18:$M$27</f>
            </numRef>
          </xVal>
          <yVal>
            <numRef>
              <f>'31_FL681271CF'!$U$18:$U$27</f>
            </numRef>
          </yVal>
        </ser>
        <ser>
          <idx val="8"/>
          <order val="8"/>
          <tx>
            <strRef>
              <f>'31_FL681271CF'!V17</f>
            </strRef>
          </tx>
          <spPr>
            <a:ln xmlns:a="http://schemas.openxmlformats.org/drawingml/2006/main" w="18000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'31_FL681271CF'!$M$18:$M$27</f>
            </numRef>
          </xVal>
          <yVal>
            <numRef>
              <f>'31_FL681271CF'!$V$18:$V$27</f>
            </numRef>
          </yVal>
        </ser>
        <ser>
          <idx val="9"/>
          <order val="9"/>
          <tx>
            <strRef>
              <f>'31_FL681271CF'!W17</f>
            </strRef>
          </tx>
          <spPr>
            <a:ln xmlns:a="http://schemas.openxmlformats.org/drawingml/2006/main" w="18000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'31_FL681271CF'!$M$18:$M$27</f>
            </numRef>
          </xVal>
          <yVal>
            <numRef>
              <f>'31_FL681271CF'!$W$18:$W$27</f>
            </numRef>
          </yVal>
        </ser>
        <ser>
          <idx val="10"/>
          <order val="10"/>
          <tx>
            <strRef>
              <f>'31_FL681271CF'!X17</f>
            </strRef>
          </tx>
          <spPr>
            <a:ln xmlns:a="http://schemas.openxmlformats.org/drawingml/2006/main" w="18000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'31_FL681271CF'!$M$18:$M$27</f>
            </numRef>
          </xVal>
          <yVal>
            <numRef>
              <f>'31_FL681271CF'!$X$18:$X$27</f>
            </numRef>
          </yVal>
        </ser>
        <ser>
          <idx val="11"/>
          <order val="11"/>
          <tx>
            <strRef>
              <f>'31_FL681271CF'!Y17</f>
            </strRef>
          </tx>
          <spPr>
            <a:ln xmlns:a="http://schemas.openxmlformats.org/drawingml/2006/main" w="18000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'31_FL681271CF'!$M$18:$M$27</f>
            </numRef>
          </xVal>
          <yVal>
            <numRef>
              <f>'31_FL681271CF'!$Y$18:$Y$27</f>
            </numRef>
          </yVal>
        </ser>
        <axId val="10"/>
        <axId val="20"/>
      </scatterChart>
      <valAx>
        <axId val="10"/>
        <scaling>
          <logBase val="10"/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Duration (min)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logBase val="10"/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Intensity (mm/hr)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8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Catchment-style IDF - Gauge 32 (FL788017AF)</a:t>
            </a:r>
          </a:p>
        </rich>
      </tx>
    </title>
    <plotArea>
      <scatterChart>
        <ser>
          <idx val="0"/>
          <order val="0"/>
          <tx>
            <strRef>
              <f>'32_FL788017AF'!N17</f>
            </strRef>
          </tx>
          <spPr>
            <a:ln xmlns:a="http://schemas.openxmlformats.org/drawingml/2006/main" w="18000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'32_FL788017AF'!$M$18:$M$27</f>
            </numRef>
          </xVal>
          <yVal>
            <numRef>
              <f>'32_FL788017AF'!$N$18:$N$27</f>
            </numRef>
          </yVal>
        </ser>
        <ser>
          <idx val="1"/>
          <order val="1"/>
          <tx>
            <strRef>
              <f>'32_FL788017AF'!O17</f>
            </strRef>
          </tx>
          <spPr>
            <a:ln xmlns:a="http://schemas.openxmlformats.org/drawingml/2006/main" w="18000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'32_FL788017AF'!$M$18:$M$27</f>
            </numRef>
          </xVal>
          <yVal>
            <numRef>
              <f>'32_FL788017AF'!$O$18:$O$27</f>
            </numRef>
          </yVal>
        </ser>
        <ser>
          <idx val="2"/>
          <order val="2"/>
          <tx>
            <strRef>
              <f>'32_FL788017AF'!P17</f>
            </strRef>
          </tx>
          <spPr>
            <a:ln xmlns:a="http://schemas.openxmlformats.org/drawingml/2006/main" w="18000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'32_FL788017AF'!$M$18:$M$27</f>
            </numRef>
          </xVal>
          <yVal>
            <numRef>
              <f>'32_FL788017AF'!$P$18:$P$27</f>
            </numRef>
          </yVal>
        </ser>
        <ser>
          <idx val="3"/>
          <order val="3"/>
          <tx>
            <strRef>
              <f>'32_FL788017AF'!Q17</f>
            </strRef>
          </tx>
          <spPr>
            <a:ln xmlns:a="http://schemas.openxmlformats.org/drawingml/2006/main" w="18000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'32_FL788017AF'!$M$18:$M$27</f>
            </numRef>
          </xVal>
          <yVal>
            <numRef>
              <f>'32_FL788017AF'!$Q$18:$Q$27</f>
            </numRef>
          </yVal>
        </ser>
        <ser>
          <idx val="4"/>
          <order val="4"/>
          <tx>
            <strRef>
              <f>'32_FL788017AF'!R17</f>
            </strRef>
          </tx>
          <spPr>
            <a:ln xmlns:a="http://schemas.openxmlformats.org/drawingml/2006/main" w="18000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'32_FL788017AF'!$M$18:$M$27</f>
            </numRef>
          </xVal>
          <yVal>
            <numRef>
              <f>'32_FL788017AF'!$R$18:$R$27</f>
            </numRef>
          </yVal>
        </ser>
        <ser>
          <idx val="5"/>
          <order val="5"/>
          <tx>
            <strRef>
              <f>'32_FL788017AF'!S17</f>
            </strRef>
          </tx>
          <spPr>
            <a:ln xmlns:a="http://schemas.openxmlformats.org/drawingml/2006/main" w="18000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'32_FL788017AF'!$M$18:$M$27</f>
            </numRef>
          </xVal>
          <yVal>
            <numRef>
              <f>'32_FL788017AF'!$S$18:$S$27</f>
            </numRef>
          </yVal>
        </ser>
        <ser>
          <idx val="6"/>
          <order val="6"/>
          <tx>
            <strRef>
              <f>'32_FL788017AF'!T17</f>
            </strRef>
          </tx>
          <spPr>
            <a:ln xmlns:a="http://schemas.openxmlformats.org/drawingml/2006/main" w="18000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'32_FL788017AF'!$M$18:$M$27</f>
            </numRef>
          </xVal>
          <yVal>
            <numRef>
              <f>'32_FL788017AF'!$T$18:$T$27</f>
            </numRef>
          </yVal>
        </ser>
        <ser>
          <idx val="7"/>
          <order val="7"/>
          <tx>
            <strRef>
              <f>'32_FL788017AF'!U17</f>
            </strRef>
          </tx>
          <spPr>
            <a:ln xmlns:a="http://schemas.openxmlformats.org/drawingml/2006/main" w="18000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'32_FL788017AF'!$M$18:$M$27</f>
            </numRef>
          </xVal>
          <yVal>
            <numRef>
              <f>'32_FL788017AF'!$U$18:$U$27</f>
            </numRef>
          </yVal>
        </ser>
        <ser>
          <idx val="8"/>
          <order val="8"/>
          <tx>
            <strRef>
              <f>'32_FL788017AF'!V17</f>
            </strRef>
          </tx>
          <spPr>
            <a:ln xmlns:a="http://schemas.openxmlformats.org/drawingml/2006/main" w="18000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'32_FL788017AF'!$M$18:$M$27</f>
            </numRef>
          </xVal>
          <yVal>
            <numRef>
              <f>'32_FL788017AF'!$V$18:$V$27</f>
            </numRef>
          </yVal>
        </ser>
        <ser>
          <idx val="9"/>
          <order val="9"/>
          <tx>
            <strRef>
              <f>'32_FL788017AF'!W17</f>
            </strRef>
          </tx>
          <spPr>
            <a:ln xmlns:a="http://schemas.openxmlformats.org/drawingml/2006/main" w="18000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'32_FL788017AF'!$M$18:$M$27</f>
            </numRef>
          </xVal>
          <yVal>
            <numRef>
              <f>'32_FL788017AF'!$W$18:$W$27</f>
            </numRef>
          </yVal>
        </ser>
        <ser>
          <idx val="10"/>
          <order val="10"/>
          <tx>
            <strRef>
              <f>'32_FL788017AF'!X17</f>
            </strRef>
          </tx>
          <spPr>
            <a:ln xmlns:a="http://schemas.openxmlformats.org/drawingml/2006/main" w="18000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'32_FL788017AF'!$M$18:$M$27</f>
            </numRef>
          </xVal>
          <yVal>
            <numRef>
              <f>'32_FL788017AF'!$X$18:$X$27</f>
            </numRef>
          </yVal>
        </ser>
        <ser>
          <idx val="11"/>
          <order val="11"/>
          <tx>
            <strRef>
              <f>'32_FL788017AF'!Y17</f>
            </strRef>
          </tx>
          <spPr>
            <a:ln xmlns:a="http://schemas.openxmlformats.org/drawingml/2006/main" w="18000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'32_FL788017AF'!$M$18:$M$27</f>
            </numRef>
          </xVal>
          <yVal>
            <numRef>
              <f>'32_FL788017AF'!$Y$18:$Y$27</f>
            </numRef>
          </yVal>
        </ser>
        <axId val="10"/>
        <axId val="20"/>
      </scatterChart>
      <valAx>
        <axId val="10"/>
        <scaling>
          <logBase val="10"/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Duration (min)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logBase val="10"/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Intensity (mm/hr)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9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Catchment-style IDF - Gauge 38 (FL275746AF)</a:t>
            </a:r>
          </a:p>
        </rich>
      </tx>
    </title>
    <plotArea>
      <scatterChart>
        <ser>
          <idx val="0"/>
          <order val="0"/>
          <tx>
            <strRef>
              <f>'38_FL275746AF'!N17</f>
            </strRef>
          </tx>
          <spPr>
            <a:ln xmlns:a="http://schemas.openxmlformats.org/drawingml/2006/main" w="18000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'38_FL275746AF'!$M$18:$M$27</f>
            </numRef>
          </xVal>
          <yVal>
            <numRef>
              <f>'38_FL275746AF'!$N$18:$N$27</f>
            </numRef>
          </yVal>
        </ser>
        <ser>
          <idx val="1"/>
          <order val="1"/>
          <tx>
            <strRef>
              <f>'38_FL275746AF'!O17</f>
            </strRef>
          </tx>
          <spPr>
            <a:ln xmlns:a="http://schemas.openxmlformats.org/drawingml/2006/main" w="18000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'38_FL275746AF'!$M$18:$M$27</f>
            </numRef>
          </xVal>
          <yVal>
            <numRef>
              <f>'38_FL275746AF'!$O$18:$O$27</f>
            </numRef>
          </yVal>
        </ser>
        <ser>
          <idx val="2"/>
          <order val="2"/>
          <tx>
            <strRef>
              <f>'38_FL275746AF'!P17</f>
            </strRef>
          </tx>
          <spPr>
            <a:ln xmlns:a="http://schemas.openxmlformats.org/drawingml/2006/main" w="18000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'38_FL275746AF'!$M$18:$M$27</f>
            </numRef>
          </xVal>
          <yVal>
            <numRef>
              <f>'38_FL275746AF'!$P$18:$P$27</f>
            </numRef>
          </yVal>
        </ser>
        <ser>
          <idx val="3"/>
          <order val="3"/>
          <tx>
            <strRef>
              <f>'38_FL275746AF'!Q17</f>
            </strRef>
          </tx>
          <spPr>
            <a:ln xmlns:a="http://schemas.openxmlformats.org/drawingml/2006/main" w="18000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'38_FL275746AF'!$M$18:$M$27</f>
            </numRef>
          </xVal>
          <yVal>
            <numRef>
              <f>'38_FL275746AF'!$Q$18:$Q$27</f>
            </numRef>
          </yVal>
        </ser>
        <ser>
          <idx val="4"/>
          <order val="4"/>
          <tx>
            <strRef>
              <f>'38_FL275746AF'!R17</f>
            </strRef>
          </tx>
          <spPr>
            <a:ln xmlns:a="http://schemas.openxmlformats.org/drawingml/2006/main" w="18000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'38_FL275746AF'!$M$18:$M$27</f>
            </numRef>
          </xVal>
          <yVal>
            <numRef>
              <f>'38_FL275746AF'!$R$18:$R$27</f>
            </numRef>
          </yVal>
        </ser>
        <ser>
          <idx val="5"/>
          <order val="5"/>
          <tx>
            <strRef>
              <f>'38_FL275746AF'!S17</f>
            </strRef>
          </tx>
          <spPr>
            <a:ln xmlns:a="http://schemas.openxmlformats.org/drawingml/2006/main" w="18000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'38_FL275746AF'!$M$18:$M$27</f>
            </numRef>
          </xVal>
          <yVal>
            <numRef>
              <f>'38_FL275746AF'!$S$18:$S$27</f>
            </numRef>
          </yVal>
        </ser>
        <ser>
          <idx val="6"/>
          <order val="6"/>
          <tx>
            <strRef>
              <f>'38_FL275746AF'!T17</f>
            </strRef>
          </tx>
          <spPr>
            <a:ln xmlns:a="http://schemas.openxmlformats.org/drawingml/2006/main" w="18000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'38_FL275746AF'!$M$18:$M$27</f>
            </numRef>
          </xVal>
          <yVal>
            <numRef>
              <f>'38_FL275746AF'!$T$18:$T$27</f>
            </numRef>
          </yVal>
        </ser>
        <ser>
          <idx val="7"/>
          <order val="7"/>
          <tx>
            <strRef>
              <f>'38_FL275746AF'!U17</f>
            </strRef>
          </tx>
          <spPr>
            <a:ln xmlns:a="http://schemas.openxmlformats.org/drawingml/2006/main" w="18000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'38_FL275746AF'!$M$18:$M$27</f>
            </numRef>
          </xVal>
          <yVal>
            <numRef>
              <f>'38_FL275746AF'!$U$18:$U$27</f>
            </numRef>
          </yVal>
        </ser>
        <ser>
          <idx val="8"/>
          <order val="8"/>
          <tx>
            <strRef>
              <f>'38_FL275746AF'!V17</f>
            </strRef>
          </tx>
          <spPr>
            <a:ln xmlns:a="http://schemas.openxmlformats.org/drawingml/2006/main" w="18000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'38_FL275746AF'!$M$18:$M$27</f>
            </numRef>
          </xVal>
          <yVal>
            <numRef>
              <f>'38_FL275746AF'!$V$18:$V$27</f>
            </numRef>
          </yVal>
        </ser>
        <ser>
          <idx val="9"/>
          <order val="9"/>
          <tx>
            <strRef>
              <f>'38_FL275746AF'!W17</f>
            </strRef>
          </tx>
          <spPr>
            <a:ln xmlns:a="http://schemas.openxmlformats.org/drawingml/2006/main" w="18000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'38_FL275746AF'!$M$18:$M$27</f>
            </numRef>
          </xVal>
          <yVal>
            <numRef>
              <f>'38_FL275746AF'!$W$18:$W$27</f>
            </numRef>
          </yVal>
        </ser>
        <ser>
          <idx val="10"/>
          <order val="10"/>
          <tx>
            <strRef>
              <f>'38_FL275746AF'!X17</f>
            </strRef>
          </tx>
          <spPr>
            <a:ln xmlns:a="http://schemas.openxmlformats.org/drawingml/2006/main" w="18000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'38_FL275746AF'!$M$18:$M$27</f>
            </numRef>
          </xVal>
          <yVal>
            <numRef>
              <f>'38_FL275746AF'!$X$18:$X$27</f>
            </numRef>
          </yVal>
        </ser>
        <ser>
          <idx val="11"/>
          <order val="11"/>
          <tx>
            <strRef>
              <f>'38_FL275746AF'!Y17</f>
            </strRef>
          </tx>
          <spPr>
            <a:ln xmlns:a="http://schemas.openxmlformats.org/drawingml/2006/main" w="18000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'38_FL275746AF'!$M$18:$M$27</f>
            </numRef>
          </xVal>
          <yVal>
            <numRef>
              <f>'38_FL275746AF'!$Y$18:$Y$27</f>
            </numRef>
          </yVal>
        </ser>
        <axId val="10"/>
        <axId val="20"/>
      </scatterChart>
      <valAx>
        <axId val="10"/>
        <scaling>
          <logBase val="10"/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Duration (min)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logBase val="10"/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Intensity (mm/hr)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0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Catchment-style IDF - Gauge 39 (FL672275AF)</a:t>
            </a:r>
          </a:p>
        </rich>
      </tx>
    </title>
    <plotArea>
      <scatterChart>
        <ser>
          <idx val="0"/>
          <order val="0"/>
          <tx>
            <strRef>
              <f>'39_FL672275AF'!N17</f>
            </strRef>
          </tx>
          <spPr>
            <a:ln xmlns:a="http://schemas.openxmlformats.org/drawingml/2006/main" w="18000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'39_FL672275AF'!$M$18:$M$27</f>
            </numRef>
          </xVal>
          <yVal>
            <numRef>
              <f>'39_FL672275AF'!$N$18:$N$27</f>
            </numRef>
          </yVal>
        </ser>
        <ser>
          <idx val="1"/>
          <order val="1"/>
          <tx>
            <strRef>
              <f>'39_FL672275AF'!O17</f>
            </strRef>
          </tx>
          <spPr>
            <a:ln xmlns:a="http://schemas.openxmlformats.org/drawingml/2006/main" w="18000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'39_FL672275AF'!$M$18:$M$27</f>
            </numRef>
          </xVal>
          <yVal>
            <numRef>
              <f>'39_FL672275AF'!$O$18:$O$27</f>
            </numRef>
          </yVal>
        </ser>
        <ser>
          <idx val="2"/>
          <order val="2"/>
          <tx>
            <strRef>
              <f>'39_FL672275AF'!P17</f>
            </strRef>
          </tx>
          <spPr>
            <a:ln xmlns:a="http://schemas.openxmlformats.org/drawingml/2006/main" w="18000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'39_FL672275AF'!$M$18:$M$27</f>
            </numRef>
          </xVal>
          <yVal>
            <numRef>
              <f>'39_FL672275AF'!$P$18:$P$27</f>
            </numRef>
          </yVal>
        </ser>
        <ser>
          <idx val="3"/>
          <order val="3"/>
          <tx>
            <strRef>
              <f>'39_FL672275AF'!Q17</f>
            </strRef>
          </tx>
          <spPr>
            <a:ln xmlns:a="http://schemas.openxmlformats.org/drawingml/2006/main" w="18000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'39_FL672275AF'!$M$18:$M$27</f>
            </numRef>
          </xVal>
          <yVal>
            <numRef>
              <f>'39_FL672275AF'!$Q$18:$Q$27</f>
            </numRef>
          </yVal>
        </ser>
        <ser>
          <idx val="4"/>
          <order val="4"/>
          <tx>
            <strRef>
              <f>'39_FL672275AF'!R17</f>
            </strRef>
          </tx>
          <spPr>
            <a:ln xmlns:a="http://schemas.openxmlformats.org/drawingml/2006/main" w="18000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'39_FL672275AF'!$M$18:$M$27</f>
            </numRef>
          </xVal>
          <yVal>
            <numRef>
              <f>'39_FL672275AF'!$R$18:$R$27</f>
            </numRef>
          </yVal>
        </ser>
        <ser>
          <idx val="5"/>
          <order val="5"/>
          <tx>
            <strRef>
              <f>'39_FL672275AF'!S17</f>
            </strRef>
          </tx>
          <spPr>
            <a:ln xmlns:a="http://schemas.openxmlformats.org/drawingml/2006/main" w="18000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'39_FL672275AF'!$M$18:$M$27</f>
            </numRef>
          </xVal>
          <yVal>
            <numRef>
              <f>'39_FL672275AF'!$S$18:$S$27</f>
            </numRef>
          </yVal>
        </ser>
        <ser>
          <idx val="6"/>
          <order val="6"/>
          <tx>
            <strRef>
              <f>'39_FL672275AF'!T17</f>
            </strRef>
          </tx>
          <spPr>
            <a:ln xmlns:a="http://schemas.openxmlformats.org/drawingml/2006/main" w="18000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'39_FL672275AF'!$M$18:$M$27</f>
            </numRef>
          </xVal>
          <yVal>
            <numRef>
              <f>'39_FL672275AF'!$T$18:$T$27</f>
            </numRef>
          </yVal>
        </ser>
        <ser>
          <idx val="7"/>
          <order val="7"/>
          <tx>
            <strRef>
              <f>'39_FL672275AF'!U17</f>
            </strRef>
          </tx>
          <spPr>
            <a:ln xmlns:a="http://schemas.openxmlformats.org/drawingml/2006/main" w="18000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'39_FL672275AF'!$M$18:$M$27</f>
            </numRef>
          </xVal>
          <yVal>
            <numRef>
              <f>'39_FL672275AF'!$U$18:$U$27</f>
            </numRef>
          </yVal>
        </ser>
        <ser>
          <idx val="8"/>
          <order val="8"/>
          <tx>
            <strRef>
              <f>'39_FL672275AF'!V17</f>
            </strRef>
          </tx>
          <spPr>
            <a:ln xmlns:a="http://schemas.openxmlformats.org/drawingml/2006/main" w="18000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'39_FL672275AF'!$M$18:$M$27</f>
            </numRef>
          </xVal>
          <yVal>
            <numRef>
              <f>'39_FL672275AF'!$V$18:$V$27</f>
            </numRef>
          </yVal>
        </ser>
        <ser>
          <idx val="9"/>
          <order val="9"/>
          <tx>
            <strRef>
              <f>'39_FL672275AF'!W17</f>
            </strRef>
          </tx>
          <spPr>
            <a:ln xmlns:a="http://schemas.openxmlformats.org/drawingml/2006/main" w="18000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'39_FL672275AF'!$M$18:$M$27</f>
            </numRef>
          </xVal>
          <yVal>
            <numRef>
              <f>'39_FL672275AF'!$W$18:$W$27</f>
            </numRef>
          </yVal>
        </ser>
        <ser>
          <idx val="10"/>
          <order val="10"/>
          <tx>
            <strRef>
              <f>'39_FL672275AF'!X17</f>
            </strRef>
          </tx>
          <spPr>
            <a:ln xmlns:a="http://schemas.openxmlformats.org/drawingml/2006/main" w="18000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'39_FL672275AF'!$M$18:$M$27</f>
            </numRef>
          </xVal>
          <yVal>
            <numRef>
              <f>'39_FL672275AF'!$X$18:$X$27</f>
            </numRef>
          </yVal>
        </ser>
        <ser>
          <idx val="11"/>
          <order val="11"/>
          <tx>
            <strRef>
              <f>'39_FL672275AF'!Y17</f>
            </strRef>
          </tx>
          <spPr>
            <a:ln xmlns:a="http://schemas.openxmlformats.org/drawingml/2006/main" w="18000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'39_FL672275AF'!$M$18:$M$27</f>
            </numRef>
          </xVal>
          <yVal>
            <numRef>
              <f>'39_FL672275AF'!$Y$18:$Y$27</f>
            </numRef>
          </yVal>
        </ser>
        <axId val="10"/>
        <axId val="20"/>
      </scatterChart>
      <valAx>
        <axId val="10"/>
        <scaling>
          <logBase val="10"/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Duration (min)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logBase val="10"/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Intensity (mm/hr)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Catchment-style IDF - Gauge 40 (FL669998AF)</a:t>
            </a:r>
          </a:p>
        </rich>
      </tx>
    </title>
    <plotArea>
      <scatterChart>
        <ser>
          <idx val="0"/>
          <order val="0"/>
          <tx>
            <strRef>
              <f>'40_FL669998AF'!N17</f>
            </strRef>
          </tx>
          <spPr>
            <a:ln xmlns:a="http://schemas.openxmlformats.org/drawingml/2006/main" w="18000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'40_FL669998AF'!$M$18:$M$27</f>
            </numRef>
          </xVal>
          <yVal>
            <numRef>
              <f>'40_FL669998AF'!$N$18:$N$27</f>
            </numRef>
          </yVal>
        </ser>
        <ser>
          <idx val="1"/>
          <order val="1"/>
          <tx>
            <strRef>
              <f>'40_FL669998AF'!O17</f>
            </strRef>
          </tx>
          <spPr>
            <a:ln xmlns:a="http://schemas.openxmlformats.org/drawingml/2006/main" w="18000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'40_FL669998AF'!$M$18:$M$27</f>
            </numRef>
          </xVal>
          <yVal>
            <numRef>
              <f>'40_FL669998AF'!$O$18:$O$27</f>
            </numRef>
          </yVal>
        </ser>
        <ser>
          <idx val="2"/>
          <order val="2"/>
          <tx>
            <strRef>
              <f>'40_FL669998AF'!P17</f>
            </strRef>
          </tx>
          <spPr>
            <a:ln xmlns:a="http://schemas.openxmlformats.org/drawingml/2006/main" w="18000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'40_FL669998AF'!$M$18:$M$27</f>
            </numRef>
          </xVal>
          <yVal>
            <numRef>
              <f>'40_FL669998AF'!$P$18:$P$27</f>
            </numRef>
          </yVal>
        </ser>
        <ser>
          <idx val="3"/>
          <order val="3"/>
          <tx>
            <strRef>
              <f>'40_FL669998AF'!Q17</f>
            </strRef>
          </tx>
          <spPr>
            <a:ln xmlns:a="http://schemas.openxmlformats.org/drawingml/2006/main" w="18000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'40_FL669998AF'!$M$18:$M$27</f>
            </numRef>
          </xVal>
          <yVal>
            <numRef>
              <f>'40_FL669998AF'!$Q$18:$Q$27</f>
            </numRef>
          </yVal>
        </ser>
        <ser>
          <idx val="4"/>
          <order val="4"/>
          <tx>
            <strRef>
              <f>'40_FL669998AF'!R17</f>
            </strRef>
          </tx>
          <spPr>
            <a:ln xmlns:a="http://schemas.openxmlformats.org/drawingml/2006/main" w="18000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'40_FL669998AF'!$M$18:$M$27</f>
            </numRef>
          </xVal>
          <yVal>
            <numRef>
              <f>'40_FL669998AF'!$R$18:$R$27</f>
            </numRef>
          </yVal>
        </ser>
        <ser>
          <idx val="5"/>
          <order val="5"/>
          <tx>
            <strRef>
              <f>'40_FL669998AF'!S17</f>
            </strRef>
          </tx>
          <spPr>
            <a:ln xmlns:a="http://schemas.openxmlformats.org/drawingml/2006/main" w="18000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'40_FL669998AF'!$M$18:$M$27</f>
            </numRef>
          </xVal>
          <yVal>
            <numRef>
              <f>'40_FL669998AF'!$S$18:$S$27</f>
            </numRef>
          </yVal>
        </ser>
        <ser>
          <idx val="6"/>
          <order val="6"/>
          <tx>
            <strRef>
              <f>'40_FL669998AF'!T17</f>
            </strRef>
          </tx>
          <spPr>
            <a:ln xmlns:a="http://schemas.openxmlformats.org/drawingml/2006/main" w="18000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'40_FL669998AF'!$M$18:$M$27</f>
            </numRef>
          </xVal>
          <yVal>
            <numRef>
              <f>'40_FL669998AF'!$T$18:$T$27</f>
            </numRef>
          </yVal>
        </ser>
        <ser>
          <idx val="7"/>
          <order val="7"/>
          <tx>
            <strRef>
              <f>'40_FL669998AF'!U17</f>
            </strRef>
          </tx>
          <spPr>
            <a:ln xmlns:a="http://schemas.openxmlformats.org/drawingml/2006/main" w="18000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'40_FL669998AF'!$M$18:$M$27</f>
            </numRef>
          </xVal>
          <yVal>
            <numRef>
              <f>'40_FL669998AF'!$U$18:$U$27</f>
            </numRef>
          </yVal>
        </ser>
        <ser>
          <idx val="8"/>
          <order val="8"/>
          <tx>
            <strRef>
              <f>'40_FL669998AF'!V17</f>
            </strRef>
          </tx>
          <spPr>
            <a:ln xmlns:a="http://schemas.openxmlformats.org/drawingml/2006/main" w="18000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'40_FL669998AF'!$M$18:$M$27</f>
            </numRef>
          </xVal>
          <yVal>
            <numRef>
              <f>'40_FL669998AF'!$V$18:$V$27</f>
            </numRef>
          </yVal>
        </ser>
        <ser>
          <idx val="9"/>
          <order val="9"/>
          <tx>
            <strRef>
              <f>'40_FL669998AF'!W17</f>
            </strRef>
          </tx>
          <spPr>
            <a:ln xmlns:a="http://schemas.openxmlformats.org/drawingml/2006/main" w="18000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'40_FL669998AF'!$M$18:$M$27</f>
            </numRef>
          </xVal>
          <yVal>
            <numRef>
              <f>'40_FL669998AF'!$W$18:$W$27</f>
            </numRef>
          </yVal>
        </ser>
        <ser>
          <idx val="10"/>
          <order val="10"/>
          <tx>
            <strRef>
              <f>'40_FL669998AF'!X17</f>
            </strRef>
          </tx>
          <spPr>
            <a:ln xmlns:a="http://schemas.openxmlformats.org/drawingml/2006/main" w="18000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'40_FL669998AF'!$M$18:$M$27</f>
            </numRef>
          </xVal>
          <yVal>
            <numRef>
              <f>'40_FL669998AF'!$X$18:$X$27</f>
            </numRef>
          </yVal>
        </ser>
        <ser>
          <idx val="11"/>
          <order val="11"/>
          <tx>
            <strRef>
              <f>'40_FL669998AF'!Y17</f>
            </strRef>
          </tx>
          <spPr>
            <a:ln xmlns:a="http://schemas.openxmlformats.org/drawingml/2006/main" w="18000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'40_FL669998AF'!$M$18:$M$27</f>
            </numRef>
          </xVal>
          <yVal>
            <numRef>
              <f>'40_FL669998AF'!$Y$18:$Y$27</f>
            </numRef>
          </yVal>
        </ser>
        <axId val="10"/>
        <axId val="20"/>
      </scatterChart>
      <valAx>
        <axId val="10"/>
        <scaling>
          <logBase val="10"/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Duration (min)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logBase val="10"/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Intensity (mm/hr)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Catchment-style IDF - Gauge 41 (FL771702AF)</a:t>
            </a:r>
          </a:p>
        </rich>
      </tx>
    </title>
    <plotArea>
      <scatterChart>
        <ser>
          <idx val="0"/>
          <order val="0"/>
          <tx>
            <strRef>
              <f>'41_FL771702AF'!N17</f>
            </strRef>
          </tx>
          <spPr>
            <a:ln xmlns:a="http://schemas.openxmlformats.org/drawingml/2006/main" w="18000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'41_FL771702AF'!$M$18:$M$27</f>
            </numRef>
          </xVal>
          <yVal>
            <numRef>
              <f>'41_FL771702AF'!$N$18:$N$27</f>
            </numRef>
          </yVal>
        </ser>
        <ser>
          <idx val="1"/>
          <order val="1"/>
          <tx>
            <strRef>
              <f>'41_FL771702AF'!O17</f>
            </strRef>
          </tx>
          <spPr>
            <a:ln xmlns:a="http://schemas.openxmlformats.org/drawingml/2006/main" w="18000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'41_FL771702AF'!$M$18:$M$27</f>
            </numRef>
          </xVal>
          <yVal>
            <numRef>
              <f>'41_FL771702AF'!$O$18:$O$27</f>
            </numRef>
          </yVal>
        </ser>
        <ser>
          <idx val="2"/>
          <order val="2"/>
          <tx>
            <strRef>
              <f>'41_FL771702AF'!P17</f>
            </strRef>
          </tx>
          <spPr>
            <a:ln xmlns:a="http://schemas.openxmlformats.org/drawingml/2006/main" w="18000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'41_FL771702AF'!$M$18:$M$27</f>
            </numRef>
          </xVal>
          <yVal>
            <numRef>
              <f>'41_FL771702AF'!$P$18:$P$27</f>
            </numRef>
          </yVal>
        </ser>
        <ser>
          <idx val="3"/>
          <order val="3"/>
          <tx>
            <strRef>
              <f>'41_FL771702AF'!Q17</f>
            </strRef>
          </tx>
          <spPr>
            <a:ln xmlns:a="http://schemas.openxmlformats.org/drawingml/2006/main" w="18000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'41_FL771702AF'!$M$18:$M$27</f>
            </numRef>
          </xVal>
          <yVal>
            <numRef>
              <f>'41_FL771702AF'!$Q$18:$Q$27</f>
            </numRef>
          </yVal>
        </ser>
        <ser>
          <idx val="4"/>
          <order val="4"/>
          <tx>
            <strRef>
              <f>'41_FL771702AF'!R17</f>
            </strRef>
          </tx>
          <spPr>
            <a:ln xmlns:a="http://schemas.openxmlformats.org/drawingml/2006/main" w="18000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'41_FL771702AF'!$M$18:$M$27</f>
            </numRef>
          </xVal>
          <yVal>
            <numRef>
              <f>'41_FL771702AF'!$R$18:$R$27</f>
            </numRef>
          </yVal>
        </ser>
        <ser>
          <idx val="5"/>
          <order val="5"/>
          <tx>
            <strRef>
              <f>'41_FL771702AF'!S17</f>
            </strRef>
          </tx>
          <spPr>
            <a:ln xmlns:a="http://schemas.openxmlformats.org/drawingml/2006/main" w="18000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'41_FL771702AF'!$M$18:$M$27</f>
            </numRef>
          </xVal>
          <yVal>
            <numRef>
              <f>'41_FL771702AF'!$S$18:$S$27</f>
            </numRef>
          </yVal>
        </ser>
        <ser>
          <idx val="6"/>
          <order val="6"/>
          <tx>
            <strRef>
              <f>'41_FL771702AF'!T17</f>
            </strRef>
          </tx>
          <spPr>
            <a:ln xmlns:a="http://schemas.openxmlformats.org/drawingml/2006/main" w="18000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'41_FL771702AF'!$M$18:$M$27</f>
            </numRef>
          </xVal>
          <yVal>
            <numRef>
              <f>'41_FL771702AF'!$T$18:$T$27</f>
            </numRef>
          </yVal>
        </ser>
        <ser>
          <idx val="7"/>
          <order val="7"/>
          <tx>
            <strRef>
              <f>'41_FL771702AF'!U17</f>
            </strRef>
          </tx>
          <spPr>
            <a:ln xmlns:a="http://schemas.openxmlformats.org/drawingml/2006/main" w="18000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'41_FL771702AF'!$M$18:$M$27</f>
            </numRef>
          </xVal>
          <yVal>
            <numRef>
              <f>'41_FL771702AF'!$U$18:$U$27</f>
            </numRef>
          </yVal>
        </ser>
        <ser>
          <idx val="8"/>
          <order val="8"/>
          <tx>
            <strRef>
              <f>'41_FL771702AF'!V17</f>
            </strRef>
          </tx>
          <spPr>
            <a:ln xmlns:a="http://schemas.openxmlformats.org/drawingml/2006/main" w="18000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'41_FL771702AF'!$M$18:$M$27</f>
            </numRef>
          </xVal>
          <yVal>
            <numRef>
              <f>'41_FL771702AF'!$V$18:$V$27</f>
            </numRef>
          </yVal>
        </ser>
        <ser>
          <idx val="9"/>
          <order val="9"/>
          <tx>
            <strRef>
              <f>'41_FL771702AF'!W17</f>
            </strRef>
          </tx>
          <spPr>
            <a:ln xmlns:a="http://schemas.openxmlformats.org/drawingml/2006/main" w="18000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'41_FL771702AF'!$M$18:$M$27</f>
            </numRef>
          </xVal>
          <yVal>
            <numRef>
              <f>'41_FL771702AF'!$W$18:$W$27</f>
            </numRef>
          </yVal>
        </ser>
        <ser>
          <idx val="10"/>
          <order val="10"/>
          <tx>
            <strRef>
              <f>'41_FL771702AF'!X17</f>
            </strRef>
          </tx>
          <spPr>
            <a:ln xmlns:a="http://schemas.openxmlformats.org/drawingml/2006/main" w="18000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'41_FL771702AF'!$M$18:$M$27</f>
            </numRef>
          </xVal>
          <yVal>
            <numRef>
              <f>'41_FL771702AF'!$X$18:$X$27</f>
            </numRef>
          </yVal>
        </ser>
        <ser>
          <idx val="11"/>
          <order val="11"/>
          <tx>
            <strRef>
              <f>'41_FL771702AF'!Y17</f>
            </strRef>
          </tx>
          <spPr>
            <a:ln xmlns:a="http://schemas.openxmlformats.org/drawingml/2006/main" w="18000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'41_FL771702AF'!$M$18:$M$27</f>
            </numRef>
          </xVal>
          <yVal>
            <numRef>
              <f>'41_FL771702AF'!$Y$18:$Y$27</f>
            </numRef>
          </yVal>
        </ser>
        <axId val="10"/>
        <axId val="20"/>
      </scatterChart>
      <valAx>
        <axId val="10"/>
        <scaling>
          <logBase val="10"/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Duration (min)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logBase val="10"/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Intensity (mm/hr)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3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Catchment-style IDF - Gauge 42 (FL974085AF)</a:t>
            </a:r>
          </a:p>
        </rich>
      </tx>
    </title>
    <plotArea>
      <scatterChart>
        <ser>
          <idx val="0"/>
          <order val="0"/>
          <tx>
            <strRef>
              <f>'42_FL974085AF'!N17</f>
            </strRef>
          </tx>
          <spPr>
            <a:ln xmlns:a="http://schemas.openxmlformats.org/drawingml/2006/main" w="18000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'42_FL974085AF'!$M$18:$M$27</f>
            </numRef>
          </xVal>
          <yVal>
            <numRef>
              <f>'42_FL974085AF'!$N$18:$N$27</f>
            </numRef>
          </yVal>
        </ser>
        <ser>
          <idx val="1"/>
          <order val="1"/>
          <tx>
            <strRef>
              <f>'42_FL974085AF'!O17</f>
            </strRef>
          </tx>
          <spPr>
            <a:ln xmlns:a="http://schemas.openxmlformats.org/drawingml/2006/main" w="18000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'42_FL974085AF'!$M$18:$M$27</f>
            </numRef>
          </xVal>
          <yVal>
            <numRef>
              <f>'42_FL974085AF'!$O$18:$O$27</f>
            </numRef>
          </yVal>
        </ser>
        <ser>
          <idx val="2"/>
          <order val="2"/>
          <tx>
            <strRef>
              <f>'42_FL974085AF'!P17</f>
            </strRef>
          </tx>
          <spPr>
            <a:ln xmlns:a="http://schemas.openxmlformats.org/drawingml/2006/main" w="18000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'42_FL974085AF'!$M$18:$M$27</f>
            </numRef>
          </xVal>
          <yVal>
            <numRef>
              <f>'42_FL974085AF'!$P$18:$P$27</f>
            </numRef>
          </yVal>
        </ser>
        <ser>
          <idx val="3"/>
          <order val="3"/>
          <tx>
            <strRef>
              <f>'42_FL974085AF'!Q17</f>
            </strRef>
          </tx>
          <spPr>
            <a:ln xmlns:a="http://schemas.openxmlformats.org/drawingml/2006/main" w="18000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'42_FL974085AF'!$M$18:$M$27</f>
            </numRef>
          </xVal>
          <yVal>
            <numRef>
              <f>'42_FL974085AF'!$Q$18:$Q$27</f>
            </numRef>
          </yVal>
        </ser>
        <ser>
          <idx val="4"/>
          <order val="4"/>
          <tx>
            <strRef>
              <f>'42_FL974085AF'!R17</f>
            </strRef>
          </tx>
          <spPr>
            <a:ln xmlns:a="http://schemas.openxmlformats.org/drawingml/2006/main" w="18000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'42_FL974085AF'!$M$18:$M$27</f>
            </numRef>
          </xVal>
          <yVal>
            <numRef>
              <f>'42_FL974085AF'!$R$18:$R$27</f>
            </numRef>
          </yVal>
        </ser>
        <ser>
          <idx val="5"/>
          <order val="5"/>
          <tx>
            <strRef>
              <f>'42_FL974085AF'!S17</f>
            </strRef>
          </tx>
          <spPr>
            <a:ln xmlns:a="http://schemas.openxmlformats.org/drawingml/2006/main" w="18000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'42_FL974085AF'!$M$18:$M$27</f>
            </numRef>
          </xVal>
          <yVal>
            <numRef>
              <f>'42_FL974085AF'!$S$18:$S$27</f>
            </numRef>
          </yVal>
        </ser>
        <ser>
          <idx val="6"/>
          <order val="6"/>
          <tx>
            <strRef>
              <f>'42_FL974085AF'!T17</f>
            </strRef>
          </tx>
          <spPr>
            <a:ln xmlns:a="http://schemas.openxmlformats.org/drawingml/2006/main" w="18000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'42_FL974085AF'!$M$18:$M$27</f>
            </numRef>
          </xVal>
          <yVal>
            <numRef>
              <f>'42_FL974085AF'!$T$18:$T$27</f>
            </numRef>
          </yVal>
        </ser>
        <ser>
          <idx val="7"/>
          <order val="7"/>
          <tx>
            <strRef>
              <f>'42_FL974085AF'!U17</f>
            </strRef>
          </tx>
          <spPr>
            <a:ln xmlns:a="http://schemas.openxmlformats.org/drawingml/2006/main" w="18000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'42_FL974085AF'!$M$18:$M$27</f>
            </numRef>
          </xVal>
          <yVal>
            <numRef>
              <f>'42_FL974085AF'!$U$18:$U$27</f>
            </numRef>
          </yVal>
        </ser>
        <ser>
          <idx val="8"/>
          <order val="8"/>
          <tx>
            <strRef>
              <f>'42_FL974085AF'!V17</f>
            </strRef>
          </tx>
          <spPr>
            <a:ln xmlns:a="http://schemas.openxmlformats.org/drawingml/2006/main" w="18000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'42_FL974085AF'!$M$18:$M$27</f>
            </numRef>
          </xVal>
          <yVal>
            <numRef>
              <f>'42_FL974085AF'!$V$18:$V$27</f>
            </numRef>
          </yVal>
        </ser>
        <ser>
          <idx val="9"/>
          <order val="9"/>
          <tx>
            <strRef>
              <f>'42_FL974085AF'!W17</f>
            </strRef>
          </tx>
          <spPr>
            <a:ln xmlns:a="http://schemas.openxmlformats.org/drawingml/2006/main" w="18000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'42_FL974085AF'!$M$18:$M$27</f>
            </numRef>
          </xVal>
          <yVal>
            <numRef>
              <f>'42_FL974085AF'!$W$18:$W$27</f>
            </numRef>
          </yVal>
        </ser>
        <ser>
          <idx val="10"/>
          <order val="10"/>
          <tx>
            <strRef>
              <f>'42_FL974085AF'!X17</f>
            </strRef>
          </tx>
          <spPr>
            <a:ln xmlns:a="http://schemas.openxmlformats.org/drawingml/2006/main" w="18000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'42_FL974085AF'!$M$18:$M$27</f>
            </numRef>
          </xVal>
          <yVal>
            <numRef>
              <f>'42_FL974085AF'!$X$18:$X$27</f>
            </numRef>
          </yVal>
        </ser>
        <ser>
          <idx val="11"/>
          <order val="11"/>
          <tx>
            <strRef>
              <f>'42_FL974085AF'!Y17</f>
            </strRef>
          </tx>
          <spPr>
            <a:ln xmlns:a="http://schemas.openxmlformats.org/drawingml/2006/main" w="18000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'42_FL974085AF'!$M$18:$M$27</f>
            </numRef>
          </xVal>
          <yVal>
            <numRef>
              <f>'42_FL974085AF'!$Y$18:$Y$27</f>
            </numRef>
          </yVal>
        </ser>
        <axId val="10"/>
        <axId val="20"/>
      </scatterChart>
      <valAx>
        <axId val="10"/>
        <scaling>
          <logBase val="10"/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Duration (min)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logBase val="10"/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Intensity (mm/hr)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4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Catchment-style IDF - Gauge 47 (FL364343AF)</a:t>
            </a:r>
          </a:p>
        </rich>
      </tx>
    </title>
    <plotArea>
      <scatterChart>
        <ser>
          <idx val="0"/>
          <order val="0"/>
          <tx>
            <strRef>
              <f>'47_FL364343AF'!N17</f>
            </strRef>
          </tx>
          <spPr>
            <a:ln xmlns:a="http://schemas.openxmlformats.org/drawingml/2006/main" w="18000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'47_FL364343AF'!$M$18:$M$27</f>
            </numRef>
          </xVal>
          <yVal>
            <numRef>
              <f>'47_FL364343AF'!$N$18:$N$27</f>
            </numRef>
          </yVal>
        </ser>
        <ser>
          <idx val="1"/>
          <order val="1"/>
          <tx>
            <strRef>
              <f>'47_FL364343AF'!O17</f>
            </strRef>
          </tx>
          <spPr>
            <a:ln xmlns:a="http://schemas.openxmlformats.org/drawingml/2006/main" w="18000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'47_FL364343AF'!$M$18:$M$27</f>
            </numRef>
          </xVal>
          <yVal>
            <numRef>
              <f>'47_FL364343AF'!$O$18:$O$27</f>
            </numRef>
          </yVal>
        </ser>
        <ser>
          <idx val="2"/>
          <order val="2"/>
          <tx>
            <strRef>
              <f>'47_FL364343AF'!P17</f>
            </strRef>
          </tx>
          <spPr>
            <a:ln xmlns:a="http://schemas.openxmlformats.org/drawingml/2006/main" w="18000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'47_FL364343AF'!$M$18:$M$27</f>
            </numRef>
          </xVal>
          <yVal>
            <numRef>
              <f>'47_FL364343AF'!$P$18:$P$27</f>
            </numRef>
          </yVal>
        </ser>
        <ser>
          <idx val="3"/>
          <order val="3"/>
          <tx>
            <strRef>
              <f>'47_FL364343AF'!Q17</f>
            </strRef>
          </tx>
          <spPr>
            <a:ln xmlns:a="http://schemas.openxmlformats.org/drawingml/2006/main" w="18000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'47_FL364343AF'!$M$18:$M$27</f>
            </numRef>
          </xVal>
          <yVal>
            <numRef>
              <f>'47_FL364343AF'!$Q$18:$Q$27</f>
            </numRef>
          </yVal>
        </ser>
        <ser>
          <idx val="4"/>
          <order val="4"/>
          <tx>
            <strRef>
              <f>'47_FL364343AF'!R17</f>
            </strRef>
          </tx>
          <spPr>
            <a:ln xmlns:a="http://schemas.openxmlformats.org/drawingml/2006/main" w="18000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'47_FL364343AF'!$M$18:$M$27</f>
            </numRef>
          </xVal>
          <yVal>
            <numRef>
              <f>'47_FL364343AF'!$R$18:$R$27</f>
            </numRef>
          </yVal>
        </ser>
        <ser>
          <idx val="5"/>
          <order val="5"/>
          <tx>
            <strRef>
              <f>'47_FL364343AF'!S17</f>
            </strRef>
          </tx>
          <spPr>
            <a:ln xmlns:a="http://schemas.openxmlformats.org/drawingml/2006/main" w="18000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'47_FL364343AF'!$M$18:$M$27</f>
            </numRef>
          </xVal>
          <yVal>
            <numRef>
              <f>'47_FL364343AF'!$S$18:$S$27</f>
            </numRef>
          </yVal>
        </ser>
        <ser>
          <idx val="6"/>
          <order val="6"/>
          <tx>
            <strRef>
              <f>'47_FL364343AF'!T17</f>
            </strRef>
          </tx>
          <spPr>
            <a:ln xmlns:a="http://schemas.openxmlformats.org/drawingml/2006/main" w="18000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'47_FL364343AF'!$M$18:$M$27</f>
            </numRef>
          </xVal>
          <yVal>
            <numRef>
              <f>'47_FL364343AF'!$T$18:$T$27</f>
            </numRef>
          </yVal>
        </ser>
        <ser>
          <idx val="7"/>
          <order val="7"/>
          <tx>
            <strRef>
              <f>'47_FL364343AF'!U17</f>
            </strRef>
          </tx>
          <spPr>
            <a:ln xmlns:a="http://schemas.openxmlformats.org/drawingml/2006/main" w="18000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'47_FL364343AF'!$M$18:$M$27</f>
            </numRef>
          </xVal>
          <yVal>
            <numRef>
              <f>'47_FL364343AF'!$U$18:$U$27</f>
            </numRef>
          </yVal>
        </ser>
        <ser>
          <idx val="8"/>
          <order val="8"/>
          <tx>
            <strRef>
              <f>'47_FL364343AF'!V17</f>
            </strRef>
          </tx>
          <spPr>
            <a:ln xmlns:a="http://schemas.openxmlformats.org/drawingml/2006/main" w="18000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'47_FL364343AF'!$M$18:$M$27</f>
            </numRef>
          </xVal>
          <yVal>
            <numRef>
              <f>'47_FL364343AF'!$V$18:$V$27</f>
            </numRef>
          </yVal>
        </ser>
        <ser>
          <idx val="9"/>
          <order val="9"/>
          <tx>
            <strRef>
              <f>'47_FL364343AF'!W17</f>
            </strRef>
          </tx>
          <spPr>
            <a:ln xmlns:a="http://schemas.openxmlformats.org/drawingml/2006/main" w="18000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'47_FL364343AF'!$M$18:$M$27</f>
            </numRef>
          </xVal>
          <yVal>
            <numRef>
              <f>'47_FL364343AF'!$W$18:$W$27</f>
            </numRef>
          </yVal>
        </ser>
        <ser>
          <idx val="10"/>
          <order val="10"/>
          <tx>
            <strRef>
              <f>'47_FL364343AF'!X17</f>
            </strRef>
          </tx>
          <spPr>
            <a:ln xmlns:a="http://schemas.openxmlformats.org/drawingml/2006/main" w="18000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'47_FL364343AF'!$M$18:$M$27</f>
            </numRef>
          </xVal>
          <yVal>
            <numRef>
              <f>'47_FL364343AF'!$X$18:$X$27</f>
            </numRef>
          </yVal>
        </ser>
        <ser>
          <idx val="11"/>
          <order val="11"/>
          <tx>
            <strRef>
              <f>'47_FL364343AF'!Y17</f>
            </strRef>
          </tx>
          <spPr>
            <a:ln xmlns:a="http://schemas.openxmlformats.org/drawingml/2006/main" w="18000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'47_FL364343AF'!$M$18:$M$27</f>
            </numRef>
          </xVal>
          <yVal>
            <numRef>
              <f>'47_FL364343AF'!$Y$18:$Y$27</f>
            </numRef>
          </yVal>
        </ser>
        <axId val="10"/>
        <axId val="20"/>
      </scatterChart>
      <valAx>
        <axId val="10"/>
        <scaling>
          <logBase val="10"/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Duration (min)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logBase val="10"/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Intensity (mm/hr)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5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Catchment-style IDF - Gauge 48 (FL455969AF)</a:t>
            </a:r>
          </a:p>
        </rich>
      </tx>
    </title>
    <plotArea>
      <scatterChart>
        <ser>
          <idx val="0"/>
          <order val="0"/>
          <tx>
            <strRef>
              <f>'48_FL455969AF'!N17</f>
            </strRef>
          </tx>
          <spPr>
            <a:ln xmlns:a="http://schemas.openxmlformats.org/drawingml/2006/main" w="18000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'48_FL455969AF'!$M$18:$M$27</f>
            </numRef>
          </xVal>
          <yVal>
            <numRef>
              <f>'48_FL455969AF'!$N$18:$N$27</f>
            </numRef>
          </yVal>
        </ser>
        <ser>
          <idx val="1"/>
          <order val="1"/>
          <tx>
            <strRef>
              <f>'48_FL455969AF'!O17</f>
            </strRef>
          </tx>
          <spPr>
            <a:ln xmlns:a="http://schemas.openxmlformats.org/drawingml/2006/main" w="18000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'48_FL455969AF'!$M$18:$M$27</f>
            </numRef>
          </xVal>
          <yVal>
            <numRef>
              <f>'48_FL455969AF'!$O$18:$O$27</f>
            </numRef>
          </yVal>
        </ser>
        <ser>
          <idx val="2"/>
          <order val="2"/>
          <tx>
            <strRef>
              <f>'48_FL455969AF'!P17</f>
            </strRef>
          </tx>
          <spPr>
            <a:ln xmlns:a="http://schemas.openxmlformats.org/drawingml/2006/main" w="18000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'48_FL455969AF'!$M$18:$M$27</f>
            </numRef>
          </xVal>
          <yVal>
            <numRef>
              <f>'48_FL455969AF'!$P$18:$P$27</f>
            </numRef>
          </yVal>
        </ser>
        <ser>
          <idx val="3"/>
          <order val="3"/>
          <tx>
            <strRef>
              <f>'48_FL455969AF'!Q17</f>
            </strRef>
          </tx>
          <spPr>
            <a:ln xmlns:a="http://schemas.openxmlformats.org/drawingml/2006/main" w="18000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'48_FL455969AF'!$M$18:$M$27</f>
            </numRef>
          </xVal>
          <yVal>
            <numRef>
              <f>'48_FL455969AF'!$Q$18:$Q$27</f>
            </numRef>
          </yVal>
        </ser>
        <ser>
          <idx val="4"/>
          <order val="4"/>
          <tx>
            <strRef>
              <f>'48_FL455969AF'!R17</f>
            </strRef>
          </tx>
          <spPr>
            <a:ln xmlns:a="http://schemas.openxmlformats.org/drawingml/2006/main" w="18000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'48_FL455969AF'!$M$18:$M$27</f>
            </numRef>
          </xVal>
          <yVal>
            <numRef>
              <f>'48_FL455969AF'!$R$18:$R$27</f>
            </numRef>
          </yVal>
        </ser>
        <ser>
          <idx val="5"/>
          <order val="5"/>
          <tx>
            <strRef>
              <f>'48_FL455969AF'!S17</f>
            </strRef>
          </tx>
          <spPr>
            <a:ln xmlns:a="http://schemas.openxmlformats.org/drawingml/2006/main" w="18000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'48_FL455969AF'!$M$18:$M$27</f>
            </numRef>
          </xVal>
          <yVal>
            <numRef>
              <f>'48_FL455969AF'!$S$18:$S$27</f>
            </numRef>
          </yVal>
        </ser>
        <ser>
          <idx val="6"/>
          <order val="6"/>
          <tx>
            <strRef>
              <f>'48_FL455969AF'!T17</f>
            </strRef>
          </tx>
          <spPr>
            <a:ln xmlns:a="http://schemas.openxmlformats.org/drawingml/2006/main" w="18000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'48_FL455969AF'!$M$18:$M$27</f>
            </numRef>
          </xVal>
          <yVal>
            <numRef>
              <f>'48_FL455969AF'!$T$18:$T$27</f>
            </numRef>
          </yVal>
        </ser>
        <ser>
          <idx val="7"/>
          <order val="7"/>
          <tx>
            <strRef>
              <f>'48_FL455969AF'!U17</f>
            </strRef>
          </tx>
          <spPr>
            <a:ln xmlns:a="http://schemas.openxmlformats.org/drawingml/2006/main" w="18000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'48_FL455969AF'!$M$18:$M$27</f>
            </numRef>
          </xVal>
          <yVal>
            <numRef>
              <f>'48_FL455969AF'!$U$18:$U$27</f>
            </numRef>
          </yVal>
        </ser>
        <ser>
          <idx val="8"/>
          <order val="8"/>
          <tx>
            <strRef>
              <f>'48_FL455969AF'!V17</f>
            </strRef>
          </tx>
          <spPr>
            <a:ln xmlns:a="http://schemas.openxmlformats.org/drawingml/2006/main" w="18000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'48_FL455969AF'!$M$18:$M$27</f>
            </numRef>
          </xVal>
          <yVal>
            <numRef>
              <f>'48_FL455969AF'!$V$18:$V$27</f>
            </numRef>
          </yVal>
        </ser>
        <ser>
          <idx val="9"/>
          <order val="9"/>
          <tx>
            <strRef>
              <f>'48_FL455969AF'!W17</f>
            </strRef>
          </tx>
          <spPr>
            <a:ln xmlns:a="http://schemas.openxmlformats.org/drawingml/2006/main" w="18000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'48_FL455969AF'!$M$18:$M$27</f>
            </numRef>
          </xVal>
          <yVal>
            <numRef>
              <f>'48_FL455969AF'!$W$18:$W$27</f>
            </numRef>
          </yVal>
        </ser>
        <ser>
          <idx val="10"/>
          <order val="10"/>
          <tx>
            <strRef>
              <f>'48_FL455969AF'!X17</f>
            </strRef>
          </tx>
          <spPr>
            <a:ln xmlns:a="http://schemas.openxmlformats.org/drawingml/2006/main" w="18000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'48_FL455969AF'!$M$18:$M$27</f>
            </numRef>
          </xVal>
          <yVal>
            <numRef>
              <f>'48_FL455969AF'!$X$18:$X$27</f>
            </numRef>
          </yVal>
        </ser>
        <ser>
          <idx val="11"/>
          <order val="11"/>
          <tx>
            <strRef>
              <f>'48_FL455969AF'!Y17</f>
            </strRef>
          </tx>
          <spPr>
            <a:ln xmlns:a="http://schemas.openxmlformats.org/drawingml/2006/main" w="18000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'48_FL455969AF'!$M$18:$M$27</f>
            </numRef>
          </xVal>
          <yVal>
            <numRef>
              <f>'48_FL455969AF'!$Y$18:$Y$27</f>
            </numRef>
          </yVal>
        </ser>
        <axId val="10"/>
        <axId val="20"/>
      </scatterChart>
      <valAx>
        <axId val="10"/>
        <scaling>
          <logBase val="10"/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Duration (min)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logBase val="10"/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Intensity (mm/hr)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6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Catchment-style IDF - Gauge 49 (FL762629AF)</a:t>
            </a:r>
          </a:p>
        </rich>
      </tx>
    </title>
    <plotArea>
      <scatterChart>
        <ser>
          <idx val="0"/>
          <order val="0"/>
          <tx>
            <strRef>
              <f>'49_FL762629AF'!N17</f>
            </strRef>
          </tx>
          <spPr>
            <a:ln xmlns:a="http://schemas.openxmlformats.org/drawingml/2006/main" w="18000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'49_FL762629AF'!$M$18:$M$27</f>
            </numRef>
          </xVal>
          <yVal>
            <numRef>
              <f>'49_FL762629AF'!$N$18:$N$27</f>
            </numRef>
          </yVal>
        </ser>
        <ser>
          <idx val="1"/>
          <order val="1"/>
          <tx>
            <strRef>
              <f>'49_FL762629AF'!O17</f>
            </strRef>
          </tx>
          <spPr>
            <a:ln xmlns:a="http://schemas.openxmlformats.org/drawingml/2006/main" w="18000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'49_FL762629AF'!$M$18:$M$27</f>
            </numRef>
          </xVal>
          <yVal>
            <numRef>
              <f>'49_FL762629AF'!$O$18:$O$27</f>
            </numRef>
          </yVal>
        </ser>
        <ser>
          <idx val="2"/>
          <order val="2"/>
          <tx>
            <strRef>
              <f>'49_FL762629AF'!P17</f>
            </strRef>
          </tx>
          <spPr>
            <a:ln xmlns:a="http://schemas.openxmlformats.org/drawingml/2006/main" w="18000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'49_FL762629AF'!$M$18:$M$27</f>
            </numRef>
          </xVal>
          <yVal>
            <numRef>
              <f>'49_FL762629AF'!$P$18:$P$27</f>
            </numRef>
          </yVal>
        </ser>
        <ser>
          <idx val="3"/>
          <order val="3"/>
          <tx>
            <strRef>
              <f>'49_FL762629AF'!Q17</f>
            </strRef>
          </tx>
          <spPr>
            <a:ln xmlns:a="http://schemas.openxmlformats.org/drawingml/2006/main" w="18000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'49_FL762629AF'!$M$18:$M$27</f>
            </numRef>
          </xVal>
          <yVal>
            <numRef>
              <f>'49_FL762629AF'!$Q$18:$Q$27</f>
            </numRef>
          </yVal>
        </ser>
        <ser>
          <idx val="4"/>
          <order val="4"/>
          <tx>
            <strRef>
              <f>'49_FL762629AF'!R17</f>
            </strRef>
          </tx>
          <spPr>
            <a:ln xmlns:a="http://schemas.openxmlformats.org/drawingml/2006/main" w="18000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'49_FL762629AF'!$M$18:$M$27</f>
            </numRef>
          </xVal>
          <yVal>
            <numRef>
              <f>'49_FL762629AF'!$R$18:$R$27</f>
            </numRef>
          </yVal>
        </ser>
        <ser>
          <idx val="5"/>
          <order val="5"/>
          <tx>
            <strRef>
              <f>'49_FL762629AF'!S17</f>
            </strRef>
          </tx>
          <spPr>
            <a:ln xmlns:a="http://schemas.openxmlformats.org/drawingml/2006/main" w="18000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'49_FL762629AF'!$M$18:$M$27</f>
            </numRef>
          </xVal>
          <yVal>
            <numRef>
              <f>'49_FL762629AF'!$S$18:$S$27</f>
            </numRef>
          </yVal>
        </ser>
        <ser>
          <idx val="6"/>
          <order val="6"/>
          <tx>
            <strRef>
              <f>'49_FL762629AF'!T17</f>
            </strRef>
          </tx>
          <spPr>
            <a:ln xmlns:a="http://schemas.openxmlformats.org/drawingml/2006/main" w="18000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'49_FL762629AF'!$M$18:$M$27</f>
            </numRef>
          </xVal>
          <yVal>
            <numRef>
              <f>'49_FL762629AF'!$T$18:$T$27</f>
            </numRef>
          </yVal>
        </ser>
        <ser>
          <idx val="7"/>
          <order val="7"/>
          <tx>
            <strRef>
              <f>'49_FL762629AF'!U17</f>
            </strRef>
          </tx>
          <spPr>
            <a:ln xmlns:a="http://schemas.openxmlformats.org/drawingml/2006/main" w="18000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'49_FL762629AF'!$M$18:$M$27</f>
            </numRef>
          </xVal>
          <yVal>
            <numRef>
              <f>'49_FL762629AF'!$U$18:$U$27</f>
            </numRef>
          </yVal>
        </ser>
        <ser>
          <idx val="8"/>
          <order val="8"/>
          <tx>
            <strRef>
              <f>'49_FL762629AF'!V17</f>
            </strRef>
          </tx>
          <spPr>
            <a:ln xmlns:a="http://schemas.openxmlformats.org/drawingml/2006/main" w="18000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'49_FL762629AF'!$M$18:$M$27</f>
            </numRef>
          </xVal>
          <yVal>
            <numRef>
              <f>'49_FL762629AF'!$V$18:$V$27</f>
            </numRef>
          </yVal>
        </ser>
        <ser>
          <idx val="9"/>
          <order val="9"/>
          <tx>
            <strRef>
              <f>'49_FL762629AF'!W17</f>
            </strRef>
          </tx>
          <spPr>
            <a:ln xmlns:a="http://schemas.openxmlformats.org/drawingml/2006/main" w="18000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'49_FL762629AF'!$M$18:$M$27</f>
            </numRef>
          </xVal>
          <yVal>
            <numRef>
              <f>'49_FL762629AF'!$W$18:$W$27</f>
            </numRef>
          </yVal>
        </ser>
        <ser>
          <idx val="10"/>
          <order val="10"/>
          <tx>
            <strRef>
              <f>'49_FL762629AF'!X17</f>
            </strRef>
          </tx>
          <spPr>
            <a:ln xmlns:a="http://schemas.openxmlformats.org/drawingml/2006/main" w="18000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'49_FL762629AF'!$M$18:$M$27</f>
            </numRef>
          </xVal>
          <yVal>
            <numRef>
              <f>'49_FL762629AF'!$X$18:$X$27</f>
            </numRef>
          </yVal>
        </ser>
        <ser>
          <idx val="11"/>
          <order val="11"/>
          <tx>
            <strRef>
              <f>'49_FL762629AF'!Y17</f>
            </strRef>
          </tx>
          <spPr>
            <a:ln xmlns:a="http://schemas.openxmlformats.org/drawingml/2006/main" w="18000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'49_FL762629AF'!$M$18:$M$27</f>
            </numRef>
          </xVal>
          <yVal>
            <numRef>
              <f>'49_FL762629AF'!$Y$18:$Y$27</f>
            </numRef>
          </yVal>
        </ser>
        <axId val="10"/>
        <axId val="20"/>
      </scatterChart>
      <valAx>
        <axId val="10"/>
        <scaling>
          <logBase val="10"/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Duration (min)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logBase val="10"/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Intensity (mm/hr)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7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Catchment-style IDF - Gauge 50 (FM865337AF)</a:t>
            </a:r>
          </a:p>
        </rich>
      </tx>
    </title>
    <plotArea>
      <scatterChart>
        <ser>
          <idx val="0"/>
          <order val="0"/>
          <tx>
            <strRef>
              <f>'50_FM865337AF'!N17</f>
            </strRef>
          </tx>
          <spPr>
            <a:ln xmlns:a="http://schemas.openxmlformats.org/drawingml/2006/main" w="18000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'50_FM865337AF'!$M$18:$M$27</f>
            </numRef>
          </xVal>
          <yVal>
            <numRef>
              <f>'50_FM865337AF'!$N$18:$N$27</f>
            </numRef>
          </yVal>
        </ser>
        <ser>
          <idx val="1"/>
          <order val="1"/>
          <tx>
            <strRef>
              <f>'50_FM865337AF'!O17</f>
            </strRef>
          </tx>
          <spPr>
            <a:ln xmlns:a="http://schemas.openxmlformats.org/drawingml/2006/main" w="18000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'50_FM865337AF'!$M$18:$M$27</f>
            </numRef>
          </xVal>
          <yVal>
            <numRef>
              <f>'50_FM865337AF'!$O$18:$O$27</f>
            </numRef>
          </yVal>
        </ser>
        <ser>
          <idx val="2"/>
          <order val="2"/>
          <tx>
            <strRef>
              <f>'50_FM865337AF'!P17</f>
            </strRef>
          </tx>
          <spPr>
            <a:ln xmlns:a="http://schemas.openxmlformats.org/drawingml/2006/main" w="18000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'50_FM865337AF'!$M$18:$M$27</f>
            </numRef>
          </xVal>
          <yVal>
            <numRef>
              <f>'50_FM865337AF'!$P$18:$P$27</f>
            </numRef>
          </yVal>
        </ser>
        <ser>
          <idx val="3"/>
          <order val="3"/>
          <tx>
            <strRef>
              <f>'50_FM865337AF'!Q17</f>
            </strRef>
          </tx>
          <spPr>
            <a:ln xmlns:a="http://schemas.openxmlformats.org/drawingml/2006/main" w="18000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'50_FM865337AF'!$M$18:$M$27</f>
            </numRef>
          </xVal>
          <yVal>
            <numRef>
              <f>'50_FM865337AF'!$Q$18:$Q$27</f>
            </numRef>
          </yVal>
        </ser>
        <ser>
          <idx val="4"/>
          <order val="4"/>
          <tx>
            <strRef>
              <f>'50_FM865337AF'!R17</f>
            </strRef>
          </tx>
          <spPr>
            <a:ln xmlns:a="http://schemas.openxmlformats.org/drawingml/2006/main" w="18000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'50_FM865337AF'!$M$18:$M$27</f>
            </numRef>
          </xVal>
          <yVal>
            <numRef>
              <f>'50_FM865337AF'!$R$18:$R$27</f>
            </numRef>
          </yVal>
        </ser>
        <ser>
          <idx val="5"/>
          <order val="5"/>
          <tx>
            <strRef>
              <f>'50_FM865337AF'!S17</f>
            </strRef>
          </tx>
          <spPr>
            <a:ln xmlns:a="http://schemas.openxmlformats.org/drawingml/2006/main" w="18000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'50_FM865337AF'!$M$18:$M$27</f>
            </numRef>
          </xVal>
          <yVal>
            <numRef>
              <f>'50_FM865337AF'!$S$18:$S$27</f>
            </numRef>
          </yVal>
        </ser>
        <ser>
          <idx val="6"/>
          <order val="6"/>
          <tx>
            <strRef>
              <f>'50_FM865337AF'!T17</f>
            </strRef>
          </tx>
          <spPr>
            <a:ln xmlns:a="http://schemas.openxmlformats.org/drawingml/2006/main" w="18000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'50_FM865337AF'!$M$18:$M$27</f>
            </numRef>
          </xVal>
          <yVal>
            <numRef>
              <f>'50_FM865337AF'!$T$18:$T$27</f>
            </numRef>
          </yVal>
        </ser>
        <ser>
          <idx val="7"/>
          <order val="7"/>
          <tx>
            <strRef>
              <f>'50_FM865337AF'!U17</f>
            </strRef>
          </tx>
          <spPr>
            <a:ln xmlns:a="http://schemas.openxmlformats.org/drawingml/2006/main" w="18000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'50_FM865337AF'!$M$18:$M$27</f>
            </numRef>
          </xVal>
          <yVal>
            <numRef>
              <f>'50_FM865337AF'!$U$18:$U$27</f>
            </numRef>
          </yVal>
        </ser>
        <ser>
          <idx val="8"/>
          <order val="8"/>
          <tx>
            <strRef>
              <f>'50_FM865337AF'!V17</f>
            </strRef>
          </tx>
          <spPr>
            <a:ln xmlns:a="http://schemas.openxmlformats.org/drawingml/2006/main" w="18000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'50_FM865337AF'!$M$18:$M$27</f>
            </numRef>
          </xVal>
          <yVal>
            <numRef>
              <f>'50_FM865337AF'!$V$18:$V$27</f>
            </numRef>
          </yVal>
        </ser>
        <ser>
          <idx val="9"/>
          <order val="9"/>
          <tx>
            <strRef>
              <f>'50_FM865337AF'!W17</f>
            </strRef>
          </tx>
          <spPr>
            <a:ln xmlns:a="http://schemas.openxmlformats.org/drawingml/2006/main" w="18000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'50_FM865337AF'!$M$18:$M$27</f>
            </numRef>
          </xVal>
          <yVal>
            <numRef>
              <f>'50_FM865337AF'!$W$18:$W$27</f>
            </numRef>
          </yVal>
        </ser>
        <ser>
          <idx val="10"/>
          <order val="10"/>
          <tx>
            <strRef>
              <f>'50_FM865337AF'!X17</f>
            </strRef>
          </tx>
          <spPr>
            <a:ln xmlns:a="http://schemas.openxmlformats.org/drawingml/2006/main" w="18000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'50_FM865337AF'!$M$18:$M$27</f>
            </numRef>
          </xVal>
          <yVal>
            <numRef>
              <f>'50_FM865337AF'!$X$18:$X$27</f>
            </numRef>
          </yVal>
        </ser>
        <ser>
          <idx val="11"/>
          <order val="11"/>
          <tx>
            <strRef>
              <f>'50_FM865337AF'!Y17</f>
            </strRef>
          </tx>
          <spPr>
            <a:ln xmlns:a="http://schemas.openxmlformats.org/drawingml/2006/main" w="18000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'50_FM865337AF'!$M$18:$M$27</f>
            </numRef>
          </xVal>
          <yVal>
            <numRef>
              <f>'50_FM865337AF'!$Y$18:$Y$27</f>
            </numRef>
          </yVal>
        </ser>
        <axId val="10"/>
        <axId val="20"/>
      </scatterChart>
      <valAx>
        <axId val="10"/>
        <scaling>
          <logBase val="10"/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Duration (min)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logBase val="10"/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Intensity (mm/hr)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8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Catchment-style IDF - Gauge 54 (FL157691BF)</a:t>
            </a:r>
          </a:p>
        </rich>
      </tx>
    </title>
    <plotArea>
      <scatterChart>
        <ser>
          <idx val="0"/>
          <order val="0"/>
          <tx>
            <strRef>
              <f>'54_FL157691BF'!N17</f>
            </strRef>
          </tx>
          <spPr>
            <a:ln xmlns:a="http://schemas.openxmlformats.org/drawingml/2006/main" w="18000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'54_FL157691BF'!$M$18:$M$27</f>
            </numRef>
          </xVal>
          <yVal>
            <numRef>
              <f>'54_FL157691BF'!$N$18:$N$27</f>
            </numRef>
          </yVal>
        </ser>
        <ser>
          <idx val="1"/>
          <order val="1"/>
          <tx>
            <strRef>
              <f>'54_FL157691BF'!O17</f>
            </strRef>
          </tx>
          <spPr>
            <a:ln xmlns:a="http://schemas.openxmlformats.org/drawingml/2006/main" w="18000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'54_FL157691BF'!$M$18:$M$27</f>
            </numRef>
          </xVal>
          <yVal>
            <numRef>
              <f>'54_FL157691BF'!$O$18:$O$27</f>
            </numRef>
          </yVal>
        </ser>
        <ser>
          <idx val="2"/>
          <order val="2"/>
          <tx>
            <strRef>
              <f>'54_FL157691BF'!P17</f>
            </strRef>
          </tx>
          <spPr>
            <a:ln xmlns:a="http://schemas.openxmlformats.org/drawingml/2006/main" w="18000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'54_FL157691BF'!$M$18:$M$27</f>
            </numRef>
          </xVal>
          <yVal>
            <numRef>
              <f>'54_FL157691BF'!$P$18:$P$27</f>
            </numRef>
          </yVal>
        </ser>
        <ser>
          <idx val="3"/>
          <order val="3"/>
          <tx>
            <strRef>
              <f>'54_FL157691BF'!Q17</f>
            </strRef>
          </tx>
          <spPr>
            <a:ln xmlns:a="http://schemas.openxmlformats.org/drawingml/2006/main" w="18000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'54_FL157691BF'!$M$18:$M$27</f>
            </numRef>
          </xVal>
          <yVal>
            <numRef>
              <f>'54_FL157691BF'!$Q$18:$Q$27</f>
            </numRef>
          </yVal>
        </ser>
        <ser>
          <idx val="4"/>
          <order val="4"/>
          <tx>
            <strRef>
              <f>'54_FL157691BF'!R17</f>
            </strRef>
          </tx>
          <spPr>
            <a:ln xmlns:a="http://schemas.openxmlformats.org/drawingml/2006/main" w="18000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'54_FL157691BF'!$M$18:$M$27</f>
            </numRef>
          </xVal>
          <yVal>
            <numRef>
              <f>'54_FL157691BF'!$R$18:$R$27</f>
            </numRef>
          </yVal>
        </ser>
        <ser>
          <idx val="5"/>
          <order val="5"/>
          <tx>
            <strRef>
              <f>'54_FL157691BF'!S17</f>
            </strRef>
          </tx>
          <spPr>
            <a:ln xmlns:a="http://schemas.openxmlformats.org/drawingml/2006/main" w="18000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'54_FL157691BF'!$M$18:$M$27</f>
            </numRef>
          </xVal>
          <yVal>
            <numRef>
              <f>'54_FL157691BF'!$S$18:$S$27</f>
            </numRef>
          </yVal>
        </ser>
        <ser>
          <idx val="6"/>
          <order val="6"/>
          <tx>
            <strRef>
              <f>'54_FL157691BF'!T17</f>
            </strRef>
          </tx>
          <spPr>
            <a:ln xmlns:a="http://schemas.openxmlformats.org/drawingml/2006/main" w="18000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'54_FL157691BF'!$M$18:$M$27</f>
            </numRef>
          </xVal>
          <yVal>
            <numRef>
              <f>'54_FL157691BF'!$T$18:$T$27</f>
            </numRef>
          </yVal>
        </ser>
        <ser>
          <idx val="7"/>
          <order val="7"/>
          <tx>
            <strRef>
              <f>'54_FL157691BF'!U17</f>
            </strRef>
          </tx>
          <spPr>
            <a:ln xmlns:a="http://schemas.openxmlformats.org/drawingml/2006/main" w="18000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'54_FL157691BF'!$M$18:$M$27</f>
            </numRef>
          </xVal>
          <yVal>
            <numRef>
              <f>'54_FL157691BF'!$U$18:$U$27</f>
            </numRef>
          </yVal>
        </ser>
        <ser>
          <idx val="8"/>
          <order val="8"/>
          <tx>
            <strRef>
              <f>'54_FL157691BF'!V17</f>
            </strRef>
          </tx>
          <spPr>
            <a:ln xmlns:a="http://schemas.openxmlformats.org/drawingml/2006/main" w="18000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'54_FL157691BF'!$M$18:$M$27</f>
            </numRef>
          </xVal>
          <yVal>
            <numRef>
              <f>'54_FL157691BF'!$V$18:$V$27</f>
            </numRef>
          </yVal>
        </ser>
        <ser>
          <idx val="9"/>
          <order val="9"/>
          <tx>
            <strRef>
              <f>'54_FL157691BF'!W17</f>
            </strRef>
          </tx>
          <spPr>
            <a:ln xmlns:a="http://schemas.openxmlformats.org/drawingml/2006/main" w="18000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'54_FL157691BF'!$M$18:$M$27</f>
            </numRef>
          </xVal>
          <yVal>
            <numRef>
              <f>'54_FL157691BF'!$W$18:$W$27</f>
            </numRef>
          </yVal>
        </ser>
        <ser>
          <idx val="10"/>
          <order val="10"/>
          <tx>
            <strRef>
              <f>'54_FL157691BF'!X17</f>
            </strRef>
          </tx>
          <spPr>
            <a:ln xmlns:a="http://schemas.openxmlformats.org/drawingml/2006/main" w="18000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'54_FL157691BF'!$M$18:$M$27</f>
            </numRef>
          </xVal>
          <yVal>
            <numRef>
              <f>'54_FL157691BF'!$X$18:$X$27</f>
            </numRef>
          </yVal>
        </ser>
        <ser>
          <idx val="11"/>
          <order val="11"/>
          <tx>
            <strRef>
              <f>'54_FL157691BF'!Y17</f>
            </strRef>
          </tx>
          <spPr>
            <a:ln xmlns:a="http://schemas.openxmlformats.org/drawingml/2006/main" w="18000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'54_FL157691BF'!$M$18:$M$27</f>
            </numRef>
          </xVal>
          <yVal>
            <numRef>
              <f>'54_FL157691BF'!$Y$18:$Y$27</f>
            </numRef>
          </yVal>
        </ser>
        <axId val="10"/>
        <axId val="20"/>
      </scatterChart>
      <valAx>
        <axId val="10"/>
        <scaling>
          <logBase val="10"/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Duration (min)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logBase val="10"/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Intensity (mm/hr)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9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Catchment-style IDF - Gauge 55 (FL358553BF)</a:t>
            </a:r>
          </a:p>
        </rich>
      </tx>
    </title>
    <plotArea>
      <scatterChart>
        <ser>
          <idx val="0"/>
          <order val="0"/>
          <tx>
            <strRef>
              <f>'55_FL358553BF'!N17</f>
            </strRef>
          </tx>
          <spPr>
            <a:ln xmlns:a="http://schemas.openxmlformats.org/drawingml/2006/main" w="18000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'55_FL358553BF'!$M$18:$M$27</f>
            </numRef>
          </xVal>
          <yVal>
            <numRef>
              <f>'55_FL358553BF'!$N$18:$N$27</f>
            </numRef>
          </yVal>
        </ser>
        <ser>
          <idx val="1"/>
          <order val="1"/>
          <tx>
            <strRef>
              <f>'55_FL358553BF'!O17</f>
            </strRef>
          </tx>
          <spPr>
            <a:ln xmlns:a="http://schemas.openxmlformats.org/drawingml/2006/main" w="18000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'55_FL358553BF'!$M$18:$M$27</f>
            </numRef>
          </xVal>
          <yVal>
            <numRef>
              <f>'55_FL358553BF'!$O$18:$O$27</f>
            </numRef>
          </yVal>
        </ser>
        <ser>
          <idx val="2"/>
          <order val="2"/>
          <tx>
            <strRef>
              <f>'55_FL358553BF'!P17</f>
            </strRef>
          </tx>
          <spPr>
            <a:ln xmlns:a="http://schemas.openxmlformats.org/drawingml/2006/main" w="18000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'55_FL358553BF'!$M$18:$M$27</f>
            </numRef>
          </xVal>
          <yVal>
            <numRef>
              <f>'55_FL358553BF'!$P$18:$P$27</f>
            </numRef>
          </yVal>
        </ser>
        <ser>
          <idx val="3"/>
          <order val="3"/>
          <tx>
            <strRef>
              <f>'55_FL358553BF'!Q17</f>
            </strRef>
          </tx>
          <spPr>
            <a:ln xmlns:a="http://schemas.openxmlformats.org/drawingml/2006/main" w="18000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'55_FL358553BF'!$M$18:$M$27</f>
            </numRef>
          </xVal>
          <yVal>
            <numRef>
              <f>'55_FL358553BF'!$Q$18:$Q$27</f>
            </numRef>
          </yVal>
        </ser>
        <ser>
          <idx val="4"/>
          <order val="4"/>
          <tx>
            <strRef>
              <f>'55_FL358553BF'!R17</f>
            </strRef>
          </tx>
          <spPr>
            <a:ln xmlns:a="http://schemas.openxmlformats.org/drawingml/2006/main" w="18000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'55_FL358553BF'!$M$18:$M$27</f>
            </numRef>
          </xVal>
          <yVal>
            <numRef>
              <f>'55_FL358553BF'!$R$18:$R$27</f>
            </numRef>
          </yVal>
        </ser>
        <ser>
          <idx val="5"/>
          <order val="5"/>
          <tx>
            <strRef>
              <f>'55_FL358553BF'!S17</f>
            </strRef>
          </tx>
          <spPr>
            <a:ln xmlns:a="http://schemas.openxmlformats.org/drawingml/2006/main" w="18000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'55_FL358553BF'!$M$18:$M$27</f>
            </numRef>
          </xVal>
          <yVal>
            <numRef>
              <f>'55_FL358553BF'!$S$18:$S$27</f>
            </numRef>
          </yVal>
        </ser>
        <ser>
          <idx val="6"/>
          <order val="6"/>
          <tx>
            <strRef>
              <f>'55_FL358553BF'!T17</f>
            </strRef>
          </tx>
          <spPr>
            <a:ln xmlns:a="http://schemas.openxmlformats.org/drawingml/2006/main" w="18000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'55_FL358553BF'!$M$18:$M$27</f>
            </numRef>
          </xVal>
          <yVal>
            <numRef>
              <f>'55_FL358553BF'!$T$18:$T$27</f>
            </numRef>
          </yVal>
        </ser>
        <ser>
          <idx val="7"/>
          <order val="7"/>
          <tx>
            <strRef>
              <f>'55_FL358553BF'!U17</f>
            </strRef>
          </tx>
          <spPr>
            <a:ln xmlns:a="http://schemas.openxmlformats.org/drawingml/2006/main" w="18000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'55_FL358553BF'!$M$18:$M$27</f>
            </numRef>
          </xVal>
          <yVal>
            <numRef>
              <f>'55_FL358553BF'!$U$18:$U$27</f>
            </numRef>
          </yVal>
        </ser>
        <ser>
          <idx val="8"/>
          <order val="8"/>
          <tx>
            <strRef>
              <f>'55_FL358553BF'!V17</f>
            </strRef>
          </tx>
          <spPr>
            <a:ln xmlns:a="http://schemas.openxmlformats.org/drawingml/2006/main" w="18000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'55_FL358553BF'!$M$18:$M$27</f>
            </numRef>
          </xVal>
          <yVal>
            <numRef>
              <f>'55_FL358553BF'!$V$18:$V$27</f>
            </numRef>
          </yVal>
        </ser>
        <ser>
          <idx val="9"/>
          <order val="9"/>
          <tx>
            <strRef>
              <f>'55_FL358553BF'!W17</f>
            </strRef>
          </tx>
          <spPr>
            <a:ln xmlns:a="http://schemas.openxmlformats.org/drawingml/2006/main" w="18000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'55_FL358553BF'!$M$18:$M$27</f>
            </numRef>
          </xVal>
          <yVal>
            <numRef>
              <f>'55_FL358553BF'!$W$18:$W$27</f>
            </numRef>
          </yVal>
        </ser>
        <ser>
          <idx val="10"/>
          <order val="10"/>
          <tx>
            <strRef>
              <f>'55_FL358553BF'!X17</f>
            </strRef>
          </tx>
          <spPr>
            <a:ln xmlns:a="http://schemas.openxmlformats.org/drawingml/2006/main" w="18000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'55_FL358553BF'!$M$18:$M$27</f>
            </numRef>
          </xVal>
          <yVal>
            <numRef>
              <f>'55_FL358553BF'!$X$18:$X$27</f>
            </numRef>
          </yVal>
        </ser>
        <ser>
          <idx val="11"/>
          <order val="11"/>
          <tx>
            <strRef>
              <f>'55_FL358553BF'!Y17</f>
            </strRef>
          </tx>
          <spPr>
            <a:ln xmlns:a="http://schemas.openxmlformats.org/drawingml/2006/main" w="18000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'55_FL358553BF'!$M$18:$M$27</f>
            </numRef>
          </xVal>
          <yVal>
            <numRef>
              <f>'55_FL358553BF'!$Y$18:$Y$27</f>
            </numRef>
          </yVal>
        </ser>
        <axId val="10"/>
        <axId val="20"/>
      </scatterChart>
      <valAx>
        <axId val="10"/>
        <scaling>
          <logBase val="10"/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Duration (min)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logBase val="10"/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Intensity (mm/hr)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0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Catchment-style IDF - Gauge 56 (FL655789AF)</a:t>
            </a:r>
          </a:p>
        </rich>
      </tx>
    </title>
    <plotArea>
      <scatterChart>
        <ser>
          <idx val="0"/>
          <order val="0"/>
          <tx>
            <strRef>
              <f>'56_FL655789AF'!N17</f>
            </strRef>
          </tx>
          <spPr>
            <a:ln xmlns:a="http://schemas.openxmlformats.org/drawingml/2006/main" w="18000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'56_FL655789AF'!$M$18:$M$27</f>
            </numRef>
          </xVal>
          <yVal>
            <numRef>
              <f>'56_FL655789AF'!$N$18:$N$27</f>
            </numRef>
          </yVal>
        </ser>
        <ser>
          <idx val="1"/>
          <order val="1"/>
          <tx>
            <strRef>
              <f>'56_FL655789AF'!O17</f>
            </strRef>
          </tx>
          <spPr>
            <a:ln xmlns:a="http://schemas.openxmlformats.org/drawingml/2006/main" w="18000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'56_FL655789AF'!$M$18:$M$27</f>
            </numRef>
          </xVal>
          <yVal>
            <numRef>
              <f>'56_FL655789AF'!$O$18:$O$27</f>
            </numRef>
          </yVal>
        </ser>
        <ser>
          <idx val="2"/>
          <order val="2"/>
          <tx>
            <strRef>
              <f>'56_FL655789AF'!P17</f>
            </strRef>
          </tx>
          <spPr>
            <a:ln xmlns:a="http://schemas.openxmlformats.org/drawingml/2006/main" w="18000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'56_FL655789AF'!$M$18:$M$27</f>
            </numRef>
          </xVal>
          <yVal>
            <numRef>
              <f>'56_FL655789AF'!$P$18:$P$27</f>
            </numRef>
          </yVal>
        </ser>
        <ser>
          <idx val="3"/>
          <order val="3"/>
          <tx>
            <strRef>
              <f>'56_FL655789AF'!Q17</f>
            </strRef>
          </tx>
          <spPr>
            <a:ln xmlns:a="http://schemas.openxmlformats.org/drawingml/2006/main" w="18000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'56_FL655789AF'!$M$18:$M$27</f>
            </numRef>
          </xVal>
          <yVal>
            <numRef>
              <f>'56_FL655789AF'!$Q$18:$Q$27</f>
            </numRef>
          </yVal>
        </ser>
        <ser>
          <idx val="4"/>
          <order val="4"/>
          <tx>
            <strRef>
              <f>'56_FL655789AF'!R17</f>
            </strRef>
          </tx>
          <spPr>
            <a:ln xmlns:a="http://schemas.openxmlformats.org/drawingml/2006/main" w="18000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'56_FL655789AF'!$M$18:$M$27</f>
            </numRef>
          </xVal>
          <yVal>
            <numRef>
              <f>'56_FL655789AF'!$R$18:$R$27</f>
            </numRef>
          </yVal>
        </ser>
        <ser>
          <idx val="5"/>
          <order val="5"/>
          <tx>
            <strRef>
              <f>'56_FL655789AF'!S17</f>
            </strRef>
          </tx>
          <spPr>
            <a:ln xmlns:a="http://schemas.openxmlformats.org/drawingml/2006/main" w="18000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'56_FL655789AF'!$M$18:$M$27</f>
            </numRef>
          </xVal>
          <yVal>
            <numRef>
              <f>'56_FL655789AF'!$S$18:$S$27</f>
            </numRef>
          </yVal>
        </ser>
        <ser>
          <idx val="6"/>
          <order val="6"/>
          <tx>
            <strRef>
              <f>'56_FL655789AF'!T17</f>
            </strRef>
          </tx>
          <spPr>
            <a:ln xmlns:a="http://schemas.openxmlformats.org/drawingml/2006/main" w="18000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'56_FL655789AF'!$M$18:$M$27</f>
            </numRef>
          </xVal>
          <yVal>
            <numRef>
              <f>'56_FL655789AF'!$T$18:$T$27</f>
            </numRef>
          </yVal>
        </ser>
        <ser>
          <idx val="7"/>
          <order val="7"/>
          <tx>
            <strRef>
              <f>'56_FL655789AF'!U17</f>
            </strRef>
          </tx>
          <spPr>
            <a:ln xmlns:a="http://schemas.openxmlformats.org/drawingml/2006/main" w="18000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'56_FL655789AF'!$M$18:$M$27</f>
            </numRef>
          </xVal>
          <yVal>
            <numRef>
              <f>'56_FL655789AF'!$U$18:$U$27</f>
            </numRef>
          </yVal>
        </ser>
        <ser>
          <idx val="8"/>
          <order val="8"/>
          <tx>
            <strRef>
              <f>'56_FL655789AF'!V17</f>
            </strRef>
          </tx>
          <spPr>
            <a:ln xmlns:a="http://schemas.openxmlformats.org/drawingml/2006/main" w="18000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'56_FL655789AF'!$M$18:$M$27</f>
            </numRef>
          </xVal>
          <yVal>
            <numRef>
              <f>'56_FL655789AF'!$V$18:$V$27</f>
            </numRef>
          </yVal>
        </ser>
        <ser>
          <idx val="9"/>
          <order val="9"/>
          <tx>
            <strRef>
              <f>'56_FL655789AF'!W17</f>
            </strRef>
          </tx>
          <spPr>
            <a:ln xmlns:a="http://schemas.openxmlformats.org/drawingml/2006/main" w="18000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'56_FL655789AF'!$M$18:$M$27</f>
            </numRef>
          </xVal>
          <yVal>
            <numRef>
              <f>'56_FL655789AF'!$W$18:$W$27</f>
            </numRef>
          </yVal>
        </ser>
        <ser>
          <idx val="10"/>
          <order val="10"/>
          <tx>
            <strRef>
              <f>'56_FL655789AF'!X17</f>
            </strRef>
          </tx>
          <spPr>
            <a:ln xmlns:a="http://schemas.openxmlformats.org/drawingml/2006/main" w="18000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'56_FL655789AF'!$M$18:$M$27</f>
            </numRef>
          </xVal>
          <yVal>
            <numRef>
              <f>'56_FL655789AF'!$X$18:$X$27</f>
            </numRef>
          </yVal>
        </ser>
        <ser>
          <idx val="11"/>
          <order val="11"/>
          <tx>
            <strRef>
              <f>'56_FL655789AF'!Y17</f>
            </strRef>
          </tx>
          <spPr>
            <a:ln xmlns:a="http://schemas.openxmlformats.org/drawingml/2006/main" w="18000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'56_FL655789AF'!$M$18:$M$27</f>
            </numRef>
          </xVal>
          <yVal>
            <numRef>
              <f>'56_FL655789AF'!$Y$18:$Y$27</f>
            </numRef>
          </yVal>
        </ser>
        <axId val="10"/>
        <axId val="20"/>
      </scatterChart>
      <valAx>
        <axId val="10"/>
        <scaling>
          <logBase val="10"/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Duration (min)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logBase val="10"/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Intensity (mm/hr)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Catchment-style IDF - Gauge 57 (FL740974AF)</a:t>
            </a:r>
          </a:p>
        </rich>
      </tx>
    </title>
    <plotArea>
      <scatterChart>
        <ser>
          <idx val="0"/>
          <order val="0"/>
          <tx>
            <strRef>
              <f>'57_FL740974AF'!N17</f>
            </strRef>
          </tx>
          <spPr>
            <a:ln xmlns:a="http://schemas.openxmlformats.org/drawingml/2006/main" w="18000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'57_FL740974AF'!$M$18:$M$27</f>
            </numRef>
          </xVal>
          <yVal>
            <numRef>
              <f>'57_FL740974AF'!$N$18:$N$27</f>
            </numRef>
          </yVal>
        </ser>
        <ser>
          <idx val="1"/>
          <order val="1"/>
          <tx>
            <strRef>
              <f>'57_FL740974AF'!O17</f>
            </strRef>
          </tx>
          <spPr>
            <a:ln xmlns:a="http://schemas.openxmlformats.org/drawingml/2006/main" w="18000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'57_FL740974AF'!$M$18:$M$27</f>
            </numRef>
          </xVal>
          <yVal>
            <numRef>
              <f>'57_FL740974AF'!$O$18:$O$27</f>
            </numRef>
          </yVal>
        </ser>
        <ser>
          <idx val="2"/>
          <order val="2"/>
          <tx>
            <strRef>
              <f>'57_FL740974AF'!P17</f>
            </strRef>
          </tx>
          <spPr>
            <a:ln xmlns:a="http://schemas.openxmlformats.org/drawingml/2006/main" w="18000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'57_FL740974AF'!$M$18:$M$27</f>
            </numRef>
          </xVal>
          <yVal>
            <numRef>
              <f>'57_FL740974AF'!$P$18:$P$27</f>
            </numRef>
          </yVal>
        </ser>
        <ser>
          <idx val="3"/>
          <order val="3"/>
          <tx>
            <strRef>
              <f>'57_FL740974AF'!Q17</f>
            </strRef>
          </tx>
          <spPr>
            <a:ln xmlns:a="http://schemas.openxmlformats.org/drawingml/2006/main" w="18000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'57_FL740974AF'!$M$18:$M$27</f>
            </numRef>
          </xVal>
          <yVal>
            <numRef>
              <f>'57_FL740974AF'!$Q$18:$Q$27</f>
            </numRef>
          </yVal>
        </ser>
        <ser>
          <idx val="4"/>
          <order val="4"/>
          <tx>
            <strRef>
              <f>'57_FL740974AF'!R17</f>
            </strRef>
          </tx>
          <spPr>
            <a:ln xmlns:a="http://schemas.openxmlformats.org/drawingml/2006/main" w="18000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'57_FL740974AF'!$M$18:$M$27</f>
            </numRef>
          </xVal>
          <yVal>
            <numRef>
              <f>'57_FL740974AF'!$R$18:$R$27</f>
            </numRef>
          </yVal>
        </ser>
        <ser>
          <idx val="5"/>
          <order val="5"/>
          <tx>
            <strRef>
              <f>'57_FL740974AF'!S17</f>
            </strRef>
          </tx>
          <spPr>
            <a:ln xmlns:a="http://schemas.openxmlformats.org/drawingml/2006/main" w="18000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'57_FL740974AF'!$M$18:$M$27</f>
            </numRef>
          </xVal>
          <yVal>
            <numRef>
              <f>'57_FL740974AF'!$S$18:$S$27</f>
            </numRef>
          </yVal>
        </ser>
        <ser>
          <idx val="6"/>
          <order val="6"/>
          <tx>
            <strRef>
              <f>'57_FL740974AF'!T17</f>
            </strRef>
          </tx>
          <spPr>
            <a:ln xmlns:a="http://schemas.openxmlformats.org/drawingml/2006/main" w="18000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'57_FL740974AF'!$M$18:$M$27</f>
            </numRef>
          </xVal>
          <yVal>
            <numRef>
              <f>'57_FL740974AF'!$T$18:$T$27</f>
            </numRef>
          </yVal>
        </ser>
        <ser>
          <idx val="7"/>
          <order val="7"/>
          <tx>
            <strRef>
              <f>'57_FL740974AF'!U17</f>
            </strRef>
          </tx>
          <spPr>
            <a:ln xmlns:a="http://schemas.openxmlformats.org/drawingml/2006/main" w="18000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'57_FL740974AF'!$M$18:$M$27</f>
            </numRef>
          </xVal>
          <yVal>
            <numRef>
              <f>'57_FL740974AF'!$U$18:$U$27</f>
            </numRef>
          </yVal>
        </ser>
        <ser>
          <idx val="8"/>
          <order val="8"/>
          <tx>
            <strRef>
              <f>'57_FL740974AF'!V17</f>
            </strRef>
          </tx>
          <spPr>
            <a:ln xmlns:a="http://schemas.openxmlformats.org/drawingml/2006/main" w="18000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'57_FL740974AF'!$M$18:$M$27</f>
            </numRef>
          </xVal>
          <yVal>
            <numRef>
              <f>'57_FL740974AF'!$V$18:$V$27</f>
            </numRef>
          </yVal>
        </ser>
        <ser>
          <idx val="9"/>
          <order val="9"/>
          <tx>
            <strRef>
              <f>'57_FL740974AF'!W17</f>
            </strRef>
          </tx>
          <spPr>
            <a:ln xmlns:a="http://schemas.openxmlformats.org/drawingml/2006/main" w="18000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'57_FL740974AF'!$M$18:$M$27</f>
            </numRef>
          </xVal>
          <yVal>
            <numRef>
              <f>'57_FL740974AF'!$W$18:$W$27</f>
            </numRef>
          </yVal>
        </ser>
        <ser>
          <idx val="10"/>
          <order val="10"/>
          <tx>
            <strRef>
              <f>'57_FL740974AF'!X17</f>
            </strRef>
          </tx>
          <spPr>
            <a:ln xmlns:a="http://schemas.openxmlformats.org/drawingml/2006/main" w="18000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'57_FL740974AF'!$M$18:$M$27</f>
            </numRef>
          </xVal>
          <yVal>
            <numRef>
              <f>'57_FL740974AF'!$X$18:$X$27</f>
            </numRef>
          </yVal>
        </ser>
        <ser>
          <idx val="11"/>
          <order val="11"/>
          <tx>
            <strRef>
              <f>'57_FL740974AF'!Y17</f>
            </strRef>
          </tx>
          <spPr>
            <a:ln xmlns:a="http://schemas.openxmlformats.org/drawingml/2006/main" w="18000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'57_FL740974AF'!$M$18:$M$27</f>
            </numRef>
          </xVal>
          <yVal>
            <numRef>
              <f>'57_FL740974AF'!$Y$18:$Y$27</f>
            </numRef>
          </yVal>
        </ser>
        <axId val="10"/>
        <axId val="20"/>
      </scatterChart>
      <valAx>
        <axId val="10"/>
        <scaling>
          <logBase val="10"/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Duration (min)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logBase val="10"/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Intensity (mm/hr)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Catchment-style IDF - Gauge 58 (FL950429CF)</a:t>
            </a:r>
          </a:p>
        </rich>
      </tx>
    </title>
    <plotArea>
      <scatterChart>
        <ser>
          <idx val="0"/>
          <order val="0"/>
          <tx>
            <strRef>
              <f>'58_FL950429CF'!N17</f>
            </strRef>
          </tx>
          <spPr>
            <a:ln xmlns:a="http://schemas.openxmlformats.org/drawingml/2006/main" w="18000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'58_FL950429CF'!$M$18:$M$27</f>
            </numRef>
          </xVal>
          <yVal>
            <numRef>
              <f>'58_FL950429CF'!$N$18:$N$27</f>
            </numRef>
          </yVal>
        </ser>
        <ser>
          <idx val="1"/>
          <order val="1"/>
          <tx>
            <strRef>
              <f>'58_FL950429CF'!O17</f>
            </strRef>
          </tx>
          <spPr>
            <a:ln xmlns:a="http://schemas.openxmlformats.org/drawingml/2006/main" w="18000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'58_FL950429CF'!$M$18:$M$27</f>
            </numRef>
          </xVal>
          <yVal>
            <numRef>
              <f>'58_FL950429CF'!$O$18:$O$27</f>
            </numRef>
          </yVal>
        </ser>
        <ser>
          <idx val="2"/>
          <order val="2"/>
          <tx>
            <strRef>
              <f>'58_FL950429CF'!P17</f>
            </strRef>
          </tx>
          <spPr>
            <a:ln xmlns:a="http://schemas.openxmlformats.org/drawingml/2006/main" w="18000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'58_FL950429CF'!$M$18:$M$27</f>
            </numRef>
          </xVal>
          <yVal>
            <numRef>
              <f>'58_FL950429CF'!$P$18:$P$27</f>
            </numRef>
          </yVal>
        </ser>
        <ser>
          <idx val="3"/>
          <order val="3"/>
          <tx>
            <strRef>
              <f>'58_FL950429CF'!Q17</f>
            </strRef>
          </tx>
          <spPr>
            <a:ln xmlns:a="http://schemas.openxmlformats.org/drawingml/2006/main" w="18000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'58_FL950429CF'!$M$18:$M$27</f>
            </numRef>
          </xVal>
          <yVal>
            <numRef>
              <f>'58_FL950429CF'!$Q$18:$Q$27</f>
            </numRef>
          </yVal>
        </ser>
        <ser>
          <idx val="4"/>
          <order val="4"/>
          <tx>
            <strRef>
              <f>'58_FL950429CF'!R17</f>
            </strRef>
          </tx>
          <spPr>
            <a:ln xmlns:a="http://schemas.openxmlformats.org/drawingml/2006/main" w="18000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'58_FL950429CF'!$M$18:$M$27</f>
            </numRef>
          </xVal>
          <yVal>
            <numRef>
              <f>'58_FL950429CF'!$R$18:$R$27</f>
            </numRef>
          </yVal>
        </ser>
        <ser>
          <idx val="5"/>
          <order val="5"/>
          <tx>
            <strRef>
              <f>'58_FL950429CF'!S17</f>
            </strRef>
          </tx>
          <spPr>
            <a:ln xmlns:a="http://schemas.openxmlformats.org/drawingml/2006/main" w="18000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'58_FL950429CF'!$M$18:$M$27</f>
            </numRef>
          </xVal>
          <yVal>
            <numRef>
              <f>'58_FL950429CF'!$S$18:$S$27</f>
            </numRef>
          </yVal>
        </ser>
        <ser>
          <idx val="6"/>
          <order val="6"/>
          <tx>
            <strRef>
              <f>'58_FL950429CF'!T17</f>
            </strRef>
          </tx>
          <spPr>
            <a:ln xmlns:a="http://schemas.openxmlformats.org/drawingml/2006/main" w="18000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'58_FL950429CF'!$M$18:$M$27</f>
            </numRef>
          </xVal>
          <yVal>
            <numRef>
              <f>'58_FL950429CF'!$T$18:$T$27</f>
            </numRef>
          </yVal>
        </ser>
        <ser>
          <idx val="7"/>
          <order val="7"/>
          <tx>
            <strRef>
              <f>'58_FL950429CF'!U17</f>
            </strRef>
          </tx>
          <spPr>
            <a:ln xmlns:a="http://schemas.openxmlformats.org/drawingml/2006/main" w="18000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'58_FL950429CF'!$M$18:$M$27</f>
            </numRef>
          </xVal>
          <yVal>
            <numRef>
              <f>'58_FL950429CF'!$U$18:$U$27</f>
            </numRef>
          </yVal>
        </ser>
        <ser>
          <idx val="8"/>
          <order val="8"/>
          <tx>
            <strRef>
              <f>'58_FL950429CF'!V17</f>
            </strRef>
          </tx>
          <spPr>
            <a:ln xmlns:a="http://schemas.openxmlformats.org/drawingml/2006/main" w="18000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'58_FL950429CF'!$M$18:$M$27</f>
            </numRef>
          </xVal>
          <yVal>
            <numRef>
              <f>'58_FL950429CF'!$V$18:$V$27</f>
            </numRef>
          </yVal>
        </ser>
        <ser>
          <idx val="9"/>
          <order val="9"/>
          <tx>
            <strRef>
              <f>'58_FL950429CF'!W17</f>
            </strRef>
          </tx>
          <spPr>
            <a:ln xmlns:a="http://schemas.openxmlformats.org/drawingml/2006/main" w="18000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'58_FL950429CF'!$M$18:$M$27</f>
            </numRef>
          </xVal>
          <yVal>
            <numRef>
              <f>'58_FL950429CF'!$W$18:$W$27</f>
            </numRef>
          </yVal>
        </ser>
        <ser>
          <idx val="10"/>
          <order val="10"/>
          <tx>
            <strRef>
              <f>'58_FL950429CF'!X17</f>
            </strRef>
          </tx>
          <spPr>
            <a:ln xmlns:a="http://schemas.openxmlformats.org/drawingml/2006/main" w="18000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'58_FL950429CF'!$M$18:$M$27</f>
            </numRef>
          </xVal>
          <yVal>
            <numRef>
              <f>'58_FL950429CF'!$X$18:$X$27</f>
            </numRef>
          </yVal>
        </ser>
        <ser>
          <idx val="11"/>
          <order val="11"/>
          <tx>
            <strRef>
              <f>'58_FL950429CF'!Y17</f>
            </strRef>
          </tx>
          <spPr>
            <a:ln xmlns:a="http://schemas.openxmlformats.org/drawingml/2006/main" w="18000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'58_FL950429CF'!$M$18:$M$27</f>
            </numRef>
          </xVal>
          <yVal>
            <numRef>
              <f>'58_FL950429CF'!$Y$18:$Y$27</f>
            </numRef>
          </yVal>
        </ser>
        <axId val="10"/>
        <axId val="20"/>
      </scatterChart>
      <valAx>
        <axId val="10"/>
        <scaling>
          <logBase val="10"/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Duration (min)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logBase val="10"/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Intensity (mm/hr)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3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Catchment-style IDF - Gauge 59 (GL052000AF)</a:t>
            </a:r>
          </a:p>
        </rich>
      </tx>
    </title>
    <plotArea>
      <scatterChart>
        <ser>
          <idx val="0"/>
          <order val="0"/>
          <tx>
            <strRef>
              <f>'59_GL052000AF'!N17</f>
            </strRef>
          </tx>
          <spPr>
            <a:ln xmlns:a="http://schemas.openxmlformats.org/drawingml/2006/main" w="18000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'59_GL052000AF'!$M$18:$M$27</f>
            </numRef>
          </xVal>
          <yVal>
            <numRef>
              <f>'59_GL052000AF'!$N$18:$N$27</f>
            </numRef>
          </yVal>
        </ser>
        <ser>
          <idx val="1"/>
          <order val="1"/>
          <tx>
            <strRef>
              <f>'59_GL052000AF'!O17</f>
            </strRef>
          </tx>
          <spPr>
            <a:ln xmlns:a="http://schemas.openxmlformats.org/drawingml/2006/main" w="18000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'59_GL052000AF'!$M$18:$M$27</f>
            </numRef>
          </xVal>
          <yVal>
            <numRef>
              <f>'59_GL052000AF'!$O$18:$O$27</f>
            </numRef>
          </yVal>
        </ser>
        <ser>
          <idx val="2"/>
          <order val="2"/>
          <tx>
            <strRef>
              <f>'59_GL052000AF'!P17</f>
            </strRef>
          </tx>
          <spPr>
            <a:ln xmlns:a="http://schemas.openxmlformats.org/drawingml/2006/main" w="18000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'59_GL052000AF'!$M$18:$M$27</f>
            </numRef>
          </xVal>
          <yVal>
            <numRef>
              <f>'59_GL052000AF'!$P$18:$P$27</f>
            </numRef>
          </yVal>
        </ser>
        <ser>
          <idx val="3"/>
          <order val="3"/>
          <tx>
            <strRef>
              <f>'59_GL052000AF'!Q17</f>
            </strRef>
          </tx>
          <spPr>
            <a:ln xmlns:a="http://schemas.openxmlformats.org/drawingml/2006/main" w="18000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'59_GL052000AF'!$M$18:$M$27</f>
            </numRef>
          </xVal>
          <yVal>
            <numRef>
              <f>'59_GL052000AF'!$Q$18:$Q$27</f>
            </numRef>
          </yVal>
        </ser>
        <ser>
          <idx val="4"/>
          <order val="4"/>
          <tx>
            <strRef>
              <f>'59_GL052000AF'!R17</f>
            </strRef>
          </tx>
          <spPr>
            <a:ln xmlns:a="http://schemas.openxmlformats.org/drawingml/2006/main" w="18000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'59_GL052000AF'!$M$18:$M$27</f>
            </numRef>
          </xVal>
          <yVal>
            <numRef>
              <f>'59_GL052000AF'!$R$18:$R$27</f>
            </numRef>
          </yVal>
        </ser>
        <ser>
          <idx val="5"/>
          <order val="5"/>
          <tx>
            <strRef>
              <f>'59_GL052000AF'!S17</f>
            </strRef>
          </tx>
          <spPr>
            <a:ln xmlns:a="http://schemas.openxmlformats.org/drawingml/2006/main" w="18000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'59_GL052000AF'!$M$18:$M$27</f>
            </numRef>
          </xVal>
          <yVal>
            <numRef>
              <f>'59_GL052000AF'!$S$18:$S$27</f>
            </numRef>
          </yVal>
        </ser>
        <ser>
          <idx val="6"/>
          <order val="6"/>
          <tx>
            <strRef>
              <f>'59_GL052000AF'!T17</f>
            </strRef>
          </tx>
          <spPr>
            <a:ln xmlns:a="http://schemas.openxmlformats.org/drawingml/2006/main" w="18000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'59_GL052000AF'!$M$18:$M$27</f>
            </numRef>
          </xVal>
          <yVal>
            <numRef>
              <f>'59_GL052000AF'!$T$18:$T$27</f>
            </numRef>
          </yVal>
        </ser>
        <ser>
          <idx val="7"/>
          <order val="7"/>
          <tx>
            <strRef>
              <f>'59_GL052000AF'!U17</f>
            </strRef>
          </tx>
          <spPr>
            <a:ln xmlns:a="http://schemas.openxmlformats.org/drawingml/2006/main" w="18000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'59_GL052000AF'!$M$18:$M$27</f>
            </numRef>
          </xVal>
          <yVal>
            <numRef>
              <f>'59_GL052000AF'!$U$18:$U$27</f>
            </numRef>
          </yVal>
        </ser>
        <ser>
          <idx val="8"/>
          <order val="8"/>
          <tx>
            <strRef>
              <f>'59_GL052000AF'!V17</f>
            </strRef>
          </tx>
          <spPr>
            <a:ln xmlns:a="http://schemas.openxmlformats.org/drawingml/2006/main" w="18000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'59_GL052000AF'!$M$18:$M$27</f>
            </numRef>
          </xVal>
          <yVal>
            <numRef>
              <f>'59_GL052000AF'!$V$18:$V$27</f>
            </numRef>
          </yVal>
        </ser>
        <ser>
          <idx val="9"/>
          <order val="9"/>
          <tx>
            <strRef>
              <f>'59_GL052000AF'!W17</f>
            </strRef>
          </tx>
          <spPr>
            <a:ln xmlns:a="http://schemas.openxmlformats.org/drawingml/2006/main" w="18000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'59_GL052000AF'!$M$18:$M$27</f>
            </numRef>
          </xVal>
          <yVal>
            <numRef>
              <f>'59_GL052000AF'!$W$18:$W$27</f>
            </numRef>
          </yVal>
        </ser>
        <ser>
          <idx val="10"/>
          <order val="10"/>
          <tx>
            <strRef>
              <f>'59_GL052000AF'!X17</f>
            </strRef>
          </tx>
          <spPr>
            <a:ln xmlns:a="http://schemas.openxmlformats.org/drawingml/2006/main" w="18000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'59_GL052000AF'!$M$18:$M$27</f>
            </numRef>
          </xVal>
          <yVal>
            <numRef>
              <f>'59_GL052000AF'!$X$18:$X$27</f>
            </numRef>
          </yVal>
        </ser>
        <ser>
          <idx val="11"/>
          <order val="11"/>
          <tx>
            <strRef>
              <f>'59_GL052000AF'!Y17</f>
            </strRef>
          </tx>
          <spPr>
            <a:ln xmlns:a="http://schemas.openxmlformats.org/drawingml/2006/main" w="18000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'59_GL052000AF'!$M$18:$M$27</f>
            </numRef>
          </xVal>
          <yVal>
            <numRef>
              <f>'59_GL052000AF'!$Y$18:$Y$27</f>
            </numRef>
          </yVal>
        </ser>
        <axId val="10"/>
        <axId val="20"/>
      </scatterChart>
      <valAx>
        <axId val="10"/>
        <scaling>
          <logBase val="10"/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Duration (min)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logBase val="10"/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Intensity (mm/hr)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4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Catchment-style IDF - Gauge 63 (FL245564BF)</a:t>
            </a:r>
          </a:p>
        </rich>
      </tx>
    </title>
    <plotArea>
      <scatterChart>
        <ser>
          <idx val="0"/>
          <order val="0"/>
          <tx>
            <strRef>
              <f>'63_FL245564BF'!N17</f>
            </strRef>
          </tx>
          <spPr>
            <a:ln xmlns:a="http://schemas.openxmlformats.org/drawingml/2006/main" w="18000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'63_FL245564BF'!$M$18:$M$27</f>
            </numRef>
          </xVal>
          <yVal>
            <numRef>
              <f>'63_FL245564BF'!$N$18:$N$27</f>
            </numRef>
          </yVal>
        </ser>
        <ser>
          <idx val="1"/>
          <order val="1"/>
          <tx>
            <strRef>
              <f>'63_FL245564BF'!O17</f>
            </strRef>
          </tx>
          <spPr>
            <a:ln xmlns:a="http://schemas.openxmlformats.org/drawingml/2006/main" w="18000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'63_FL245564BF'!$M$18:$M$27</f>
            </numRef>
          </xVal>
          <yVal>
            <numRef>
              <f>'63_FL245564BF'!$O$18:$O$27</f>
            </numRef>
          </yVal>
        </ser>
        <ser>
          <idx val="2"/>
          <order val="2"/>
          <tx>
            <strRef>
              <f>'63_FL245564BF'!P17</f>
            </strRef>
          </tx>
          <spPr>
            <a:ln xmlns:a="http://schemas.openxmlformats.org/drawingml/2006/main" w="18000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'63_FL245564BF'!$M$18:$M$27</f>
            </numRef>
          </xVal>
          <yVal>
            <numRef>
              <f>'63_FL245564BF'!$P$18:$P$27</f>
            </numRef>
          </yVal>
        </ser>
        <ser>
          <idx val="3"/>
          <order val="3"/>
          <tx>
            <strRef>
              <f>'63_FL245564BF'!Q17</f>
            </strRef>
          </tx>
          <spPr>
            <a:ln xmlns:a="http://schemas.openxmlformats.org/drawingml/2006/main" w="18000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'63_FL245564BF'!$M$18:$M$27</f>
            </numRef>
          </xVal>
          <yVal>
            <numRef>
              <f>'63_FL245564BF'!$Q$18:$Q$27</f>
            </numRef>
          </yVal>
        </ser>
        <ser>
          <idx val="4"/>
          <order val="4"/>
          <tx>
            <strRef>
              <f>'63_FL245564BF'!R17</f>
            </strRef>
          </tx>
          <spPr>
            <a:ln xmlns:a="http://schemas.openxmlformats.org/drawingml/2006/main" w="18000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'63_FL245564BF'!$M$18:$M$27</f>
            </numRef>
          </xVal>
          <yVal>
            <numRef>
              <f>'63_FL245564BF'!$R$18:$R$27</f>
            </numRef>
          </yVal>
        </ser>
        <ser>
          <idx val="5"/>
          <order val="5"/>
          <tx>
            <strRef>
              <f>'63_FL245564BF'!S17</f>
            </strRef>
          </tx>
          <spPr>
            <a:ln xmlns:a="http://schemas.openxmlformats.org/drawingml/2006/main" w="18000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'63_FL245564BF'!$M$18:$M$27</f>
            </numRef>
          </xVal>
          <yVal>
            <numRef>
              <f>'63_FL245564BF'!$S$18:$S$27</f>
            </numRef>
          </yVal>
        </ser>
        <ser>
          <idx val="6"/>
          <order val="6"/>
          <tx>
            <strRef>
              <f>'63_FL245564BF'!T17</f>
            </strRef>
          </tx>
          <spPr>
            <a:ln xmlns:a="http://schemas.openxmlformats.org/drawingml/2006/main" w="18000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'63_FL245564BF'!$M$18:$M$27</f>
            </numRef>
          </xVal>
          <yVal>
            <numRef>
              <f>'63_FL245564BF'!$T$18:$T$27</f>
            </numRef>
          </yVal>
        </ser>
        <ser>
          <idx val="7"/>
          <order val="7"/>
          <tx>
            <strRef>
              <f>'63_FL245564BF'!U17</f>
            </strRef>
          </tx>
          <spPr>
            <a:ln xmlns:a="http://schemas.openxmlformats.org/drawingml/2006/main" w="18000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'63_FL245564BF'!$M$18:$M$27</f>
            </numRef>
          </xVal>
          <yVal>
            <numRef>
              <f>'63_FL245564BF'!$U$18:$U$27</f>
            </numRef>
          </yVal>
        </ser>
        <ser>
          <idx val="8"/>
          <order val="8"/>
          <tx>
            <strRef>
              <f>'63_FL245564BF'!V17</f>
            </strRef>
          </tx>
          <spPr>
            <a:ln xmlns:a="http://schemas.openxmlformats.org/drawingml/2006/main" w="18000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'63_FL245564BF'!$M$18:$M$27</f>
            </numRef>
          </xVal>
          <yVal>
            <numRef>
              <f>'63_FL245564BF'!$V$18:$V$27</f>
            </numRef>
          </yVal>
        </ser>
        <ser>
          <idx val="9"/>
          <order val="9"/>
          <tx>
            <strRef>
              <f>'63_FL245564BF'!W17</f>
            </strRef>
          </tx>
          <spPr>
            <a:ln xmlns:a="http://schemas.openxmlformats.org/drawingml/2006/main" w="18000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'63_FL245564BF'!$M$18:$M$27</f>
            </numRef>
          </xVal>
          <yVal>
            <numRef>
              <f>'63_FL245564BF'!$W$18:$W$27</f>
            </numRef>
          </yVal>
        </ser>
        <ser>
          <idx val="10"/>
          <order val="10"/>
          <tx>
            <strRef>
              <f>'63_FL245564BF'!X17</f>
            </strRef>
          </tx>
          <spPr>
            <a:ln xmlns:a="http://schemas.openxmlformats.org/drawingml/2006/main" w="18000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'63_FL245564BF'!$M$18:$M$27</f>
            </numRef>
          </xVal>
          <yVal>
            <numRef>
              <f>'63_FL245564BF'!$X$18:$X$27</f>
            </numRef>
          </yVal>
        </ser>
        <ser>
          <idx val="11"/>
          <order val="11"/>
          <tx>
            <strRef>
              <f>'63_FL245564BF'!Y17</f>
            </strRef>
          </tx>
          <spPr>
            <a:ln xmlns:a="http://schemas.openxmlformats.org/drawingml/2006/main" w="18000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'63_FL245564BF'!$M$18:$M$27</f>
            </numRef>
          </xVal>
          <yVal>
            <numRef>
              <f>'63_FL245564BF'!$Y$18:$Y$27</f>
            </numRef>
          </yVal>
        </ser>
        <axId val="10"/>
        <axId val="20"/>
      </scatterChart>
      <valAx>
        <axId val="10"/>
        <scaling>
          <logBase val="10"/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Duration (min)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logBase val="10"/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Intensity (mm/hr)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5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Catchment-style IDF - Gauge 64 (FL343236AF)</a:t>
            </a:r>
          </a:p>
        </rich>
      </tx>
    </title>
    <plotArea>
      <scatterChart>
        <ser>
          <idx val="0"/>
          <order val="0"/>
          <tx>
            <strRef>
              <f>'64_FL343236AF'!N17</f>
            </strRef>
          </tx>
          <spPr>
            <a:ln xmlns:a="http://schemas.openxmlformats.org/drawingml/2006/main" w="18000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'64_FL343236AF'!$M$18:$M$27</f>
            </numRef>
          </xVal>
          <yVal>
            <numRef>
              <f>'64_FL343236AF'!$N$18:$N$27</f>
            </numRef>
          </yVal>
        </ser>
        <ser>
          <idx val="1"/>
          <order val="1"/>
          <tx>
            <strRef>
              <f>'64_FL343236AF'!O17</f>
            </strRef>
          </tx>
          <spPr>
            <a:ln xmlns:a="http://schemas.openxmlformats.org/drawingml/2006/main" w="18000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'64_FL343236AF'!$M$18:$M$27</f>
            </numRef>
          </xVal>
          <yVal>
            <numRef>
              <f>'64_FL343236AF'!$O$18:$O$27</f>
            </numRef>
          </yVal>
        </ser>
        <ser>
          <idx val="2"/>
          <order val="2"/>
          <tx>
            <strRef>
              <f>'64_FL343236AF'!P17</f>
            </strRef>
          </tx>
          <spPr>
            <a:ln xmlns:a="http://schemas.openxmlformats.org/drawingml/2006/main" w="18000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'64_FL343236AF'!$M$18:$M$27</f>
            </numRef>
          </xVal>
          <yVal>
            <numRef>
              <f>'64_FL343236AF'!$P$18:$P$27</f>
            </numRef>
          </yVal>
        </ser>
        <ser>
          <idx val="3"/>
          <order val="3"/>
          <tx>
            <strRef>
              <f>'64_FL343236AF'!Q17</f>
            </strRef>
          </tx>
          <spPr>
            <a:ln xmlns:a="http://schemas.openxmlformats.org/drawingml/2006/main" w="18000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'64_FL343236AF'!$M$18:$M$27</f>
            </numRef>
          </xVal>
          <yVal>
            <numRef>
              <f>'64_FL343236AF'!$Q$18:$Q$27</f>
            </numRef>
          </yVal>
        </ser>
        <ser>
          <idx val="4"/>
          <order val="4"/>
          <tx>
            <strRef>
              <f>'64_FL343236AF'!R17</f>
            </strRef>
          </tx>
          <spPr>
            <a:ln xmlns:a="http://schemas.openxmlformats.org/drawingml/2006/main" w="18000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'64_FL343236AF'!$M$18:$M$27</f>
            </numRef>
          </xVal>
          <yVal>
            <numRef>
              <f>'64_FL343236AF'!$R$18:$R$27</f>
            </numRef>
          </yVal>
        </ser>
        <ser>
          <idx val="5"/>
          <order val="5"/>
          <tx>
            <strRef>
              <f>'64_FL343236AF'!S17</f>
            </strRef>
          </tx>
          <spPr>
            <a:ln xmlns:a="http://schemas.openxmlformats.org/drawingml/2006/main" w="18000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'64_FL343236AF'!$M$18:$M$27</f>
            </numRef>
          </xVal>
          <yVal>
            <numRef>
              <f>'64_FL343236AF'!$S$18:$S$27</f>
            </numRef>
          </yVal>
        </ser>
        <ser>
          <idx val="6"/>
          <order val="6"/>
          <tx>
            <strRef>
              <f>'64_FL343236AF'!T17</f>
            </strRef>
          </tx>
          <spPr>
            <a:ln xmlns:a="http://schemas.openxmlformats.org/drawingml/2006/main" w="18000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'64_FL343236AF'!$M$18:$M$27</f>
            </numRef>
          </xVal>
          <yVal>
            <numRef>
              <f>'64_FL343236AF'!$T$18:$T$27</f>
            </numRef>
          </yVal>
        </ser>
        <ser>
          <idx val="7"/>
          <order val="7"/>
          <tx>
            <strRef>
              <f>'64_FL343236AF'!U17</f>
            </strRef>
          </tx>
          <spPr>
            <a:ln xmlns:a="http://schemas.openxmlformats.org/drawingml/2006/main" w="18000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'64_FL343236AF'!$M$18:$M$27</f>
            </numRef>
          </xVal>
          <yVal>
            <numRef>
              <f>'64_FL343236AF'!$U$18:$U$27</f>
            </numRef>
          </yVal>
        </ser>
        <ser>
          <idx val="8"/>
          <order val="8"/>
          <tx>
            <strRef>
              <f>'64_FL343236AF'!V17</f>
            </strRef>
          </tx>
          <spPr>
            <a:ln xmlns:a="http://schemas.openxmlformats.org/drawingml/2006/main" w="18000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'64_FL343236AF'!$M$18:$M$27</f>
            </numRef>
          </xVal>
          <yVal>
            <numRef>
              <f>'64_FL343236AF'!$V$18:$V$27</f>
            </numRef>
          </yVal>
        </ser>
        <ser>
          <idx val="9"/>
          <order val="9"/>
          <tx>
            <strRef>
              <f>'64_FL343236AF'!W17</f>
            </strRef>
          </tx>
          <spPr>
            <a:ln xmlns:a="http://schemas.openxmlformats.org/drawingml/2006/main" w="18000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'64_FL343236AF'!$M$18:$M$27</f>
            </numRef>
          </xVal>
          <yVal>
            <numRef>
              <f>'64_FL343236AF'!$W$18:$W$27</f>
            </numRef>
          </yVal>
        </ser>
        <ser>
          <idx val="10"/>
          <order val="10"/>
          <tx>
            <strRef>
              <f>'64_FL343236AF'!X17</f>
            </strRef>
          </tx>
          <spPr>
            <a:ln xmlns:a="http://schemas.openxmlformats.org/drawingml/2006/main" w="18000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'64_FL343236AF'!$M$18:$M$27</f>
            </numRef>
          </xVal>
          <yVal>
            <numRef>
              <f>'64_FL343236AF'!$X$18:$X$27</f>
            </numRef>
          </yVal>
        </ser>
        <ser>
          <idx val="11"/>
          <order val="11"/>
          <tx>
            <strRef>
              <f>'64_FL343236AF'!Y17</f>
            </strRef>
          </tx>
          <spPr>
            <a:ln xmlns:a="http://schemas.openxmlformats.org/drawingml/2006/main" w="18000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'64_FL343236AF'!$M$18:$M$27</f>
            </numRef>
          </xVal>
          <yVal>
            <numRef>
              <f>'64_FL343236AF'!$Y$18:$Y$27</f>
            </numRef>
          </yVal>
        </ser>
        <axId val="10"/>
        <axId val="20"/>
      </scatterChart>
      <valAx>
        <axId val="10"/>
        <scaling>
          <logBase val="10"/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Duration (min)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logBase val="10"/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Intensity (mm/hr)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6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Catchment-style IDF - Gauge 65 (FL443121AF)</a:t>
            </a:r>
          </a:p>
        </rich>
      </tx>
    </title>
    <plotArea>
      <scatterChart>
        <ser>
          <idx val="0"/>
          <order val="0"/>
          <tx>
            <strRef>
              <f>'65_FL443121AF'!N17</f>
            </strRef>
          </tx>
          <spPr>
            <a:ln xmlns:a="http://schemas.openxmlformats.org/drawingml/2006/main" w="18000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'65_FL443121AF'!$M$18:$M$27</f>
            </numRef>
          </xVal>
          <yVal>
            <numRef>
              <f>'65_FL443121AF'!$N$18:$N$27</f>
            </numRef>
          </yVal>
        </ser>
        <ser>
          <idx val="1"/>
          <order val="1"/>
          <tx>
            <strRef>
              <f>'65_FL443121AF'!O17</f>
            </strRef>
          </tx>
          <spPr>
            <a:ln xmlns:a="http://schemas.openxmlformats.org/drawingml/2006/main" w="18000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'65_FL443121AF'!$M$18:$M$27</f>
            </numRef>
          </xVal>
          <yVal>
            <numRef>
              <f>'65_FL443121AF'!$O$18:$O$27</f>
            </numRef>
          </yVal>
        </ser>
        <ser>
          <idx val="2"/>
          <order val="2"/>
          <tx>
            <strRef>
              <f>'65_FL443121AF'!P17</f>
            </strRef>
          </tx>
          <spPr>
            <a:ln xmlns:a="http://schemas.openxmlformats.org/drawingml/2006/main" w="18000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'65_FL443121AF'!$M$18:$M$27</f>
            </numRef>
          </xVal>
          <yVal>
            <numRef>
              <f>'65_FL443121AF'!$P$18:$P$27</f>
            </numRef>
          </yVal>
        </ser>
        <ser>
          <idx val="3"/>
          <order val="3"/>
          <tx>
            <strRef>
              <f>'65_FL443121AF'!Q17</f>
            </strRef>
          </tx>
          <spPr>
            <a:ln xmlns:a="http://schemas.openxmlformats.org/drawingml/2006/main" w="18000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'65_FL443121AF'!$M$18:$M$27</f>
            </numRef>
          </xVal>
          <yVal>
            <numRef>
              <f>'65_FL443121AF'!$Q$18:$Q$27</f>
            </numRef>
          </yVal>
        </ser>
        <ser>
          <idx val="4"/>
          <order val="4"/>
          <tx>
            <strRef>
              <f>'65_FL443121AF'!R17</f>
            </strRef>
          </tx>
          <spPr>
            <a:ln xmlns:a="http://schemas.openxmlformats.org/drawingml/2006/main" w="18000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'65_FL443121AF'!$M$18:$M$27</f>
            </numRef>
          </xVal>
          <yVal>
            <numRef>
              <f>'65_FL443121AF'!$R$18:$R$27</f>
            </numRef>
          </yVal>
        </ser>
        <ser>
          <idx val="5"/>
          <order val="5"/>
          <tx>
            <strRef>
              <f>'65_FL443121AF'!S17</f>
            </strRef>
          </tx>
          <spPr>
            <a:ln xmlns:a="http://schemas.openxmlformats.org/drawingml/2006/main" w="18000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'65_FL443121AF'!$M$18:$M$27</f>
            </numRef>
          </xVal>
          <yVal>
            <numRef>
              <f>'65_FL443121AF'!$S$18:$S$27</f>
            </numRef>
          </yVal>
        </ser>
        <ser>
          <idx val="6"/>
          <order val="6"/>
          <tx>
            <strRef>
              <f>'65_FL443121AF'!T17</f>
            </strRef>
          </tx>
          <spPr>
            <a:ln xmlns:a="http://schemas.openxmlformats.org/drawingml/2006/main" w="18000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'65_FL443121AF'!$M$18:$M$27</f>
            </numRef>
          </xVal>
          <yVal>
            <numRef>
              <f>'65_FL443121AF'!$T$18:$T$27</f>
            </numRef>
          </yVal>
        </ser>
        <ser>
          <idx val="7"/>
          <order val="7"/>
          <tx>
            <strRef>
              <f>'65_FL443121AF'!U17</f>
            </strRef>
          </tx>
          <spPr>
            <a:ln xmlns:a="http://schemas.openxmlformats.org/drawingml/2006/main" w="18000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'65_FL443121AF'!$M$18:$M$27</f>
            </numRef>
          </xVal>
          <yVal>
            <numRef>
              <f>'65_FL443121AF'!$U$18:$U$27</f>
            </numRef>
          </yVal>
        </ser>
        <ser>
          <idx val="8"/>
          <order val="8"/>
          <tx>
            <strRef>
              <f>'65_FL443121AF'!V17</f>
            </strRef>
          </tx>
          <spPr>
            <a:ln xmlns:a="http://schemas.openxmlformats.org/drawingml/2006/main" w="18000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'65_FL443121AF'!$M$18:$M$27</f>
            </numRef>
          </xVal>
          <yVal>
            <numRef>
              <f>'65_FL443121AF'!$V$18:$V$27</f>
            </numRef>
          </yVal>
        </ser>
        <ser>
          <idx val="9"/>
          <order val="9"/>
          <tx>
            <strRef>
              <f>'65_FL443121AF'!W17</f>
            </strRef>
          </tx>
          <spPr>
            <a:ln xmlns:a="http://schemas.openxmlformats.org/drawingml/2006/main" w="18000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'65_FL443121AF'!$M$18:$M$27</f>
            </numRef>
          </xVal>
          <yVal>
            <numRef>
              <f>'65_FL443121AF'!$W$18:$W$27</f>
            </numRef>
          </yVal>
        </ser>
        <ser>
          <idx val="10"/>
          <order val="10"/>
          <tx>
            <strRef>
              <f>'65_FL443121AF'!X17</f>
            </strRef>
          </tx>
          <spPr>
            <a:ln xmlns:a="http://schemas.openxmlformats.org/drawingml/2006/main" w="18000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'65_FL443121AF'!$M$18:$M$27</f>
            </numRef>
          </xVal>
          <yVal>
            <numRef>
              <f>'65_FL443121AF'!$X$18:$X$27</f>
            </numRef>
          </yVal>
        </ser>
        <ser>
          <idx val="11"/>
          <order val="11"/>
          <tx>
            <strRef>
              <f>'65_FL443121AF'!Y17</f>
            </strRef>
          </tx>
          <spPr>
            <a:ln xmlns:a="http://schemas.openxmlformats.org/drawingml/2006/main" w="18000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'65_FL443121AF'!$M$18:$M$27</f>
            </numRef>
          </xVal>
          <yVal>
            <numRef>
              <f>'65_FL443121AF'!$Y$18:$Y$27</f>
            </numRef>
          </yVal>
        </ser>
        <axId val="10"/>
        <axId val="20"/>
      </scatterChart>
      <valAx>
        <axId val="10"/>
        <scaling>
          <logBase val="10"/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Duration (min)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logBase val="10"/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Intensity (mm/hr)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7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Catchment-style IDF - Gauge 66 (FL544208AF)</a:t>
            </a:r>
          </a:p>
        </rich>
      </tx>
    </title>
    <plotArea>
      <scatterChart>
        <ser>
          <idx val="0"/>
          <order val="0"/>
          <tx>
            <strRef>
              <f>'66_FL544208AF'!N17</f>
            </strRef>
          </tx>
          <spPr>
            <a:ln xmlns:a="http://schemas.openxmlformats.org/drawingml/2006/main" w="18000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'66_FL544208AF'!$M$18:$M$27</f>
            </numRef>
          </xVal>
          <yVal>
            <numRef>
              <f>'66_FL544208AF'!$N$18:$N$27</f>
            </numRef>
          </yVal>
        </ser>
        <ser>
          <idx val="1"/>
          <order val="1"/>
          <tx>
            <strRef>
              <f>'66_FL544208AF'!O17</f>
            </strRef>
          </tx>
          <spPr>
            <a:ln xmlns:a="http://schemas.openxmlformats.org/drawingml/2006/main" w="18000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'66_FL544208AF'!$M$18:$M$27</f>
            </numRef>
          </xVal>
          <yVal>
            <numRef>
              <f>'66_FL544208AF'!$O$18:$O$27</f>
            </numRef>
          </yVal>
        </ser>
        <ser>
          <idx val="2"/>
          <order val="2"/>
          <tx>
            <strRef>
              <f>'66_FL544208AF'!P17</f>
            </strRef>
          </tx>
          <spPr>
            <a:ln xmlns:a="http://schemas.openxmlformats.org/drawingml/2006/main" w="18000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'66_FL544208AF'!$M$18:$M$27</f>
            </numRef>
          </xVal>
          <yVal>
            <numRef>
              <f>'66_FL544208AF'!$P$18:$P$27</f>
            </numRef>
          </yVal>
        </ser>
        <ser>
          <idx val="3"/>
          <order val="3"/>
          <tx>
            <strRef>
              <f>'66_FL544208AF'!Q17</f>
            </strRef>
          </tx>
          <spPr>
            <a:ln xmlns:a="http://schemas.openxmlformats.org/drawingml/2006/main" w="18000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'66_FL544208AF'!$M$18:$M$27</f>
            </numRef>
          </xVal>
          <yVal>
            <numRef>
              <f>'66_FL544208AF'!$Q$18:$Q$27</f>
            </numRef>
          </yVal>
        </ser>
        <ser>
          <idx val="4"/>
          <order val="4"/>
          <tx>
            <strRef>
              <f>'66_FL544208AF'!R17</f>
            </strRef>
          </tx>
          <spPr>
            <a:ln xmlns:a="http://schemas.openxmlformats.org/drawingml/2006/main" w="18000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'66_FL544208AF'!$M$18:$M$27</f>
            </numRef>
          </xVal>
          <yVal>
            <numRef>
              <f>'66_FL544208AF'!$R$18:$R$27</f>
            </numRef>
          </yVal>
        </ser>
        <ser>
          <idx val="5"/>
          <order val="5"/>
          <tx>
            <strRef>
              <f>'66_FL544208AF'!S17</f>
            </strRef>
          </tx>
          <spPr>
            <a:ln xmlns:a="http://schemas.openxmlformats.org/drawingml/2006/main" w="18000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'66_FL544208AF'!$M$18:$M$27</f>
            </numRef>
          </xVal>
          <yVal>
            <numRef>
              <f>'66_FL544208AF'!$S$18:$S$27</f>
            </numRef>
          </yVal>
        </ser>
        <ser>
          <idx val="6"/>
          <order val="6"/>
          <tx>
            <strRef>
              <f>'66_FL544208AF'!T17</f>
            </strRef>
          </tx>
          <spPr>
            <a:ln xmlns:a="http://schemas.openxmlformats.org/drawingml/2006/main" w="18000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'66_FL544208AF'!$M$18:$M$27</f>
            </numRef>
          </xVal>
          <yVal>
            <numRef>
              <f>'66_FL544208AF'!$T$18:$T$27</f>
            </numRef>
          </yVal>
        </ser>
        <ser>
          <idx val="7"/>
          <order val="7"/>
          <tx>
            <strRef>
              <f>'66_FL544208AF'!U17</f>
            </strRef>
          </tx>
          <spPr>
            <a:ln xmlns:a="http://schemas.openxmlformats.org/drawingml/2006/main" w="18000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'66_FL544208AF'!$M$18:$M$27</f>
            </numRef>
          </xVal>
          <yVal>
            <numRef>
              <f>'66_FL544208AF'!$U$18:$U$27</f>
            </numRef>
          </yVal>
        </ser>
        <ser>
          <idx val="8"/>
          <order val="8"/>
          <tx>
            <strRef>
              <f>'66_FL544208AF'!V17</f>
            </strRef>
          </tx>
          <spPr>
            <a:ln xmlns:a="http://schemas.openxmlformats.org/drawingml/2006/main" w="18000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'66_FL544208AF'!$M$18:$M$27</f>
            </numRef>
          </xVal>
          <yVal>
            <numRef>
              <f>'66_FL544208AF'!$V$18:$V$27</f>
            </numRef>
          </yVal>
        </ser>
        <ser>
          <idx val="9"/>
          <order val="9"/>
          <tx>
            <strRef>
              <f>'66_FL544208AF'!W17</f>
            </strRef>
          </tx>
          <spPr>
            <a:ln xmlns:a="http://schemas.openxmlformats.org/drawingml/2006/main" w="18000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'66_FL544208AF'!$M$18:$M$27</f>
            </numRef>
          </xVal>
          <yVal>
            <numRef>
              <f>'66_FL544208AF'!$W$18:$W$27</f>
            </numRef>
          </yVal>
        </ser>
        <ser>
          <idx val="10"/>
          <order val="10"/>
          <tx>
            <strRef>
              <f>'66_FL544208AF'!X17</f>
            </strRef>
          </tx>
          <spPr>
            <a:ln xmlns:a="http://schemas.openxmlformats.org/drawingml/2006/main" w="18000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'66_FL544208AF'!$M$18:$M$27</f>
            </numRef>
          </xVal>
          <yVal>
            <numRef>
              <f>'66_FL544208AF'!$X$18:$X$27</f>
            </numRef>
          </yVal>
        </ser>
        <ser>
          <idx val="11"/>
          <order val="11"/>
          <tx>
            <strRef>
              <f>'66_FL544208AF'!Y17</f>
            </strRef>
          </tx>
          <spPr>
            <a:ln xmlns:a="http://schemas.openxmlformats.org/drawingml/2006/main" w="18000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'66_FL544208AF'!$M$18:$M$27</f>
            </numRef>
          </xVal>
          <yVal>
            <numRef>
              <f>'66_FL544208AF'!$Y$18:$Y$27</f>
            </numRef>
          </yVal>
        </ser>
        <axId val="10"/>
        <axId val="20"/>
      </scatterChart>
      <valAx>
        <axId val="10"/>
        <scaling>
          <logBase val="10"/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Duration (min)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logBase val="10"/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Intensity (mm/hr)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8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Catchment-style IDF - Gauge 67 (FL844896AF)</a:t>
            </a:r>
          </a:p>
        </rich>
      </tx>
    </title>
    <plotArea>
      <scatterChart>
        <ser>
          <idx val="0"/>
          <order val="0"/>
          <tx>
            <strRef>
              <f>'67_FL844896AF'!N17</f>
            </strRef>
          </tx>
          <spPr>
            <a:ln xmlns:a="http://schemas.openxmlformats.org/drawingml/2006/main" w="18000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'67_FL844896AF'!$M$18:$M$27</f>
            </numRef>
          </xVal>
          <yVal>
            <numRef>
              <f>'67_FL844896AF'!$N$18:$N$27</f>
            </numRef>
          </yVal>
        </ser>
        <ser>
          <idx val="1"/>
          <order val="1"/>
          <tx>
            <strRef>
              <f>'67_FL844896AF'!O17</f>
            </strRef>
          </tx>
          <spPr>
            <a:ln xmlns:a="http://schemas.openxmlformats.org/drawingml/2006/main" w="18000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'67_FL844896AF'!$M$18:$M$27</f>
            </numRef>
          </xVal>
          <yVal>
            <numRef>
              <f>'67_FL844896AF'!$O$18:$O$27</f>
            </numRef>
          </yVal>
        </ser>
        <ser>
          <idx val="2"/>
          <order val="2"/>
          <tx>
            <strRef>
              <f>'67_FL844896AF'!P17</f>
            </strRef>
          </tx>
          <spPr>
            <a:ln xmlns:a="http://schemas.openxmlformats.org/drawingml/2006/main" w="18000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'67_FL844896AF'!$M$18:$M$27</f>
            </numRef>
          </xVal>
          <yVal>
            <numRef>
              <f>'67_FL844896AF'!$P$18:$P$27</f>
            </numRef>
          </yVal>
        </ser>
        <ser>
          <idx val="3"/>
          <order val="3"/>
          <tx>
            <strRef>
              <f>'67_FL844896AF'!Q17</f>
            </strRef>
          </tx>
          <spPr>
            <a:ln xmlns:a="http://schemas.openxmlformats.org/drawingml/2006/main" w="18000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'67_FL844896AF'!$M$18:$M$27</f>
            </numRef>
          </xVal>
          <yVal>
            <numRef>
              <f>'67_FL844896AF'!$Q$18:$Q$27</f>
            </numRef>
          </yVal>
        </ser>
        <ser>
          <idx val="4"/>
          <order val="4"/>
          <tx>
            <strRef>
              <f>'67_FL844896AF'!R17</f>
            </strRef>
          </tx>
          <spPr>
            <a:ln xmlns:a="http://schemas.openxmlformats.org/drawingml/2006/main" w="18000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'67_FL844896AF'!$M$18:$M$27</f>
            </numRef>
          </xVal>
          <yVal>
            <numRef>
              <f>'67_FL844896AF'!$R$18:$R$27</f>
            </numRef>
          </yVal>
        </ser>
        <ser>
          <idx val="5"/>
          <order val="5"/>
          <tx>
            <strRef>
              <f>'67_FL844896AF'!S17</f>
            </strRef>
          </tx>
          <spPr>
            <a:ln xmlns:a="http://schemas.openxmlformats.org/drawingml/2006/main" w="18000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'67_FL844896AF'!$M$18:$M$27</f>
            </numRef>
          </xVal>
          <yVal>
            <numRef>
              <f>'67_FL844896AF'!$S$18:$S$27</f>
            </numRef>
          </yVal>
        </ser>
        <ser>
          <idx val="6"/>
          <order val="6"/>
          <tx>
            <strRef>
              <f>'67_FL844896AF'!T17</f>
            </strRef>
          </tx>
          <spPr>
            <a:ln xmlns:a="http://schemas.openxmlformats.org/drawingml/2006/main" w="18000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'67_FL844896AF'!$M$18:$M$27</f>
            </numRef>
          </xVal>
          <yVal>
            <numRef>
              <f>'67_FL844896AF'!$T$18:$T$27</f>
            </numRef>
          </yVal>
        </ser>
        <ser>
          <idx val="7"/>
          <order val="7"/>
          <tx>
            <strRef>
              <f>'67_FL844896AF'!U17</f>
            </strRef>
          </tx>
          <spPr>
            <a:ln xmlns:a="http://schemas.openxmlformats.org/drawingml/2006/main" w="18000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'67_FL844896AF'!$M$18:$M$27</f>
            </numRef>
          </xVal>
          <yVal>
            <numRef>
              <f>'67_FL844896AF'!$U$18:$U$27</f>
            </numRef>
          </yVal>
        </ser>
        <ser>
          <idx val="8"/>
          <order val="8"/>
          <tx>
            <strRef>
              <f>'67_FL844896AF'!V17</f>
            </strRef>
          </tx>
          <spPr>
            <a:ln xmlns:a="http://schemas.openxmlformats.org/drawingml/2006/main" w="18000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'67_FL844896AF'!$M$18:$M$27</f>
            </numRef>
          </xVal>
          <yVal>
            <numRef>
              <f>'67_FL844896AF'!$V$18:$V$27</f>
            </numRef>
          </yVal>
        </ser>
        <ser>
          <idx val="9"/>
          <order val="9"/>
          <tx>
            <strRef>
              <f>'67_FL844896AF'!W17</f>
            </strRef>
          </tx>
          <spPr>
            <a:ln xmlns:a="http://schemas.openxmlformats.org/drawingml/2006/main" w="18000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'67_FL844896AF'!$M$18:$M$27</f>
            </numRef>
          </xVal>
          <yVal>
            <numRef>
              <f>'67_FL844896AF'!$W$18:$W$27</f>
            </numRef>
          </yVal>
        </ser>
        <ser>
          <idx val="10"/>
          <order val="10"/>
          <tx>
            <strRef>
              <f>'67_FL844896AF'!X17</f>
            </strRef>
          </tx>
          <spPr>
            <a:ln xmlns:a="http://schemas.openxmlformats.org/drawingml/2006/main" w="18000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'67_FL844896AF'!$M$18:$M$27</f>
            </numRef>
          </xVal>
          <yVal>
            <numRef>
              <f>'67_FL844896AF'!$X$18:$X$27</f>
            </numRef>
          </yVal>
        </ser>
        <ser>
          <idx val="11"/>
          <order val="11"/>
          <tx>
            <strRef>
              <f>'67_FL844896AF'!Y17</f>
            </strRef>
          </tx>
          <spPr>
            <a:ln xmlns:a="http://schemas.openxmlformats.org/drawingml/2006/main" w="18000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'67_FL844896AF'!$M$18:$M$27</f>
            </numRef>
          </xVal>
          <yVal>
            <numRef>
              <f>'67_FL844896AF'!$Y$18:$Y$27</f>
            </numRef>
          </yVal>
        </ser>
        <axId val="10"/>
        <axId val="20"/>
      </scatterChart>
      <valAx>
        <axId val="10"/>
        <scaling>
          <logBase val="10"/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Duration (min)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logBase val="10"/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Intensity (mm/hr)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9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Catchment-style IDF - Gauge 68 (FL942459AF)</a:t>
            </a:r>
          </a:p>
        </rich>
      </tx>
    </title>
    <plotArea>
      <scatterChart>
        <ser>
          <idx val="0"/>
          <order val="0"/>
          <tx>
            <strRef>
              <f>'68_FL942459AF'!N17</f>
            </strRef>
          </tx>
          <spPr>
            <a:ln xmlns:a="http://schemas.openxmlformats.org/drawingml/2006/main" w="18000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'68_FL942459AF'!$M$18:$M$27</f>
            </numRef>
          </xVal>
          <yVal>
            <numRef>
              <f>'68_FL942459AF'!$N$18:$N$27</f>
            </numRef>
          </yVal>
        </ser>
        <ser>
          <idx val="1"/>
          <order val="1"/>
          <tx>
            <strRef>
              <f>'68_FL942459AF'!O17</f>
            </strRef>
          </tx>
          <spPr>
            <a:ln xmlns:a="http://schemas.openxmlformats.org/drawingml/2006/main" w="18000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'68_FL942459AF'!$M$18:$M$27</f>
            </numRef>
          </xVal>
          <yVal>
            <numRef>
              <f>'68_FL942459AF'!$O$18:$O$27</f>
            </numRef>
          </yVal>
        </ser>
        <ser>
          <idx val="2"/>
          <order val="2"/>
          <tx>
            <strRef>
              <f>'68_FL942459AF'!P17</f>
            </strRef>
          </tx>
          <spPr>
            <a:ln xmlns:a="http://schemas.openxmlformats.org/drawingml/2006/main" w="18000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'68_FL942459AF'!$M$18:$M$27</f>
            </numRef>
          </xVal>
          <yVal>
            <numRef>
              <f>'68_FL942459AF'!$P$18:$P$27</f>
            </numRef>
          </yVal>
        </ser>
        <ser>
          <idx val="3"/>
          <order val="3"/>
          <tx>
            <strRef>
              <f>'68_FL942459AF'!Q17</f>
            </strRef>
          </tx>
          <spPr>
            <a:ln xmlns:a="http://schemas.openxmlformats.org/drawingml/2006/main" w="18000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'68_FL942459AF'!$M$18:$M$27</f>
            </numRef>
          </xVal>
          <yVal>
            <numRef>
              <f>'68_FL942459AF'!$Q$18:$Q$27</f>
            </numRef>
          </yVal>
        </ser>
        <ser>
          <idx val="4"/>
          <order val="4"/>
          <tx>
            <strRef>
              <f>'68_FL942459AF'!R17</f>
            </strRef>
          </tx>
          <spPr>
            <a:ln xmlns:a="http://schemas.openxmlformats.org/drawingml/2006/main" w="18000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'68_FL942459AF'!$M$18:$M$27</f>
            </numRef>
          </xVal>
          <yVal>
            <numRef>
              <f>'68_FL942459AF'!$R$18:$R$27</f>
            </numRef>
          </yVal>
        </ser>
        <ser>
          <idx val="5"/>
          <order val="5"/>
          <tx>
            <strRef>
              <f>'68_FL942459AF'!S17</f>
            </strRef>
          </tx>
          <spPr>
            <a:ln xmlns:a="http://schemas.openxmlformats.org/drawingml/2006/main" w="18000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'68_FL942459AF'!$M$18:$M$27</f>
            </numRef>
          </xVal>
          <yVal>
            <numRef>
              <f>'68_FL942459AF'!$S$18:$S$27</f>
            </numRef>
          </yVal>
        </ser>
        <ser>
          <idx val="6"/>
          <order val="6"/>
          <tx>
            <strRef>
              <f>'68_FL942459AF'!T17</f>
            </strRef>
          </tx>
          <spPr>
            <a:ln xmlns:a="http://schemas.openxmlformats.org/drawingml/2006/main" w="18000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'68_FL942459AF'!$M$18:$M$27</f>
            </numRef>
          </xVal>
          <yVal>
            <numRef>
              <f>'68_FL942459AF'!$T$18:$T$27</f>
            </numRef>
          </yVal>
        </ser>
        <ser>
          <idx val="7"/>
          <order val="7"/>
          <tx>
            <strRef>
              <f>'68_FL942459AF'!U17</f>
            </strRef>
          </tx>
          <spPr>
            <a:ln xmlns:a="http://schemas.openxmlformats.org/drawingml/2006/main" w="18000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'68_FL942459AF'!$M$18:$M$27</f>
            </numRef>
          </xVal>
          <yVal>
            <numRef>
              <f>'68_FL942459AF'!$U$18:$U$27</f>
            </numRef>
          </yVal>
        </ser>
        <ser>
          <idx val="8"/>
          <order val="8"/>
          <tx>
            <strRef>
              <f>'68_FL942459AF'!V17</f>
            </strRef>
          </tx>
          <spPr>
            <a:ln xmlns:a="http://schemas.openxmlformats.org/drawingml/2006/main" w="18000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'68_FL942459AF'!$M$18:$M$27</f>
            </numRef>
          </xVal>
          <yVal>
            <numRef>
              <f>'68_FL942459AF'!$V$18:$V$27</f>
            </numRef>
          </yVal>
        </ser>
        <ser>
          <idx val="9"/>
          <order val="9"/>
          <tx>
            <strRef>
              <f>'68_FL942459AF'!W17</f>
            </strRef>
          </tx>
          <spPr>
            <a:ln xmlns:a="http://schemas.openxmlformats.org/drawingml/2006/main" w="18000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'68_FL942459AF'!$M$18:$M$27</f>
            </numRef>
          </xVal>
          <yVal>
            <numRef>
              <f>'68_FL942459AF'!$W$18:$W$27</f>
            </numRef>
          </yVal>
        </ser>
        <ser>
          <idx val="10"/>
          <order val="10"/>
          <tx>
            <strRef>
              <f>'68_FL942459AF'!X17</f>
            </strRef>
          </tx>
          <spPr>
            <a:ln xmlns:a="http://schemas.openxmlformats.org/drawingml/2006/main" w="18000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'68_FL942459AF'!$M$18:$M$27</f>
            </numRef>
          </xVal>
          <yVal>
            <numRef>
              <f>'68_FL942459AF'!$X$18:$X$27</f>
            </numRef>
          </yVal>
        </ser>
        <ser>
          <idx val="11"/>
          <order val="11"/>
          <tx>
            <strRef>
              <f>'68_FL942459AF'!Y17</f>
            </strRef>
          </tx>
          <spPr>
            <a:ln xmlns:a="http://schemas.openxmlformats.org/drawingml/2006/main" w="18000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'68_FL942459AF'!$M$18:$M$27</f>
            </numRef>
          </xVal>
          <yVal>
            <numRef>
              <f>'68_FL942459AF'!$Y$18:$Y$27</f>
            </numRef>
          </yVal>
        </ser>
        <axId val="10"/>
        <axId val="20"/>
      </scatterChart>
      <valAx>
        <axId val="10"/>
        <scaling>
          <logBase val="10"/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Duration (min)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logBase val="10"/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Intensity (mm/hr)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0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Catchment-style IDF - Gauge 69 (GL142813AF)</a:t>
            </a:r>
          </a:p>
        </rich>
      </tx>
    </title>
    <plotArea>
      <scatterChart>
        <ser>
          <idx val="0"/>
          <order val="0"/>
          <tx>
            <strRef>
              <f>'69_GL142813AF'!N17</f>
            </strRef>
          </tx>
          <spPr>
            <a:ln xmlns:a="http://schemas.openxmlformats.org/drawingml/2006/main" w="18000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'69_GL142813AF'!$M$18:$M$27</f>
            </numRef>
          </xVal>
          <yVal>
            <numRef>
              <f>'69_GL142813AF'!$N$18:$N$27</f>
            </numRef>
          </yVal>
        </ser>
        <ser>
          <idx val="1"/>
          <order val="1"/>
          <tx>
            <strRef>
              <f>'69_GL142813AF'!O17</f>
            </strRef>
          </tx>
          <spPr>
            <a:ln xmlns:a="http://schemas.openxmlformats.org/drawingml/2006/main" w="18000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'69_GL142813AF'!$M$18:$M$27</f>
            </numRef>
          </xVal>
          <yVal>
            <numRef>
              <f>'69_GL142813AF'!$O$18:$O$27</f>
            </numRef>
          </yVal>
        </ser>
        <ser>
          <idx val="2"/>
          <order val="2"/>
          <tx>
            <strRef>
              <f>'69_GL142813AF'!P17</f>
            </strRef>
          </tx>
          <spPr>
            <a:ln xmlns:a="http://schemas.openxmlformats.org/drawingml/2006/main" w="18000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'69_GL142813AF'!$M$18:$M$27</f>
            </numRef>
          </xVal>
          <yVal>
            <numRef>
              <f>'69_GL142813AF'!$P$18:$P$27</f>
            </numRef>
          </yVal>
        </ser>
        <ser>
          <idx val="3"/>
          <order val="3"/>
          <tx>
            <strRef>
              <f>'69_GL142813AF'!Q17</f>
            </strRef>
          </tx>
          <spPr>
            <a:ln xmlns:a="http://schemas.openxmlformats.org/drawingml/2006/main" w="18000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'69_GL142813AF'!$M$18:$M$27</f>
            </numRef>
          </xVal>
          <yVal>
            <numRef>
              <f>'69_GL142813AF'!$Q$18:$Q$27</f>
            </numRef>
          </yVal>
        </ser>
        <ser>
          <idx val="4"/>
          <order val="4"/>
          <tx>
            <strRef>
              <f>'69_GL142813AF'!R17</f>
            </strRef>
          </tx>
          <spPr>
            <a:ln xmlns:a="http://schemas.openxmlformats.org/drawingml/2006/main" w="18000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'69_GL142813AF'!$M$18:$M$27</f>
            </numRef>
          </xVal>
          <yVal>
            <numRef>
              <f>'69_GL142813AF'!$R$18:$R$27</f>
            </numRef>
          </yVal>
        </ser>
        <ser>
          <idx val="5"/>
          <order val="5"/>
          <tx>
            <strRef>
              <f>'69_GL142813AF'!S17</f>
            </strRef>
          </tx>
          <spPr>
            <a:ln xmlns:a="http://schemas.openxmlformats.org/drawingml/2006/main" w="18000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'69_GL142813AF'!$M$18:$M$27</f>
            </numRef>
          </xVal>
          <yVal>
            <numRef>
              <f>'69_GL142813AF'!$S$18:$S$27</f>
            </numRef>
          </yVal>
        </ser>
        <ser>
          <idx val="6"/>
          <order val="6"/>
          <tx>
            <strRef>
              <f>'69_GL142813AF'!T17</f>
            </strRef>
          </tx>
          <spPr>
            <a:ln xmlns:a="http://schemas.openxmlformats.org/drawingml/2006/main" w="18000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'69_GL142813AF'!$M$18:$M$27</f>
            </numRef>
          </xVal>
          <yVal>
            <numRef>
              <f>'69_GL142813AF'!$T$18:$T$27</f>
            </numRef>
          </yVal>
        </ser>
        <ser>
          <idx val="7"/>
          <order val="7"/>
          <tx>
            <strRef>
              <f>'69_GL142813AF'!U17</f>
            </strRef>
          </tx>
          <spPr>
            <a:ln xmlns:a="http://schemas.openxmlformats.org/drawingml/2006/main" w="18000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'69_GL142813AF'!$M$18:$M$27</f>
            </numRef>
          </xVal>
          <yVal>
            <numRef>
              <f>'69_GL142813AF'!$U$18:$U$27</f>
            </numRef>
          </yVal>
        </ser>
        <ser>
          <idx val="8"/>
          <order val="8"/>
          <tx>
            <strRef>
              <f>'69_GL142813AF'!V17</f>
            </strRef>
          </tx>
          <spPr>
            <a:ln xmlns:a="http://schemas.openxmlformats.org/drawingml/2006/main" w="18000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'69_GL142813AF'!$M$18:$M$27</f>
            </numRef>
          </xVal>
          <yVal>
            <numRef>
              <f>'69_GL142813AF'!$V$18:$V$27</f>
            </numRef>
          </yVal>
        </ser>
        <ser>
          <idx val="9"/>
          <order val="9"/>
          <tx>
            <strRef>
              <f>'69_GL142813AF'!W17</f>
            </strRef>
          </tx>
          <spPr>
            <a:ln xmlns:a="http://schemas.openxmlformats.org/drawingml/2006/main" w="18000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'69_GL142813AF'!$M$18:$M$27</f>
            </numRef>
          </xVal>
          <yVal>
            <numRef>
              <f>'69_GL142813AF'!$W$18:$W$27</f>
            </numRef>
          </yVal>
        </ser>
        <ser>
          <idx val="10"/>
          <order val="10"/>
          <tx>
            <strRef>
              <f>'69_GL142813AF'!X17</f>
            </strRef>
          </tx>
          <spPr>
            <a:ln xmlns:a="http://schemas.openxmlformats.org/drawingml/2006/main" w="18000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'69_GL142813AF'!$M$18:$M$27</f>
            </numRef>
          </xVal>
          <yVal>
            <numRef>
              <f>'69_GL142813AF'!$X$18:$X$27</f>
            </numRef>
          </yVal>
        </ser>
        <ser>
          <idx val="11"/>
          <order val="11"/>
          <tx>
            <strRef>
              <f>'69_GL142813AF'!Y17</f>
            </strRef>
          </tx>
          <spPr>
            <a:ln xmlns:a="http://schemas.openxmlformats.org/drawingml/2006/main" w="18000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'69_GL142813AF'!$M$18:$M$27</f>
            </numRef>
          </xVal>
          <yVal>
            <numRef>
              <f>'69_GL142813AF'!$Y$18:$Y$27</f>
            </numRef>
          </yVal>
        </ser>
        <axId val="10"/>
        <axId val="20"/>
      </scatterChart>
      <valAx>
        <axId val="10"/>
        <scaling>
          <logBase val="10"/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Duration (min)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logBase val="10"/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Intensity (mm/hr)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Catchment-style IDF - Gauge 72 (FL331254AF)</a:t>
            </a:r>
          </a:p>
        </rich>
      </tx>
    </title>
    <plotArea>
      <scatterChart>
        <ser>
          <idx val="0"/>
          <order val="0"/>
          <tx>
            <strRef>
              <f>'72_FL331254AF'!N17</f>
            </strRef>
          </tx>
          <spPr>
            <a:ln xmlns:a="http://schemas.openxmlformats.org/drawingml/2006/main" w="18000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'72_FL331254AF'!$M$18:$M$27</f>
            </numRef>
          </xVal>
          <yVal>
            <numRef>
              <f>'72_FL331254AF'!$N$18:$N$27</f>
            </numRef>
          </yVal>
        </ser>
        <ser>
          <idx val="1"/>
          <order val="1"/>
          <tx>
            <strRef>
              <f>'72_FL331254AF'!O17</f>
            </strRef>
          </tx>
          <spPr>
            <a:ln xmlns:a="http://schemas.openxmlformats.org/drawingml/2006/main" w="18000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'72_FL331254AF'!$M$18:$M$27</f>
            </numRef>
          </xVal>
          <yVal>
            <numRef>
              <f>'72_FL331254AF'!$O$18:$O$27</f>
            </numRef>
          </yVal>
        </ser>
        <ser>
          <idx val="2"/>
          <order val="2"/>
          <tx>
            <strRef>
              <f>'72_FL331254AF'!P17</f>
            </strRef>
          </tx>
          <spPr>
            <a:ln xmlns:a="http://schemas.openxmlformats.org/drawingml/2006/main" w="18000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'72_FL331254AF'!$M$18:$M$27</f>
            </numRef>
          </xVal>
          <yVal>
            <numRef>
              <f>'72_FL331254AF'!$P$18:$P$27</f>
            </numRef>
          </yVal>
        </ser>
        <ser>
          <idx val="3"/>
          <order val="3"/>
          <tx>
            <strRef>
              <f>'72_FL331254AF'!Q17</f>
            </strRef>
          </tx>
          <spPr>
            <a:ln xmlns:a="http://schemas.openxmlformats.org/drawingml/2006/main" w="18000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'72_FL331254AF'!$M$18:$M$27</f>
            </numRef>
          </xVal>
          <yVal>
            <numRef>
              <f>'72_FL331254AF'!$Q$18:$Q$27</f>
            </numRef>
          </yVal>
        </ser>
        <ser>
          <idx val="4"/>
          <order val="4"/>
          <tx>
            <strRef>
              <f>'72_FL331254AF'!R17</f>
            </strRef>
          </tx>
          <spPr>
            <a:ln xmlns:a="http://schemas.openxmlformats.org/drawingml/2006/main" w="18000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'72_FL331254AF'!$M$18:$M$27</f>
            </numRef>
          </xVal>
          <yVal>
            <numRef>
              <f>'72_FL331254AF'!$R$18:$R$27</f>
            </numRef>
          </yVal>
        </ser>
        <ser>
          <idx val="5"/>
          <order val="5"/>
          <tx>
            <strRef>
              <f>'72_FL331254AF'!S17</f>
            </strRef>
          </tx>
          <spPr>
            <a:ln xmlns:a="http://schemas.openxmlformats.org/drawingml/2006/main" w="18000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'72_FL331254AF'!$M$18:$M$27</f>
            </numRef>
          </xVal>
          <yVal>
            <numRef>
              <f>'72_FL331254AF'!$S$18:$S$27</f>
            </numRef>
          </yVal>
        </ser>
        <ser>
          <idx val="6"/>
          <order val="6"/>
          <tx>
            <strRef>
              <f>'72_FL331254AF'!T17</f>
            </strRef>
          </tx>
          <spPr>
            <a:ln xmlns:a="http://schemas.openxmlformats.org/drawingml/2006/main" w="18000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'72_FL331254AF'!$M$18:$M$27</f>
            </numRef>
          </xVal>
          <yVal>
            <numRef>
              <f>'72_FL331254AF'!$T$18:$T$27</f>
            </numRef>
          </yVal>
        </ser>
        <ser>
          <idx val="7"/>
          <order val="7"/>
          <tx>
            <strRef>
              <f>'72_FL331254AF'!U17</f>
            </strRef>
          </tx>
          <spPr>
            <a:ln xmlns:a="http://schemas.openxmlformats.org/drawingml/2006/main" w="18000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'72_FL331254AF'!$M$18:$M$27</f>
            </numRef>
          </xVal>
          <yVal>
            <numRef>
              <f>'72_FL331254AF'!$U$18:$U$27</f>
            </numRef>
          </yVal>
        </ser>
        <ser>
          <idx val="8"/>
          <order val="8"/>
          <tx>
            <strRef>
              <f>'72_FL331254AF'!V17</f>
            </strRef>
          </tx>
          <spPr>
            <a:ln xmlns:a="http://schemas.openxmlformats.org/drawingml/2006/main" w="18000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'72_FL331254AF'!$M$18:$M$27</f>
            </numRef>
          </xVal>
          <yVal>
            <numRef>
              <f>'72_FL331254AF'!$V$18:$V$27</f>
            </numRef>
          </yVal>
        </ser>
        <ser>
          <idx val="9"/>
          <order val="9"/>
          <tx>
            <strRef>
              <f>'72_FL331254AF'!W17</f>
            </strRef>
          </tx>
          <spPr>
            <a:ln xmlns:a="http://schemas.openxmlformats.org/drawingml/2006/main" w="18000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'72_FL331254AF'!$M$18:$M$27</f>
            </numRef>
          </xVal>
          <yVal>
            <numRef>
              <f>'72_FL331254AF'!$W$18:$W$27</f>
            </numRef>
          </yVal>
        </ser>
        <ser>
          <idx val="10"/>
          <order val="10"/>
          <tx>
            <strRef>
              <f>'72_FL331254AF'!X17</f>
            </strRef>
          </tx>
          <spPr>
            <a:ln xmlns:a="http://schemas.openxmlformats.org/drawingml/2006/main" w="18000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'72_FL331254AF'!$M$18:$M$27</f>
            </numRef>
          </xVal>
          <yVal>
            <numRef>
              <f>'72_FL331254AF'!$X$18:$X$27</f>
            </numRef>
          </yVal>
        </ser>
        <ser>
          <idx val="11"/>
          <order val="11"/>
          <tx>
            <strRef>
              <f>'72_FL331254AF'!Y17</f>
            </strRef>
          </tx>
          <spPr>
            <a:ln xmlns:a="http://schemas.openxmlformats.org/drawingml/2006/main" w="18000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'72_FL331254AF'!$M$18:$M$27</f>
            </numRef>
          </xVal>
          <yVal>
            <numRef>
              <f>'72_FL331254AF'!$Y$18:$Y$27</f>
            </numRef>
          </yVal>
        </ser>
        <axId val="10"/>
        <axId val="20"/>
      </scatterChart>
      <valAx>
        <axId val="10"/>
        <scaling>
          <logBase val="10"/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Duration (min)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logBase val="10"/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Intensity (mm/hr)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Catchment-style IDF - Gauge 73 (FL434668AF)</a:t>
            </a:r>
          </a:p>
        </rich>
      </tx>
    </title>
    <plotArea>
      <scatterChart>
        <ser>
          <idx val="0"/>
          <order val="0"/>
          <tx>
            <strRef>
              <f>'73_FL434668AF'!N17</f>
            </strRef>
          </tx>
          <spPr>
            <a:ln xmlns:a="http://schemas.openxmlformats.org/drawingml/2006/main" w="18000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'73_FL434668AF'!$M$18:$M$27</f>
            </numRef>
          </xVal>
          <yVal>
            <numRef>
              <f>'73_FL434668AF'!$N$18:$N$27</f>
            </numRef>
          </yVal>
        </ser>
        <ser>
          <idx val="1"/>
          <order val="1"/>
          <tx>
            <strRef>
              <f>'73_FL434668AF'!O17</f>
            </strRef>
          </tx>
          <spPr>
            <a:ln xmlns:a="http://schemas.openxmlformats.org/drawingml/2006/main" w="18000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'73_FL434668AF'!$M$18:$M$27</f>
            </numRef>
          </xVal>
          <yVal>
            <numRef>
              <f>'73_FL434668AF'!$O$18:$O$27</f>
            </numRef>
          </yVal>
        </ser>
        <ser>
          <idx val="2"/>
          <order val="2"/>
          <tx>
            <strRef>
              <f>'73_FL434668AF'!P17</f>
            </strRef>
          </tx>
          <spPr>
            <a:ln xmlns:a="http://schemas.openxmlformats.org/drawingml/2006/main" w="18000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'73_FL434668AF'!$M$18:$M$27</f>
            </numRef>
          </xVal>
          <yVal>
            <numRef>
              <f>'73_FL434668AF'!$P$18:$P$27</f>
            </numRef>
          </yVal>
        </ser>
        <ser>
          <idx val="3"/>
          <order val="3"/>
          <tx>
            <strRef>
              <f>'73_FL434668AF'!Q17</f>
            </strRef>
          </tx>
          <spPr>
            <a:ln xmlns:a="http://schemas.openxmlformats.org/drawingml/2006/main" w="18000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'73_FL434668AF'!$M$18:$M$27</f>
            </numRef>
          </xVal>
          <yVal>
            <numRef>
              <f>'73_FL434668AF'!$Q$18:$Q$27</f>
            </numRef>
          </yVal>
        </ser>
        <ser>
          <idx val="4"/>
          <order val="4"/>
          <tx>
            <strRef>
              <f>'73_FL434668AF'!R17</f>
            </strRef>
          </tx>
          <spPr>
            <a:ln xmlns:a="http://schemas.openxmlformats.org/drawingml/2006/main" w="18000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'73_FL434668AF'!$M$18:$M$27</f>
            </numRef>
          </xVal>
          <yVal>
            <numRef>
              <f>'73_FL434668AF'!$R$18:$R$27</f>
            </numRef>
          </yVal>
        </ser>
        <ser>
          <idx val="5"/>
          <order val="5"/>
          <tx>
            <strRef>
              <f>'73_FL434668AF'!S17</f>
            </strRef>
          </tx>
          <spPr>
            <a:ln xmlns:a="http://schemas.openxmlformats.org/drawingml/2006/main" w="18000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'73_FL434668AF'!$M$18:$M$27</f>
            </numRef>
          </xVal>
          <yVal>
            <numRef>
              <f>'73_FL434668AF'!$S$18:$S$27</f>
            </numRef>
          </yVal>
        </ser>
        <ser>
          <idx val="6"/>
          <order val="6"/>
          <tx>
            <strRef>
              <f>'73_FL434668AF'!T17</f>
            </strRef>
          </tx>
          <spPr>
            <a:ln xmlns:a="http://schemas.openxmlformats.org/drawingml/2006/main" w="18000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'73_FL434668AF'!$M$18:$M$27</f>
            </numRef>
          </xVal>
          <yVal>
            <numRef>
              <f>'73_FL434668AF'!$T$18:$T$27</f>
            </numRef>
          </yVal>
        </ser>
        <ser>
          <idx val="7"/>
          <order val="7"/>
          <tx>
            <strRef>
              <f>'73_FL434668AF'!U17</f>
            </strRef>
          </tx>
          <spPr>
            <a:ln xmlns:a="http://schemas.openxmlformats.org/drawingml/2006/main" w="18000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'73_FL434668AF'!$M$18:$M$27</f>
            </numRef>
          </xVal>
          <yVal>
            <numRef>
              <f>'73_FL434668AF'!$U$18:$U$27</f>
            </numRef>
          </yVal>
        </ser>
        <ser>
          <idx val="8"/>
          <order val="8"/>
          <tx>
            <strRef>
              <f>'73_FL434668AF'!V17</f>
            </strRef>
          </tx>
          <spPr>
            <a:ln xmlns:a="http://schemas.openxmlformats.org/drawingml/2006/main" w="18000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'73_FL434668AF'!$M$18:$M$27</f>
            </numRef>
          </xVal>
          <yVal>
            <numRef>
              <f>'73_FL434668AF'!$V$18:$V$27</f>
            </numRef>
          </yVal>
        </ser>
        <ser>
          <idx val="9"/>
          <order val="9"/>
          <tx>
            <strRef>
              <f>'73_FL434668AF'!W17</f>
            </strRef>
          </tx>
          <spPr>
            <a:ln xmlns:a="http://schemas.openxmlformats.org/drawingml/2006/main" w="18000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'73_FL434668AF'!$M$18:$M$27</f>
            </numRef>
          </xVal>
          <yVal>
            <numRef>
              <f>'73_FL434668AF'!$W$18:$W$27</f>
            </numRef>
          </yVal>
        </ser>
        <ser>
          <idx val="10"/>
          <order val="10"/>
          <tx>
            <strRef>
              <f>'73_FL434668AF'!X17</f>
            </strRef>
          </tx>
          <spPr>
            <a:ln xmlns:a="http://schemas.openxmlformats.org/drawingml/2006/main" w="18000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'73_FL434668AF'!$M$18:$M$27</f>
            </numRef>
          </xVal>
          <yVal>
            <numRef>
              <f>'73_FL434668AF'!$X$18:$X$27</f>
            </numRef>
          </yVal>
        </ser>
        <ser>
          <idx val="11"/>
          <order val="11"/>
          <tx>
            <strRef>
              <f>'73_FL434668AF'!Y17</f>
            </strRef>
          </tx>
          <spPr>
            <a:ln xmlns:a="http://schemas.openxmlformats.org/drawingml/2006/main" w="18000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'73_FL434668AF'!$M$18:$M$27</f>
            </numRef>
          </xVal>
          <yVal>
            <numRef>
              <f>'73_FL434668AF'!$Y$18:$Y$27</f>
            </numRef>
          </yVal>
        </ser>
        <axId val="10"/>
        <axId val="20"/>
      </scatterChart>
      <valAx>
        <axId val="10"/>
        <scaling>
          <logBase val="10"/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Duration (min)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logBase val="10"/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Intensity (mm/hr)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3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Catchment-style IDF - Gauge 74 (FL730339AF)</a:t>
            </a:r>
          </a:p>
        </rich>
      </tx>
    </title>
    <plotArea>
      <scatterChart>
        <ser>
          <idx val="0"/>
          <order val="0"/>
          <tx>
            <strRef>
              <f>'74_FL730339AF'!N17</f>
            </strRef>
          </tx>
          <spPr>
            <a:ln xmlns:a="http://schemas.openxmlformats.org/drawingml/2006/main" w="18000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'74_FL730339AF'!$M$18:$M$27</f>
            </numRef>
          </xVal>
          <yVal>
            <numRef>
              <f>'74_FL730339AF'!$N$18:$N$27</f>
            </numRef>
          </yVal>
        </ser>
        <ser>
          <idx val="1"/>
          <order val="1"/>
          <tx>
            <strRef>
              <f>'74_FL730339AF'!O17</f>
            </strRef>
          </tx>
          <spPr>
            <a:ln xmlns:a="http://schemas.openxmlformats.org/drawingml/2006/main" w="18000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'74_FL730339AF'!$M$18:$M$27</f>
            </numRef>
          </xVal>
          <yVal>
            <numRef>
              <f>'74_FL730339AF'!$O$18:$O$27</f>
            </numRef>
          </yVal>
        </ser>
        <ser>
          <idx val="2"/>
          <order val="2"/>
          <tx>
            <strRef>
              <f>'74_FL730339AF'!P17</f>
            </strRef>
          </tx>
          <spPr>
            <a:ln xmlns:a="http://schemas.openxmlformats.org/drawingml/2006/main" w="18000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'74_FL730339AF'!$M$18:$M$27</f>
            </numRef>
          </xVal>
          <yVal>
            <numRef>
              <f>'74_FL730339AF'!$P$18:$P$27</f>
            </numRef>
          </yVal>
        </ser>
        <ser>
          <idx val="3"/>
          <order val="3"/>
          <tx>
            <strRef>
              <f>'74_FL730339AF'!Q17</f>
            </strRef>
          </tx>
          <spPr>
            <a:ln xmlns:a="http://schemas.openxmlformats.org/drawingml/2006/main" w="18000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'74_FL730339AF'!$M$18:$M$27</f>
            </numRef>
          </xVal>
          <yVal>
            <numRef>
              <f>'74_FL730339AF'!$Q$18:$Q$27</f>
            </numRef>
          </yVal>
        </ser>
        <ser>
          <idx val="4"/>
          <order val="4"/>
          <tx>
            <strRef>
              <f>'74_FL730339AF'!R17</f>
            </strRef>
          </tx>
          <spPr>
            <a:ln xmlns:a="http://schemas.openxmlformats.org/drawingml/2006/main" w="18000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'74_FL730339AF'!$M$18:$M$27</f>
            </numRef>
          </xVal>
          <yVal>
            <numRef>
              <f>'74_FL730339AF'!$R$18:$R$27</f>
            </numRef>
          </yVal>
        </ser>
        <ser>
          <idx val="5"/>
          <order val="5"/>
          <tx>
            <strRef>
              <f>'74_FL730339AF'!S17</f>
            </strRef>
          </tx>
          <spPr>
            <a:ln xmlns:a="http://schemas.openxmlformats.org/drawingml/2006/main" w="18000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'74_FL730339AF'!$M$18:$M$27</f>
            </numRef>
          </xVal>
          <yVal>
            <numRef>
              <f>'74_FL730339AF'!$S$18:$S$27</f>
            </numRef>
          </yVal>
        </ser>
        <ser>
          <idx val="6"/>
          <order val="6"/>
          <tx>
            <strRef>
              <f>'74_FL730339AF'!T17</f>
            </strRef>
          </tx>
          <spPr>
            <a:ln xmlns:a="http://schemas.openxmlformats.org/drawingml/2006/main" w="18000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'74_FL730339AF'!$M$18:$M$27</f>
            </numRef>
          </xVal>
          <yVal>
            <numRef>
              <f>'74_FL730339AF'!$T$18:$T$27</f>
            </numRef>
          </yVal>
        </ser>
        <ser>
          <idx val="7"/>
          <order val="7"/>
          <tx>
            <strRef>
              <f>'74_FL730339AF'!U17</f>
            </strRef>
          </tx>
          <spPr>
            <a:ln xmlns:a="http://schemas.openxmlformats.org/drawingml/2006/main" w="18000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'74_FL730339AF'!$M$18:$M$27</f>
            </numRef>
          </xVal>
          <yVal>
            <numRef>
              <f>'74_FL730339AF'!$U$18:$U$27</f>
            </numRef>
          </yVal>
        </ser>
        <ser>
          <idx val="8"/>
          <order val="8"/>
          <tx>
            <strRef>
              <f>'74_FL730339AF'!V17</f>
            </strRef>
          </tx>
          <spPr>
            <a:ln xmlns:a="http://schemas.openxmlformats.org/drawingml/2006/main" w="18000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'74_FL730339AF'!$M$18:$M$27</f>
            </numRef>
          </xVal>
          <yVal>
            <numRef>
              <f>'74_FL730339AF'!$V$18:$V$27</f>
            </numRef>
          </yVal>
        </ser>
        <ser>
          <idx val="9"/>
          <order val="9"/>
          <tx>
            <strRef>
              <f>'74_FL730339AF'!W17</f>
            </strRef>
          </tx>
          <spPr>
            <a:ln xmlns:a="http://schemas.openxmlformats.org/drawingml/2006/main" w="18000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'74_FL730339AF'!$M$18:$M$27</f>
            </numRef>
          </xVal>
          <yVal>
            <numRef>
              <f>'74_FL730339AF'!$W$18:$W$27</f>
            </numRef>
          </yVal>
        </ser>
        <ser>
          <idx val="10"/>
          <order val="10"/>
          <tx>
            <strRef>
              <f>'74_FL730339AF'!X17</f>
            </strRef>
          </tx>
          <spPr>
            <a:ln xmlns:a="http://schemas.openxmlformats.org/drawingml/2006/main" w="18000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'74_FL730339AF'!$M$18:$M$27</f>
            </numRef>
          </xVal>
          <yVal>
            <numRef>
              <f>'74_FL730339AF'!$X$18:$X$27</f>
            </numRef>
          </yVal>
        </ser>
        <ser>
          <idx val="11"/>
          <order val="11"/>
          <tx>
            <strRef>
              <f>'74_FL730339AF'!Y17</f>
            </strRef>
          </tx>
          <spPr>
            <a:ln xmlns:a="http://schemas.openxmlformats.org/drawingml/2006/main" w="18000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'74_FL730339AF'!$M$18:$M$27</f>
            </numRef>
          </xVal>
          <yVal>
            <numRef>
              <f>'74_FL730339AF'!$Y$18:$Y$27</f>
            </numRef>
          </yVal>
        </ser>
        <axId val="10"/>
        <axId val="20"/>
      </scatterChart>
      <valAx>
        <axId val="10"/>
        <scaling>
          <logBase val="10"/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Duration (min)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logBase val="10"/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Intensity (mm/hr)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4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Catchment-style IDF - Gauge 75 (FL737261AF)</a:t>
            </a:r>
          </a:p>
        </rich>
      </tx>
    </title>
    <plotArea>
      <scatterChart>
        <ser>
          <idx val="0"/>
          <order val="0"/>
          <tx>
            <strRef>
              <f>'75_FL737261AF'!N17</f>
            </strRef>
          </tx>
          <spPr>
            <a:ln xmlns:a="http://schemas.openxmlformats.org/drawingml/2006/main" w="18000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'75_FL737261AF'!$M$18:$M$27</f>
            </numRef>
          </xVal>
          <yVal>
            <numRef>
              <f>'75_FL737261AF'!$N$18:$N$27</f>
            </numRef>
          </yVal>
        </ser>
        <ser>
          <idx val="1"/>
          <order val="1"/>
          <tx>
            <strRef>
              <f>'75_FL737261AF'!O17</f>
            </strRef>
          </tx>
          <spPr>
            <a:ln xmlns:a="http://schemas.openxmlformats.org/drawingml/2006/main" w="18000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'75_FL737261AF'!$M$18:$M$27</f>
            </numRef>
          </xVal>
          <yVal>
            <numRef>
              <f>'75_FL737261AF'!$O$18:$O$27</f>
            </numRef>
          </yVal>
        </ser>
        <ser>
          <idx val="2"/>
          <order val="2"/>
          <tx>
            <strRef>
              <f>'75_FL737261AF'!P17</f>
            </strRef>
          </tx>
          <spPr>
            <a:ln xmlns:a="http://schemas.openxmlformats.org/drawingml/2006/main" w="18000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'75_FL737261AF'!$M$18:$M$27</f>
            </numRef>
          </xVal>
          <yVal>
            <numRef>
              <f>'75_FL737261AF'!$P$18:$P$27</f>
            </numRef>
          </yVal>
        </ser>
        <ser>
          <idx val="3"/>
          <order val="3"/>
          <tx>
            <strRef>
              <f>'75_FL737261AF'!Q17</f>
            </strRef>
          </tx>
          <spPr>
            <a:ln xmlns:a="http://schemas.openxmlformats.org/drawingml/2006/main" w="18000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'75_FL737261AF'!$M$18:$M$27</f>
            </numRef>
          </xVal>
          <yVal>
            <numRef>
              <f>'75_FL737261AF'!$Q$18:$Q$27</f>
            </numRef>
          </yVal>
        </ser>
        <ser>
          <idx val="4"/>
          <order val="4"/>
          <tx>
            <strRef>
              <f>'75_FL737261AF'!R17</f>
            </strRef>
          </tx>
          <spPr>
            <a:ln xmlns:a="http://schemas.openxmlformats.org/drawingml/2006/main" w="18000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'75_FL737261AF'!$M$18:$M$27</f>
            </numRef>
          </xVal>
          <yVal>
            <numRef>
              <f>'75_FL737261AF'!$R$18:$R$27</f>
            </numRef>
          </yVal>
        </ser>
        <ser>
          <idx val="5"/>
          <order val="5"/>
          <tx>
            <strRef>
              <f>'75_FL737261AF'!S17</f>
            </strRef>
          </tx>
          <spPr>
            <a:ln xmlns:a="http://schemas.openxmlformats.org/drawingml/2006/main" w="18000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'75_FL737261AF'!$M$18:$M$27</f>
            </numRef>
          </xVal>
          <yVal>
            <numRef>
              <f>'75_FL737261AF'!$S$18:$S$27</f>
            </numRef>
          </yVal>
        </ser>
        <ser>
          <idx val="6"/>
          <order val="6"/>
          <tx>
            <strRef>
              <f>'75_FL737261AF'!T17</f>
            </strRef>
          </tx>
          <spPr>
            <a:ln xmlns:a="http://schemas.openxmlformats.org/drawingml/2006/main" w="18000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'75_FL737261AF'!$M$18:$M$27</f>
            </numRef>
          </xVal>
          <yVal>
            <numRef>
              <f>'75_FL737261AF'!$T$18:$T$27</f>
            </numRef>
          </yVal>
        </ser>
        <ser>
          <idx val="7"/>
          <order val="7"/>
          <tx>
            <strRef>
              <f>'75_FL737261AF'!U17</f>
            </strRef>
          </tx>
          <spPr>
            <a:ln xmlns:a="http://schemas.openxmlformats.org/drawingml/2006/main" w="18000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'75_FL737261AF'!$M$18:$M$27</f>
            </numRef>
          </xVal>
          <yVal>
            <numRef>
              <f>'75_FL737261AF'!$U$18:$U$27</f>
            </numRef>
          </yVal>
        </ser>
        <ser>
          <idx val="8"/>
          <order val="8"/>
          <tx>
            <strRef>
              <f>'75_FL737261AF'!V17</f>
            </strRef>
          </tx>
          <spPr>
            <a:ln xmlns:a="http://schemas.openxmlformats.org/drawingml/2006/main" w="18000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'75_FL737261AF'!$M$18:$M$27</f>
            </numRef>
          </xVal>
          <yVal>
            <numRef>
              <f>'75_FL737261AF'!$V$18:$V$27</f>
            </numRef>
          </yVal>
        </ser>
        <ser>
          <idx val="9"/>
          <order val="9"/>
          <tx>
            <strRef>
              <f>'75_FL737261AF'!W17</f>
            </strRef>
          </tx>
          <spPr>
            <a:ln xmlns:a="http://schemas.openxmlformats.org/drawingml/2006/main" w="18000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'75_FL737261AF'!$M$18:$M$27</f>
            </numRef>
          </xVal>
          <yVal>
            <numRef>
              <f>'75_FL737261AF'!$W$18:$W$27</f>
            </numRef>
          </yVal>
        </ser>
        <ser>
          <idx val="10"/>
          <order val="10"/>
          <tx>
            <strRef>
              <f>'75_FL737261AF'!X17</f>
            </strRef>
          </tx>
          <spPr>
            <a:ln xmlns:a="http://schemas.openxmlformats.org/drawingml/2006/main" w="18000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'75_FL737261AF'!$M$18:$M$27</f>
            </numRef>
          </xVal>
          <yVal>
            <numRef>
              <f>'75_FL737261AF'!$X$18:$X$27</f>
            </numRef>
          </yVal>
        </ser>
        <ser>
          <idx val="11"/>
          <order val="11"/>
          <tx>
            <strRef>
              <f>'75_FL737261AF'!Y17</f>
            </strRef>
          </tx>
          <spPr>
            <a:ln xmlns:a="http://schemas.openxmlformats.org/drawingml/2006/main" w="18000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'75_FL737261AF'!$M$18:$M$27</f>
            </numRef>
          </xVal>
          <yVal>
            <numRef>
              <f>'75_FL737261AF'!$Y$18:$Y$27</f>
            </numRef>
          </yVal>
        </ser>
        <axId val="10"/>
        <axId val="20"/>
      </scatterChart>
      <valAx>
        <axId val="10"/>
        <scaling>
          <logBase val="10"/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Duration (min)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logBase val="10"/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Intensity (mm/hr)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5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Catchment-style IDF - Gauge 76 (FL933320AF)</a:t>
            </a:r>
          </a:p>
        </rich>
      </tx>
    </title>
    <plotArea>
      <scatterChart>
        <ser>
          <idx val="0"/>
          <order val="0"/>
          <tx>
            <strRef>
              <f>'76_FL933320AF'!N17</f>
            </strRef>
          </tx>
          <spPr>
            <a:ln xmlns:a="http://schemas.openxmlformats.org/drawingml/2006/main" w="18000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'76_FL933320AF'!$M$18:$M$27</f>
            </numRef>
          </xVal>
          <yVal>
            <numRef>
              <f>'76_FL933320AF'!$N$18:$N$27</f>
            </numRef>
          </yVal>
        </ser>
        <ser>
          <idx val="1"/>
          <order val="1"/>
          <tx>
            <strRef>
              <f>'76_FL933320AF'!O17</f>
            </strRef>
          </tx>
          <spPr>
            <a:ln xmlns:a="http://schemas.openxmlformats.org/drawingml/2006/main" w="18000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'76_FL933320AF'!$M$18:$M$27</f>
            </numRef>
          </xVal>
          <yVal>
            <numRef>
              <f>'76_FL933320AF'!$O$18:$O$27</f>
            </numRef>
          </yVal>
        </ser>
        <ser>
          <idx val="2"/>
          <order val="2"/>
          <tx>
            <strRef>
              <f>'76_FL933320AF'!P17</f>
            </strRef>
          </tx>
          <spPr>
            <a:ln xmlns:a="http://schemas.openxmlformats.org/drawingml/2006/main" w="18000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'76_FL933320AF'!$M$18:$M$27</f>
            </numRef>
          </xVal>
          <yVal>
            <numRef>
              <f>'76_FL933320AF'!$P$18:$P$27</f>
            </numRef>
          </yVal>
        </ser>
        <ser>
          <idx val="3"/>
          <order val="3"/>
          <tx>
            <strRef>
              <f>'76_FL933320AF'!Q17</f>
            </strRef>
          </tx>
          <spPr>
            <a:ln xmlns:a="http://schemas.openxmlformats.org/drawingml/2006/main" w="18000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'76_FL933320AF'!$M$18:$M$27</f>
            </numRef>
          </xVal>
          <yVal>
            <numRef>
              <f>'76_FL933320AF'!$Q$18:$Q$27</f>
            </numRef>
          </yVal>
        </ser>
        <ser>
          <idx val="4"/>
          <order val="4"/>
          <tx>
            <strRef>
              <f>'76_FL933320AF'!R17</f>
            </strRef>
          </tx>
          <spPr>
            <a:ln xmlns:a="http://schemas.openxmlformats.org/drawingml/2006/main" w="18000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'76_FL933320AF'!$M$18:$M$27</f>
            </numRef>
          </xVal>
          <yVal>
            <numRef>
              <f>'76_FL933320AF'!$R$18:$R$27</f>
            </numRef>
          </yVal>
        </ser>
        <ser>
          <idx val="5"/>
          <order val="5"/>
          <tx>
            <strRef>
              <f>'76_FL933320AF'!S17</f>
            </strRef>
          </tx>
          <spPr>
            <a:ln xmlns:a="http://schemas.openxmlformats.org/drawingml/2006/main" w="18000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'76_FL933320AF'!$M$18:$M$27</f>
            </numRef>
          </xVal>
          <yVal>
            <numRef>
              <f>'76_FL933320AF'!$S$18:$S$27</f>
            </numRef>
          </yVal>
        </ser>
        <ser>
          <idx val="6"/>
          <order val="6"/>
          <tx>
            <strRef>
              <f>'76_FL933320AF'!T17</f>
            </strRef>
          </tx>
          <spPr>
            <a:ln xmlns:a="http://schemas.openxmlformats.org/drawingml/2006/main" w="18000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'76_FL933320AF'!$M$18:$M$27</f>
            </numRef>
          </xVal>
          <yVal>
            <numRef>
              <f>'76_FL933320AF'!$T$18:$T$27</f>
            </numRef>
          </yVal>
        </ser>
        <ser>
          <idx val="7"/>
          <order val="7"/>
          <tx>
            <strRef>
              <f>'76_FL933320AF'!U17</f>
            </strRef>
          </tx>
          <spPr>
            <a:ln xmlns:a="http://schemas.openxmlformats.org/drawingml/2006/main" w="18000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'76_FL933320AF'!$M$18:$M$27</f>
            </numRef>
          </xVal>
          <yVal>
            <numRef>
              <f>'76_FL933320AF'!$U$18:$U$27</f>
            </numRef>
          </yVal>
        </ser>
        <ser>
          <idx val="8"/>
          <order val="8"/>
          <tx>
            <strRef>
              <f>'76_FL933320AF'!V17</f>
            </strRef>
          </tx>
          <spPr>
            <a:ln xmlns:a="http://schemas.openxmlformats.org/drawingml/2006/main" w="18000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'76_FL933320AF'!$M$18:$M$27</f>
            </numRef>
          </xVal>
          <yVal>
            <numRef>
              <f>'76_FL933320AF'!$V$18:$V$27</f>
            </numRef>
          </yVal>
        </ser>
        <ser>
          <idx val="9"/>
          <order val="9"/>
          <tx>
            <strRef>
              <f>'76_FL933320AF'!W17</f>
            </strRef>
          </tx>
          <spPr>
            <a:ln xmlns:a="http://schemas.openxmlformats.org/drawingml/2006/main" w="18000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'76_FL933320AF'!$M$18:$M$27</f>
            </numRef>
          </xVal>
          <yVal>
            <numRef>
              <f>'76_FL933320AF'!$W$18:$W$27</f>
            </numRef>
          </yVal>
        </ser>
        <ser>
          <idx val="10"/>
          <order val="10"/>
          <tx>
            <strRef>
              <f>'76_FL933320AF'!X17</f>
            </strRef>
          </tx>
          <spPr>
            <a:ln xmlns:a="http://schemas.openxmlformats.org/drawingml/2006/main" w="18000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'76_FL933320AF'!$M$18:$M$27</f>
            </numRef>
          </xVal>
          <yVal>
            <numRef>
              <f>'76_FL933320AF'!$X$18:$X$27</f>
            </numRef>
          </yVal>
        </ser>
        <ser>
          <idx val="11"/>
          <order val="11"/>
          <tx>
            <strRef>
              <f>'76_FL933320AF'!Y17</f>
            </strRef>
          </tx>
          <spPr>
            <a:ln xmlns:a="http://schemas.openxmlformats.org/drawingml/2006/main" w="18000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'76_FL933320AF'!$M$18:$M$27</f>
            </numRef>
          </xVal>
          <yVal>
            <numRef>
              <f>'76_FL933320AF'!$Y$18:$Y$27</f>
            </numRef>
          </yVal>
        </ser>
        <axId val="10"/>
        <axId val="20"/>
      </scatterChart>
      <valAx>
        <axId val="10"/>
        <scaling>
          <logBase val="10"/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Duration (min)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logBase val="10"/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Intensity (mm/hr)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6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Catchment-style IDF - Gauge 83 (FL527473AF)</a:t>
            </a:r>
          </a:p>
        </rich>
      </tx>
    </title>
    <plotArea>
      <scatterChart>
        <ser>
          <idx val="0"/>
          <order val="0"/>
          <tx>
            <strRef>
              <f>'83_FL527473AF'!N17</f>
            </strRef>
          </tx>
          <spPr>
            <a:ln xmlns:a="http://schemas.openxmlformats.org/drawingml/2006/main" w="18000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'83_FL527473AF'!$M$18:$M$27</f>
            </numRef>
          </xVal>
          <yVal>
            <numRef>
              <f>'83_FL527473AF'!$N$18:$N$27</f>
            </numRef>
          </yVal>
        </ser>
        <ser>
          <idx val="1"/>
          <order val="1"/>
          <tx>
            <strRef>
              <f>'83_FL527473AF'!O17</f>
            </strRef>
          </tx>
          <spPr>
            <a:ln xmlns:a="http://schemas.openxmlformats.org/drawingml/2006/main" w="18000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'83_FL527473AF'!$M$18:$M$27</f>
            </numRef>
          </xVal>
          <yVal>
            <numRef>
              <f>'83_FL527473AF'!$O$18:$O$27</f>
            </numRef>
          </yVal>
        </ser>
        <ser>
          <idx val="2"/>
          <order val="2"/>
          <tx>
            <strRef>
              <f>'83_FL527473AF'!P17</f>
            </strRef>
          </tx>
          <spPr>
            <a:ln xmlns:a="http://schemas.openxmlformats.org/drawingml/2006/main" w="18000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'83_FL527473AF'!$M$18:$M$27</f>
            </numRef>
          </xVal>
          <yVal>
            <numRef>
              <f>'83_FL527473AF'!$P$18:$P$27</f>
            </numRef>
          </yVal>
        </ser>
        <ser>
          <idx val="3"/>
          <order val="3"/>
          <tx>
            <strRef>
              <f>'83_FL527473AF'!Q17</f>
            </strRef>
          </tx>
          <spPr>
            <a:ln xmlns:a="http://schemas.openxmlformats.org/drawingml/2006/main" w="18000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'83_FL527473AF'!$M$18:$M$27</f>
            </numRef>
          </xVal>
          <yVal>
            <numRef>
              <f>'83_FL527473AF'!$Q$18:$Q$27</f>
            </numRef>
          </yVal>
        </ser>
        <ser>
          <idx val="4"/>
          <order val="4"/>
          <tx>
            <strRef>
              <f>'83_FL527473AF'!R17</f>
            </strRef>
          </tx>
          <spPr>
            <a:ln xmlns:a="http://schemas.openxmlformats.org/drawingml/2006/main" w="18000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'83_FL527473AF'!$M$18:$M$27</f>
            </numRef>
          </xVal>
          <yVal>
            <numRef>
              <f>'83_FL527473AF'!$R$18:$R$27</f>
            </numRef>
          </yVal>
        </ser>
        <ser>
          <idx val="5"/>
          <order val="5"/>
          <tx>
            <strRef>
              <f>'83_FL527473AF'!S17</f>
            </strRef>
          </tx>
          <spPr>
            <a:ln xmlns:a="http://schemas.openxmlformats.org/drawingml/2006/main" w="18000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'83_FL527473AF'!$M$18:$M$27</f>
            </numRef>
          </xVal>
          <yVal>
            <numRef>
              <f>'83_FL527473AF'!$S$18:$S$27</f>
            </numRef>
          </yVal>
        </ser>
        <ser>
          <idx val="6"/>
          <order val="6"/>
          <tx>
            <strRef>
              <f>'83_FL527473AF'!T17</f>
            </strRef>
          </tx>
          <spPr>
            <a:ln xmlns:a="http://schemas.openxmlformats.org/drawingml/2006/main" w="18000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'83_FL527473AF'!$M$18:$M$27</f>
            </numRef>
          </xVal>
          <yVal>
            <numRef>
              <f>'83_FL527473AF'!$T$18:$T$27</f>
            </numRef>
          </yVal>
        </ser>
        <ser>
          <idx val="7"/>
          <order val="7"/>
          <tx>
            <strRef>
              <f>'83_FL527473AF'!U17</f>
            </strRef>
          </tx>
          <spPr>
            <a:ln xmlns:a="http://schemas.openxmlformats.org/drawingml/2006/main" w="18000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'83_FL527473AF'!$M$18:$M$27</f>
            </numRef>
          </xVal>
          <yVal>
            <numRef>
              <f>'83_FL527473AF'!$U$18:$U$27</f>
            </numRef>
          </yVal>
        </ser>
        <ser>
          <idx val="8"/>
          <order val="8"/>
          <tx>
            <strRef>
              <f>'83_FL527473AF'!V17</f>
            </strRef>
          </tx>
          <spPr>
            <a:ln xmlns:a="http://schemas.openxmlformats.org/drawingml/2006/main" w="18000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'83_FL527473AF'!$M$18:$M$27</f>
            </numRef>
          </xVal>
          <yVal>
            <numRef>
              <f>'83_FL527473AF'!$V$18:$V$27</f>
            </numRef>
          </yVal>
        </ser>
        <ser>
          <idx val="9"/>
          <order val="9"/>
          <tx>
            <strRef>
              <f>'83_FL527473AF'!W17</f>
            </strRef>
          </tx>
          <spPr>
            <a:ln xmlns:a="http://schemas.openxmlformats.org/drawingml/2006/main" w="18000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'83_FL527473AF'!$M$18:$M$27</f>
            </numRef>
          </xVal>
          <yVal>
            <numRef>
              <f>'83_FL527473AF'!$W$18:$W$27</f>
            </numRef>
          </yVal>
        </ser>
        <ser>
          <idx val="10"/>
          <order val="10"/>
          <tx>
            <strRef>
              <f>'83_FL527473AF'!X17</f>
            </strRef>
          </tx>
          <spPr>
            <a:ln xmlns:a="http://schemas.openxmlformats.org/drawingml/2006/main" w="18000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'83_FL527473AF'!$M$18:$M$27</f>
            </numRef>
          </xVal>
          <yVal>
            <numRef>
              <f>'83_FL527473AF'!$X$18:$X$27</f>
            </numRef>
          </yVal>
        </ser>
        <ser>
          <idx val="11"/>
          <order val="11"/>
          <tx>
            <strRef>
              <f>'83_FL527473AF'!Y17</f>
            </strRef>
          </tx>
          <spPr>
            <a:ln xmlns:a="http://schemas.openxmlformats.org/drawingml/2006/main" w="18000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'83_FL527473AF'!$M$18:$M$27</f>
            </numRef>
          </xVal>
          <yVal>
            <numRef>
              <f>'83_FL527473AF'!$Y$18:$Y$27</f>
            </numRef>
          </yVal>
        </ser>
        <axId val="10"/>
        <axId val="20"/>
      </scatterChart>
      <valAx>
        <axId val="10"/>
        <scaling>
          <logBase val="10"/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Duration (min)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logBase val="10"/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Intensity (mm/hr)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7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Catchment-style IDF - Gauge 85 (FL921766AF)</a:t>
            </a:r>
          </a:p>
        </rich>
      </tx>
    </title>
    <plotArea>
      <scatterChart>
        <ser>
          <idx val="0"/>
          <order val="0"/>
          <tx>
            <strRef>
              <f>'85_FL921766AF'!N17</f>
            </strRef>
          </tx>
          <spPr>
            <a:ln xmlns:a="http://schemas.openxmlformats.org/drawingml/2006/main" w="18000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'85_FL921766AF'!$M$18:$M$27</f>
            </numRef>
          </xVal>
          <yVal>
            <numRef>
              <f>'85_FL921766AF'!$N$18:$N$27</f>
            </numRef>
          </yVal>
        </ser>
        <ser>
          <idx val="1"/>
          <order val="1"/>
          <tx>
            <strRef>
              <f>'85_FL921766AF'!O17</f>
            </strRef>
          </tx>
          <spPr>
            <a:ln xmlns:a="http://schemas.openxmlformats.org/drawingml/2006/main" w="18000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'85_FL921766AF'!$M$18:$M$27</f>
            </numRef>
          </xVal>
          <yVal>
            <numRef>
              <f>'85_FL921766AF'!$O$18:$O$27</f>
            </numRef>
          </yVal>
        </ser>
        <ser>
          <idx val="2"/>
          <order val="2"/>
          <tx>
            <strRef>
              <f>'85_FL921766AF'!P17</f>
            </strRef>
          </tx>
          <spPr>
            <a:ln xmlns:a="http://schemas.openxmlformats.org/drawingml/2006/main" w="18000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'85_FL921766AF'!$M$18:$M$27</f>
            </numRef>
          </xVal>
          <yVal>
            <numRef>
              <f>'85_FL921766AF'!$P$18:$P$27</f>
            </numRef>
          </yVal>
        </ser>
        <ser>
          <idx val="3"/>
          <order val="3"/>
          <tx>
            <strRef>
              <f>'85_FL921766AF'!Q17</f>
            </strRef>
          </tx>
          <spPr>
            <a:ln xmlns:a="http://schemas.openxmlformats.org/drawingml/2006/main" w="18000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'85_FL921766AF'!$M$18:$M$27</f>
            </numRef>
          </xVal>
          <yVal>
            <numRef>
              <f>'85_FL921766AF'!$Q$18:$Q$27</f>
            </numRef>
          </yVal>
        </ser>
        <ser>
          <idx val="4"/>
          <order val="4"/>
          <tx>
            <strRef>
              <f>'85_FL921766AF'!R17</f>
            </strRef>
          </tx>
          <spPr>
            <a:ln xmlns:a="http://schemas.openxmlformats.org/drawingml/2006/main" w="18000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'85_FL921766AF'!$M$18:$M$27</f>
            </numRef>
          </xVal>
          <yVal>
            <numRef>
              <f>'85_FL921766AF'!$R$18:$R$27</f>
            </numRef>
          </yVal>
        </ser>
        <ser>
          <idx val="5"/>
          <order val="5"/>
          <tx>
            <strRef>
              <f>'85_FL921766AF'!S17</f>
            </strRef>
          </tx>
          <spPr>
            <a:ln xmlns:a="http://schemas.openxmlformats.org/drawingml/2006/main" w="18000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'85_FL921766AF'!$M$18:$M$27</f>
            </numRef>
          </xVal>
          <yVal>
            <numRef>
              <f>'85_FL921766AF'!$S$18:$S$27</f>
            </numRef>
          </yVal>
        </ser>
        <ser>
          <idx val="6"/>
          <order val="6"/>
          <tx>
            <strRef>
              <f>'85_FL921766AF'!T17</f>
            </strRef>
          </tx>
          <spPr>
            <a:ln xmlns:a="http://schemas.openxmlformats.org/drawingml/2006/main" w="18000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'85_FL921766AF'!$M$18:$M$27</f>
            </numRef>
          </xVal>
          <yVal>
            <numRef>
              <f>'85_FL921766AF'!$T$18:$T$27</f>
            </numRef>
          </yVal>
        </ser>
        <ser>
          <idx val="7"/>
          <order val="7"/>
          <tx>
            <strRef>
              <f>'85_FL921766AF'!U17</f>
            </strRef>
          </tx>
          <spPr>
            <a:ln xmlns:a="http://schemas.openxmlformats.org/drawingml/2006/main" w="18000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'85_FL921766AF'!$M$18:$M$27</f>
            </numRef>
          </xVal>
          <yVal>
            <numRef>
              <f>'85_FL921766AF'!$U$18:$U$27</f>
            </numRef>
          </yVal>
        </ser>
        <ser>
          <idx val="8"/>
          <order val="8"/>
          <tx>
            <strRef>
              <f>'85_FL921766AF'!V17</f>
            </strRef>
          </tx>
          <spPr>
            <a:ln xmlns:a="http://schemas.openxmlformats.org/drawingml/2006/main" w="18000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'85_FL921766AF'!$M$18:$M$27</f>
            </numRef>
          </xVal>
          <yVal>
            <numRef>
              <f>'85_FL921766AF'!$V$18:$V$27</f>
            </numRef>
          </yVal>
        </ser>
        <ser>
          <idx val="9"/>
          <order val="9"/>
          <tx>
            <strRef>
              <f>'85_FL921766AF'!W17</f>
            </strRef>
          </tx>
          <spPr>
            <a:ln xmlns:a="http://schemas.openxmlformats.org/drawingml/2006/main" w="18000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'85_FL921766AF'!$M$18:$M$27</f>
            </numRef>
          </xVal>
          <yVal>
            <numRef>
              <f>'85_FL921766AF'!$W$18:$W$27</f>
            </numRef>
          </yVal>
        </ser>
        <ser>
          <idx val="10"/>
          <order val="10"/>
          <tx>
            <strRef>
              <f>'85_FL921766AF'!X17</f>
            </strRef>
          </tx>
          <spPr>
            <a:ln xmlns:a="http://schemas.openxmlformats.org/drawingml/2006/main" w="18000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'85_FL921766AF'!$M$18:$M$27</f>
            </numRef>
          </xVal>
          <yVal>
            <numRef>
              <f>'85_FL921766AF'!$X$18:$X$27</f>
            </numRef>
          </yVal>
        </ser>
        <ser>
          <idx val="11"/>
          <order val="11"/>
          <tx>
            <strRef>
              <f>'85_FL921766AF'!Y17</f>
            </strRef>
          </tx>
          <spPr>
            <a:ln xmlns:a="http://schemas.openxmlformats.org/drawingml/2006/main" w="18000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'85_FL921766AF'!$M$18:$M$27</f>
            </numRef>
          </xVal>
          <yVal>
            <numRef>
              <f>'85_FL921766AF'!$Y$18:$Y$27</f>
            </numRef>
          </yVal>
        </ser>
        <axId val="10"/>
        <axId val="20"/>
      </scatterChart>
      <valAx>
        <axId val="10"/>
        <scaling>
          <logBase val="10"/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Duration (min)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logBase val="10"/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Intensity (mm/hr)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/></Relationships>
</file>

<file path=xl/drawings/_rels/drawing6.xml.rels><Relationships xmlns="http://schemas.openxmlformats.org/package/2006/relationships"><Relationship Type="http://schemas.openxmlformats.org/officeDocument/2006/relationships/chart" Target="/xl/charts/chart6.xml" Id="rId1"/></Relationships>
</file>

<file path=xl/drawings/_rels/drawing7.xml.rels><Relationships xmlns="http://schemas.openxmlformats.org/package/2006/relationships"><Relationship Type="http://schemas.openxmlformats.org/officeDocument/2006/relationships/chart" Target="/xl/charts/chart7.xml" Id="rId1"/></Relationships>
</file>

<file path=xl/drawings/_rels/drawing8.xml.rels><Relationships xmlns="http://schemas.openxmlformats.org/package/2006/relationships"><Relationship Type="http://schemas.openxmlformats.org/officeDocument/2006/relationships/chart" Target="/xl/charts/chart8.xml" Id="rId1"/></Relationships>
</file>

<file path=xl/drawings/_rels/drawing9.xml.rels><Relationships xmlns="http://schemas.openxmlformats.org/package/2006/relationships"><Relationship Type="http://schemas.openxmlformats.org/officeDocument/2006/relationships/chart" Target="/xl/charts/chart9.xml" Id="rId1"/></Relationships>
</file>

<file path=xl/drawings/_rels/drawing10.xml.rels><Relationships xmlns="http://schemas.openxmlformats.org/package/2006/relationships"><Relationship Type="http://schemas.openxmlformats.org/officeDocument/2006/relationships/chart" Target="/xl/charts/chart10.xml" Id="rId1"/></Relationships>
</file>

<file path=xl/drawings/_rels/drawing11.xml.rels><Relationships xmlns="http://schemas.openxmlformats.org/package/2006/relationships"><Relationship Type="http://schemas.openxmlformats.org/officeDocument/2006/relationships/chart" Target="/xl/charts/chart11.xml" Id="rId1"/></Relationships>
</file>

<file path=xl/drawings/_rels/drawing12.xml.rels><Relationships xmlns="http://schemas.openxmlformats.org/package/2006/relationships"><Relationship Type="http://schemas.openxmlformats.org/officeDocument/2006/relationships/chart" Target="/xl/charts/chart12.xml" Id="rId1"/></Relationships>
</file>

<file path=xl/drawings/_rels/drawing13.xml.rels><Relationships xmlns="http://schemas.openxmlformats.org/package/2006/relationships"><Relationship Type="http://schemas.openxmlformats.org/officeDocument/2006/relationships/chart" Target="/xl/charts/chart13.xml" Id="rId1"/></Relationships>
</file>

<file path=xl/drawings/_rels/drawing14.xml.rels><Relationships xmlns="http://schemas.openxmlformats.org/package/2006/relationships"><Relationship Type="http://schemas.openxmlformats.org/officeDocument/2006/relationships/chart" Target="/xl/charts/chart14.xml" Id="rId1"/></Relationships>
</file>

<file path=xl/drawings/_rels/drawing15.xml.rels><Relationships xmlns="http://schemas.openxmlformats.org/package/2006/relationships"><Relationship Type="http://schemas.openxmlformats.org/officeDocument/2006/relationships/chart" Target="/xl/charts/chart15.xml" Id="rId1"/></Relationships>
</file>

<file path=xl/drawings/_rels/drawing16.xml.rels><Relationships xmlns="http://schemas.openxmlformats.org/package/2006/relationships"><Relationship Type="http://schemas.openxmlformats.org/officeDocument/2006/relationships/chart" Target="/xl/charts/chart16.xml" Id="rId1"/></Relationships>
</file>

<file path=xl/drawings/_rels/drawing17.xml.rels><Relationships xmlns="http://schemas.openxmlformats.org/package/2006/relationships"><Relationship Type="http://schemas.openxmlformats.org/officeDocument/2006/relationships/chart" Target="/xl/charts/chart17.xml" Id="rId1"/></Relationships>
</file>

<file path=xl/drawings/_rels/drawing18.xml.rels><Relationships xmlns="http://schemas.openxmlformats.org/package/2006/relationships"><Relationship Type="http://schemas.openxmlformats.org/officeDocument/2006/relationships/chart" Target="/xl/charts/chart18.xml" Id="rId1"/></Relationships>
</file>

<file path=xl/drawings/_rels/drawing19.xml.rels><Relationships xmlns="http://schemas.openxmlformats.org/package/2006/relationships"><Relationship Type="http://schemas.openxmlformats.org/officeDocument/2006/relationships/chart" Target="/xl/charts/chart19.xml" Id="rId1"/></Relationships>
</file>

<file path=xl/drawings/_rels/drawing20.xml.rels><Relationships xmlns="http://schemas.openxmlformats.org/package/2006/relationships"><Relationship Type="http://schemas.openxmlformats.org/officeDocument/2006/relationships/chart" Target="/xl/charts/chart20.xml" Id="rId1"/></Relationships>
</file>

<file path=xl/drawings/_rels/drawing21.xml.rels><Relationships xmlns="http://schemas.openxmlformats.org/package/2006/relationships"><Relationship Type="http://schemas.openxmlformats.org/officeDocument/2006/relationships/chart" Target="/xl/charts/chart21.xml" Id="rId1"/></Relationships>
</file>

<file path=xl/drawings/_rels/drawing22.xml.rels><Relationships xmlns="http://schemas.openxmlformats.org/package/2006/relationships"><Relationship Type="http://schemas.openxmlformats.org/officeDocument/2006/relationships/chart" Target="/xl/charts/chart22.xml" Id="rId1"/></Relationships>
</file>

<file path=xl/drawings/_rels/drawing23.xml.rels><Relationships xmlns="http://schemas.openxmlformats.org/package/2006/relationships"><Relationship Type="http://schemas.openxmlformats.org/officeDocument/2006/relationships/chart" Target="/xl/charts/chart23.xml" Id="rId1"/></Relationships>
</file>

<file path=xl/drawings/_rels/drawing24.xml.rels><Relationships xmlns="http://schemas.openxmlformats.org/package/2006/relationships"><Relationship Type="http://schemas.openxmlformats.org/officeDocument/2006/relationships/chart" Target="/xl/charts/chart24.xml" Id="rId1"/></Relationships>
</file>

<file path=xl/drawings/_rels/drawing25.xml.rels><Relationships xmlns="http://schemas.openxmlformats.org/package/2006/relationships"><Relationship Type="http://schemas.openxmlformats.org/officeDocument/2006/relationships/chart" Target="/xl/charts/chart25.xml" Id="rId1"/></Relationships>
</file>

<file path=xl/drawings/_rels/drawing26.xml.rels><Relationships xmlns="http://schemas.openxmlformats.org/package/2006/relationships"><Relationship Type="http://schemas.openxmlformats.org/officeDocument/2006/relationships/chart" Target="/xl/charts/chart26.xml" Id="rId1"/></Relationships>
</file>

<file path=xl/drawings/_rels/drawing27.xml.rels><Relationships xmlns="http://schemas.openxmlformats.org/package/2006/relationships"><Relationship Type="http://schemas.openxmlformats.org/officeDocument/2006/relationships/chart" Target="/xl/charts/chart27.xml" Id="rId1"/></Relationships>
</file>

<file path=xl/drawings/_rels/drawing28.xml.rels><Relationships xmlns="http://schemas.openxmlformats.org/package/2006/relationships"><Relationship Type="http://schemas.openxmlformats.org/officeDocument/2006/relationships/chart" Target="/xl/charts/chart28.xml" Id="rId1"/></Relationships>
</file>

<file path=xl/drawings/_rels/drawing29.xml.rels><Relationships xmlns="http://schemas.openxmlformats.org/package/2006/relationships"><Relationship Type="http://schemas.openxmlformats.org/officeDocument/2006/relationships/chart" Target="/xl/charts/chart29.xml" Id="rId1"/></Relationships>
</file>

<file path=xl/drawings/_rels/drawing30.xml.rels><Relationships xmlns="http://schemas.openxmlformats.org/package/2006/relationships"><Relationship Type="http://schemas.openxmlformats.org/officeDocument/2006/relationships/chart" Target="/xl/charts/chart30.xml" Id="rId1"/></Relationships>
</file>

<file path=xl/drawings/_rels/drawing31.xml.rels><Relationships xmlns="http://schemas.openxmlformats.org/package/2006/relationships"><Relationship Type="http://schemas.openxmlformats.org/officeDocument/2006/relationships/chart" Target="/xl/charts/chart31.xml" Id="rId1"/></Relationships>
</file>

<file path=xl/drawings/_rels/drawing32.xml.rels><Relationships xmlns="http://schemas.openxmlformats.org/package/2006/relationships"><Relationship Type="http://schemas.openxmlformats.org/officeDocument/2006/relationships/chart" Target="/xl/charts/chart32.xml" Id="rId1"/></Relationships>
</file>

<file path=xl/drawings/_rels/drawing33.xml.rels><Relationships xmlns="http://schemas.openxmlformats.org/package/2006/relationships"><Relationship Type="http://schemas.openxmlformats.org/officeDocument/2006/relationships/chart" Target="/xl/charts/chart33.xml" Id="rId1"/></Relationships>
</file>

<file path=xl/drawings/_rels/drawing34.xml.rels><Relationships xmlns="http://schemas.openxmlformats.org/package/2006/relationships"><Relationship Type="http://schemas.openxmlformats.org/officeDocument/2006/relationships/chart" Target="/xl/charts/chart34.xml" Id="rId1"/></Relationships>
</file>

<file path=xl/drawings/_rels/drawing35.xml.rels><Relationships xmlns="http://schemas.openxmlformats.org/package/2006/relationships"><Relationship Type="http://schemas.openxmlformats.org/officeDocument/2006/relationships/chart" Target="/xl/charts/chart35.xml" Id="rId1"/></Relationships>
</file>

<file path=xl/drawings/_rels/drawing36.xml.rels><Relationships xmlns="http://schemas.openxmlformats.org/package/2006/relationships"><Relationship Type="http://schemas.openxmlformats.org/officeDocument/2006/relationships/chart" Target="/xl/charts/chart36.xml" Id="rId1"/></Relationships>
</file>

<file path=xl/drawings/_rels/drawing37.xml.rels><Relationships xmlns="http://schemas.openxmlformats.org/package/2006/relationships"><Relationship Type="http://schemas.openxmlformats.org/officeDocument/2006/relationships/chart" Target="/xl/charts/chart37.xml" Id="rId1"/></Relationships>
</file>

<file path=xl/drawings/_rels/drawing38.xml.rels><Relationships xmlns="http://schemas.openxmlformats.org/package/2006/relationships"><Relationship Type="http://schemas.openxmlformats.org/officeDocument/2006/relationships/chart" Target="/xl/charts/chart38.xml" Id="rId1"/></Relationships>
</file>

<file path=xl/drawings/_rels/drawing39.xml.rels><Relationships xmlns="http://schemas.openxmlformats.org/package/2006/relationships"><Relationship Type="http://schemas.openxmlformats.org/officeDocument/2006/relationships/chart" Target="/xl/charts/chart39.xml" Id="rId1"/></Relationships>
</file>

<file path=xl/drawings/_rels/drawing40.xml.rels><Relationships xmlns="http://schemas.openxmlformats.org/package/2006/relationships"><Relationship Type="http://schemas.openxmlformats.org/officeDocument/2006/relationships/chart" Target="/xl/charts/chart40.xml" Id="rId1"/></Relationships>
</file>

<file path=xl/drawings/_rels/drawing41.xml.rels><Relationships xmlns="http://schemas.openxmlformats.org/package/2006/relationships"><Relationship Type="http://schemas.openxmlformats.org/officeDocument/2006/relationships/chart" Target="/xl/charts/chart41.xml" Id="rId1"/></Relationships>
</file>

<file path=xl/drawings/_rels/drawing42.xml.rels><Relationships xmlns="http://schemas.openxmlformats.org/package/2006/relationships"><Relationship Type="http://schemas.openxmlformats.org/officeDocument/2006/relationships/chart" Target="/xl/charts/chart42.xml" Id="rId1"/></Relationships>
</file>

<file path=xl/drawings/_rels/drawing43.xml.rels><Relationships xmlns="http://schemas.openxmlformats.org/package/2006/relationships"><Relationship Type="http://schemas.openxmlformats.org/officeDocument/2006/relationships/chart" Target="/xl/charts/chart43.xml" Id="rId1"/></Relationships>
</file>

<file path=xl/drawings/_rels/drawing44.xml.rels><Relationships xmlns="http://schemas.openxmlformats.org/package/2006/relationships"><Relationship Type="http://schemas.openxmlformats.org/officeDocument/2006/relationships/chart" Target="/xl/charts/chart44.xml" Id="rId1"/></Relationships>
</file>

<file path=xl/drawings/_rels/drawing45.xml.rels><Relationships xmlns="http://schemas.openxmlformats.org/package/2006/relationships"><Relationship Type="http://schemas.openxmlformats.org/officeDocument/2006/relationships/chart" Target="/xl/charts/chart45.xml" Id="rId1"/></Relationships>
</file>

<file path=xl/drawings/_rels/drawing46.xml.rels><Relationships xmlns="http://schemas.openxmlformats.org/package/2006/relationships"><Relationship Type="http://schemas.openxmlformats.org/officeDocument/2006/relationships/chart" Target="/xl/charts/chart46.xml" Id="rId1"/></Relationships>
</file>

<file path=xl/drawings/_rels/drawing47.xml.rels><Relationships xmlns="http://schemas.openxmlformats.org/package/2006/relationships"><Relationship Type="http://schemas.openxmlformats.org/officeDocument/2006/relationships/chart" Target="/xl/charts/chart47.xml" Id="rId1"/></Relationships>
</file>

<file path=xl/drawings/drawing1.xml><?xml version="1.0" encoding="utf-8"?>
<wsDr xmlns="http://schemas.openxmlformats.org/drawingml/2006/spreadsheetDrawing">
  <oneCellAnchor>
    <from>
      <col>12</col>
      <colOff>0</colOff>
      <row>29</row>
      <rowOff>0</rowOff>
    </from>
    <ext cx="7200000" cy="39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12</col>
      <colOff>0</colOff>
      <row>29</row>
      <rowOff>0</rowOff>
    </from>
    <ext cx="7200000" cy="39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12</col>
      <colOff>0</colOff>
      <row>29</row>
      <rowOff>0</rowOff>
    </from>
    <ext cx="7200000" cy="39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12</col>
      <colOff>0</colOff>
      <row>29</row>
      <rowOff>0</rowOff>
    </from>
    <ext cx="7200000" cy="39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5.xml><?xml version="1.0" encoding="utf-8"?>
<wsDr xmlns="http://schemas.openxmlformats.org/drawingml/2006/spreadsheetDrawing">
  <oneCellAnchor>
    <from>
      <col>12</col>
      <colOff>0</colOff>
      <row>29</row>
      <rowOff>0</rowOff>
    </from>
    <ext cx="7200000" cy="39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6.xml><?xml version="1.0" encoding="utf-8"?>
<wsDr xmlns="http://schemas.openxmlformats.org/drawingml/2006/spreadsheetDrawing">
  <oneCellAnchor>
    <from>
      <col>12</col>
      <colOff>0</colOff>
      <row>29</row>
      <rowOff>0</rowOff>
    </from>
    <ext cx="7200000" cy="39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7.xml><?xml version="1.0" encoding="utf-8"?>
<wsDr xmlns="http://schemas.openxmlformats.org/drawingml/2006/spreadsheetDrawing">
  <oneCellAnchor>
    <from>
      <col>12</col>
      <colOff>0</colOff>
      <row>29</row>
      <rowOff>0</rowOff>
    </from>
    <ext cx="7200000" cy="39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8.xml><?xml version="1.0" encoding="utf-8"?>
<wsDr xmlns="http://schemas.openxmlformats.org/drawingml/2006/spreadsheetDrawing">
  <oneCellAnchor>
    <from>
      <col>12</col>
      <colOff>0</colOff>
      <row>29</row>
      <rowOff>0</rowOff>
    </from>
    <ext cx="7200000" cy="39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9.xml><?xml version="1.0" encoding="utf-8"?>
<wsDr xmlns="http://schemas.openxmlformats.org/drawingml/2006/spreadsheetDrawing">
  <oneCellAnchor>
    <from>
      <col>12</col>
      <colOff>0</colOff>
      <row>29</row>
      <rowOff>0</rowOff>
    </from>
    <ext cx="7200000" cy="39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10.xml><?xml version="1.0" encoding="utf-8"?>
<wsDr xmlns="http://schemas.openxmlformats.org/drawingml/2006/spreadsheetDrawing">
  <oneCellAnchor>
    <from>
      <col>12</col>
      <colOff>0</colOff>
      <row>29</row>
      <rowOff>0</rowOff>
    </from>
    <ext cx="7200000" cy="39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11.xml><?xml version="1.0" encoding="utf-8"?>
<wsDr xmlns="http://schemas.openxmlformats.org/drawingml/2006/spreadsheetDrawing">
  <oneCellAnchor>
    <from>
      <col>12</col>
      <colOff>0</colOff>
      <row>29</row>
      <rowOff>0</rowOff>
    </from>
    <ext cx="7200000" cy="39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12.xml><?xml version="1.0" encoding="utf-8"?>
<wsDr xmlns="http://schemas.openxmlformats.org/drawingml/2006/spreadsheetDrawing">
  <oneCellAnchor>
    <from>
      <col>12</col>
      <colOff>0</colOff>
      <row>29</row>
      <rowOff>0</rowOff>
    </from>
    <ext cx="7200000" cy="39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13.xml><?xml version="1.0" encoding="utf-8"?>
<wsDr xmlns="http://schemas.openxmlformats.org/drawingml/2006/spreadsheetDrawing">
  <oneCellAnchor>
    <from>
      <col>12</col>
      <colOff>0</colOff>
      <row>29</row>
      <rowOff>0</rowOff>
    </from>
    <ext cx="7200000" cy="39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14.xml><?xml version="1.0" encoding="utf-8"?>
<wsDr xmlns="http://schemas.openxmlformats.org/drawingml/2006/spreadsheetDrawing">
  <oneCellAnchor>
    <from>
      <col>12</col>
      <colOff>0</colOff>
      <row>29</row>
      <rowOff>0</rowOff>
    </from>
    <ext cx="7200000" cy="39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15.xml><?xml version="1.0" encoding="utf-8"?>
<wsDr xmlns="http://schemas.openxmlformats.org/drawingml/2006/spreadsheetDrawing">
  <oneCellAnchor>
    <from>
      <col>12</col>
      <colOff>0</colOff>
      <row>29</row>
      <rowOff>0</rowOff>
    </from>
    <ext cx="7200000" cy="39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16.xml><?xml version="1.0" encoding="utf-8"?>
<wsDr xmlns="http://schemas.openxmlformats.org/drawingml/2006/spreadsheetDrawing">
  <oneCellAnchor>
    <from>
      <col>12</col>
      <colOff>0</colOff>
      <row>29</row>
      <rowOff>0</rowOff>
    </from>
    <ext cx="7200000" cy="39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17.xml><?xml version="1.0" encoding="utf-8"?>
<wsDr xmlns="http://schemas.openxmlformats.org/drawingml/2006/spreadsheetDrawing">
  <oneCellAnchor>
    <from>
      <col>12</col>
      <colOff>0</colOff>
      <row>29</row>
      <rowOff>0</rowOff>
    </from>
    <ext cx="7200000" cy="39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18.xml><?xml version="1.0" encoding="utf-8"?>
<wsDr xmlns="http://schemas.openxmlformats.org/drawingml/2006/spreadsheetDrawing">
  <oneCellAnchor>
    <from>
      <col>12</col>
      <colOff>0</colOff>
      <row>29</row>
      <rowOff>0</rowOff>
    </from>
    <ext cx="7200000" cy="39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19.xml><?xml version="1.0" encoding="utf-8"?>
<wsDr xmlns="http://schemas.openxmlformats.org/drawingml/2006/spreadsheetDrawing">
  <oneCellAnchor>
    <from>
      <col>12</col>
      <colOff>0</colOff>
      <row>29</row>
      <rowOff>0</rowOff>
    </from>
    <ext cx="7200000" cy="39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0.xml><?xml version="1.0" encoding="utf-8"?>
<wsDr xmlns="http://schemas.openxmlformats.org/drawingml/2006/spreadsheetDrawing">
  <oneCellAnchor>
    <from>
      <col>12</col>
      <colOff>0</colOff>
      <row>29</row>
      <rowOff>0</rowOff>
    </from>
    <ext cx="7200000" cy="39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1.xml><?xml version="1.0" encoding="utf-8"?>
<wsDr xmlns="http://schemas.openxmlformats.org/drawingml/2006/spreadsheetDrawing">
  <oneCellAnchor>
    <from>
      <col>12</col>
      <colOff>0</colOff>
      <row>29</row>
      <rowOff>0</rowOff>
    </from>
    <ext cx="7200000" cy="39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2.xml><?xml version="1.0" encoding="utf-8"?>
<wsDr xmlns="http://schemas.openxmlformats.org/drawingml/2006/spreadsheetDrawing">
  <oneCellAnchor>
    <from>
      <col>12</col>
      <colOff>0</colOff>
      <row>29</row>
      <rowOff>0</rowOff>
    </from>
    <ext cx="7200000" cy="39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3.xml><?xml version="1.0" encoding="utf-8"?>
<wsDr xmlns="http://schemas.openxmlformats.org/drawingml/2006/spreadsheetDrawing">
  <oneCellAnchor>
    <from>
      <col>12</col>
      <colOff>0</colOff>
      <row>29</row>
      <rowOff>0</rowOff>
    </from>
    <ext cx="7200000" cy="39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4.xml><?xml version="1.0" encoding="utf-8"?>
<wsDr xmlns="http://schemas.openxmlformats.org/drawingml/2006/spreadsheetDrawing">
  <oneCellAnchor>
    <from>
      <col>12</col>
      <colOff>0</colOff>
      <row>29</row>
      <rowOff>0</rowOff>
    </from>
    <ext cx="7200000" cy="39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5.xml><?xml version="1.0" encoding="utf-8"?>
<wsDr xmlns="http://schemas.openxmlformats.org/drawingml/2006/spreadsheetDrawing">
  <oneCellAnchor>
    <from>
      <col>12</col>
      <colOff>0</colOff>
      <row>29</row>
      <rowOff>0</rowOff>
    </from>
    <ext cx="7200000" cy="39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6.xml><?xml version="1.0" encoding="utf-8"?>
<wsDr xmlns="http://schemas.openxmlformats.org/drawingml/2006/spreadsheetDrawing">
  <oneCellAnchor>
    <from>
      <col>12</col>
      <colOff>0</colOff>
      <row>29</row>
      <rowOff>0</rowOff>
    </from>
    <ext cx="7200000" cy="39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7.xml><?xml version="1.0" encoding="utf-8"?>
<wsDr xmlns="http://schemas.openxmlformats.org/drawingml/2006/spreadsheetDrawing">
  <oneCellAnchor>
    <from>
      <col>12</col>
      <colOff>0</colOff>
      <row>29</row>
      <rowOff>0</rowOff>
    </from>
    <ext cx="7200000" cy="39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8.xml><?xml version="1.0" encoding="utf-8"?>
<wsDr xmlns="http://schemas.openxmlformats.org/drawingml/2006/spreadsheetDrawing">
  <oneCellAnchor>
    <from>
      <col>12</col>
      <colOff>0</colOff>
      <row>29</row>
      <rowOff>0</rowOff>
    </from>
    <ext cx="7200000" cy="39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9.xml><?xml version="1.0" encoding="utf-8"?>
<wsDr xmlns="http://schemas.openxmlformats.org/drawingml/2006/spreadsheetDrawing">
  <oneCellAnchor>
    <from>
      <col>12</col>
      <colOff>0</colOff>
      <row>29</row>
      <rowOff>0</rowOff>
    </from>
    <ext cx="7200000" cy="39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0.xml><?xml version="1.0" encoding="utf-8"?>
<wsDr xmlns="http://schemas.openxmlformats.org/drawingml/2006/spreadsheetDrawing">
  <oneCellAnchor>
    <from>
      <col>12</col>
      <colOff>0</colOff>
      <row>29</row>
      <rowOff>0</rowOff>
    </from>
    <ext cx="7200000" cy="39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1.xml><?xml version="1.0" encoding="utf-8"?>
<wsDr xmlns="http://schemas.openxmlformats.org/drawingml/2006/spreadsheetDrawing">
  <oneCellAnchor>
    <from>
      <col>12</col>
      <colOff>0</colOff>
      <row>29</row>
      <rowOff>0</rowOff>
    </from>
    <ext cx="7200000" cy="39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2.xml><?xml version="1.0" encoding="utf-8"?>
<wsDr xmlns="http://schemas.openxmlformats.org/drawingml/2006/spreadsheetDrawing">
  <oneCellAnchor>
    <from>
      <col>12</col>
      <colOff>0</colOff>
      <row>29</row>
      <rowOff>0</rowOff>
    </from>
    <ext cx="7200000" cy="39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3.xml><?xml version="1.0" encoding="utf-8"?>
<wsDr xmlns="http://schemas.openxmlformats.org/drawingml/2006/spreadsheetDrawing">
  <oneCellAnchor>
    <from>
      <col>12</col>
      <colOff>0</colOff>
      <row>29</row>
      <rowOff>0</rowOff>
    </from>
    <ext cx="7200000" cy="39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4.xml><?xml version="1.0" encoding="utf-8"?>
<wsDr xmlns="http://schemas.openxmlformats.org/drawingml/2006/spreadsheetDrawing">
  <oneCellAnchor>
    <from>
      <col>12</col>
      <colOff>0</colOff>
      <row>29</row>
      <rowOff>0</rowOff>
    </from>
    <ext cx="7200000" cy="39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5.xml><?xml version="1.0" encoding="utf-8"?>
<wsDr xmlns="http://schemas.openxmlformats.org/drawingml/2006/spreadsheetDrawing">
  <oneCellAnchor>
    <from>
      <col>12</col>
      <colOff>0</colOff>
      <row>29</row>
      <rowOff>0</rowOff>
    </from>
    <ext cx="7200000" cy="39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6.xml><?xml version="1.0" encoding="utf-8"?>
<wsDr xmlns="http://schemas.openxmlformats.org/drawingml/2006/spreadsheetDrawing">
  <oneCellAnchor>
    <from>
      <col>12</col>
      <colOff>0</colOff>
      <row>29</row>
      <rowOff>0</rowOff>
    </from>
    <ext cx="7200000" cy="39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7.xml><?xml version="1.0" encoding="utf-8"?>
<wsDr xmlns="http://schemas.openxmlformats.org/drawingml/2006/spreadsheetDrawing">
  <oneCellAnchor>
    <from>
      <col>12</col>
      <colOff>0</colOff>
      <row>29</row>
      <rowOff>0</rowOff>
    </from>
    <ext cx="7200000" cy="39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8.xml><?xml version="1.0" encoding="utf-8"?>
<wsDr xmlns="http://schemas.openxmlformats.org/drawingml/2006/spreadsheetDrawing">
  <oneCellAnchor>
    <from>
      <col>12</col>
      <colOff>0</colOff>
      <row>29</row>
      <rowOff>0</rowOff>
    </from>
    <ext cx="7200000" cy="39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9.xml><?xml version="1.0" encoding="utf-8"?>
<wsDr xmlns="http://schemas.openxmlformats.org/drawingml/2006/spreadsheetDrawing">
  <oneCellAnchor>
    <from>
      <col>12</col>
      <colOff>0</colOff>
      <row>29</row>
      <rowOff>0</rowOff>
    </from>
    <ext cx="7200000" cy="39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0.xml><?xml version="1.0" encoding="utf-8"?>
<wsDr xmlns="http://schemas.openxmlformats.org/drawingml/2006/spreadsheetDrawing">
  <oneCellAnchor>
    <from>
      <col>12</col>
      <colOff>0</colOff>
      <row>29</row>
      <rowOff>0</rowOff>
    </from>
    <ext cx="7200000" cy="39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1.xml><?xml version="1.0" encoding="utf-8"?>
<wsDr xmlns="http://schemas.openxmlformats.org/drawingml/2006/spreadsheetDrawing">
  <oneCellAnchor>
    <from>
      <col>12</col>
      <colOff>0</colOff>
      <row>29</row>
      <rowOff>0</rowOff>
    </from>
    <ext cx="7200000" cy="39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2.xml><?xml version="1.0" encoding="utf-8"?>
<wsDr xmlns="http://schemas.openxmlformats.org/drawingml/2006/spreadsheetDrawing">
  <oneCellAnchor>
    <from>
      <col>12</col>
      <colOff>0</colOff>
      <row>29</row>
      <rowOff>0</rowOff>
    </from>
    <ext cx="7200000" cy="39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3.xml><?xml version="1.0" encoding="utf-8"?>
<wsDr xmlns="http://schemas.openxmlformats.org/drawingml/2006/spreadsheetDrawing">
  <oneCellAnchor>
    <from>
      <col>12</col>
      <colOff>0</colOff>
      <row>29</row>
      <rowOff>0</rowOff>
    </from>
    <ext cx="7200000" cy="39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4.xml><?xml version="1.0" encoding="utf-8"?>
<wsDr xmlns="http://schemas.openxmlformats.org/drawingml/2006/spreadsheetDrawing">
  <oneCellAnchor>
    <from>
      <col>12</col>
      <colOff>0</colOff>
      <row>29</row>
      <rowOff>0</rowOff>
    </from>
    <ext cx="7200000" cy="39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5.xml><?xml version="1.0" encoding="utf-8"?>
<wsDr xmlns="http://schemas.openxmlformats.org/drawingml/2006/spreadsheetDrawing">
  <oneCellAnchor>
    <from>
      <col>12</col>
      <colOff>0</colOff>
      <row>29</row>
      <rowOff>0</rowOff>
    </from>
    <ext cx="7200000" cy="39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6.xml><?xml version="1.0" encoding="utf-8"?>
<wsDr xmlns="http://schemas.openxmlformats.org/drawingml/2006/spreadsheetDrawing">
  <oneCellAnchor>
    <from>
      <col>12</col>
      <colOff>0</colOff>
      <row>29</row>
      <rowOff>0</rowOff>
    </from>
    <ext cx="7200000" cy="39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7.xml><?xml version="1.0" encoding="utf-8"?>
<wsDr xmlns="http://schemas.openxmlformats.org/drawingml/2006/spreadsheetDrawing">
  <oneCellAnchor>
    <from>
      <col>12</col>
      <colOff>0</colOff>
      <row>29</row>
      <rowOff>0</rowOff>
    </from>
    <ext cx="7200000" cy="39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9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10.xml" Id="rId1"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11.xml" Id="rId1"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2.xml" Id="rId1"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13.xml" Id="rId1"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14.xml" Id="rId1"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15.xml" Id="rId1"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16.xml" Id="rId1"/></Relationships>
</file>

<file path=xl/worksheets/_rels/sheet17.xml.rels><Relationships xmlns="http://schemas.openxmlformats.org/package/2006/relationships"><Relationship Type="http://schemas.openxmlformats.org/officeDocument/2006/relationships/drawing" Target="/xl/drawings/drawing17.xml" Id="rId1"/></Relationships>
</file>

<file path=xl/worksheets/_rels/sheet18.xml.rels><Relationships xmlns="http://schemas.openxmlformats.org/package/2006/relationships"><Relationship Type="http://schemas.openxmlformats.org/officeDocument/2006/relationships/drawing" Target="/xl/drawings/drawing18.xml" Id="rId1"/></Relationships>
</file>

<file path=xl/worksheets/_rels/sheet19.xml.rels><Relationships xmlns="http://schemas.openxmlformats.org/package/2006/relationships"><Relationship Type="http://schemas.openxmlformats.org/officeDocument/2006/relationships/drawing" Target="/xl/drawings/drawing19.xml" Id="rId1"/></Relationships>
</file>

<file path=xl/worksheets/_rels/sheet20.xml.rels><Relationships xmlns="http://schemas.openxmlformats.org/package/2006/relationships"><Relationship Type="http://schemas.openxmlformats.org/officeDocument/2006/relationships/drawing" Target="/xl/drawings/drawing20.xml" Id="rId1"/></Relationships>
</file>

<file path=xl/worksheets/_rels/sheet21.xml.rels><Relationships xmlns="http://schemas.openxmlformats.org/package/2006/relationships"><Relationship Type="http://schemas.openxmlformats.org/officeDocument/2006/relationships/drawing" Target="/xl/drawings/drawing21.xml" Id="rId1"/></Relationships>
</file>

<file path=xl/worksheets/_rels/sheet22.xml.rels><Relationships xmlns="http://schemas.openxmlformats.org/package/2006/relationships"><Relationship Type="http://schemas.openxmlformats.org/officeDocument/2006/relationships/drawing" Target="/xl/drawings/drawing22.xml" Id="rId1"/></Relationships>
</file>

<file path=xl/worksheets/_rels/sheet23.xml.rels><Relationships xmlns="http://schemas.openxmlformats.org/package/2006/relationships"><Relationship Type="http://schemas.openxmlformats.org/officeDocument/2006/relationships/drawing" Target="/xl/drawings/drawing23.xml" Id="rId1"/></Relationships>
</file>

<file path=xl/worksheets/_rels/sheet24.xml.rels><Relationships xmlns="http://schemas.openxmlformats.org/package/2006/relationships"><Relationship Type="http://schemas.openxmlformats.org/officeDocument/2006/relationships/drawing" Target="/xl/drawings/drawing24.xml" Id="rId1"/></Relationships>
</file>

<file path=xl/worksheets/_rels/sheet25.xml.rels><Relationships xmlns="http://schemas.openxmlformats.org/package/2006/relationships"><Relationship Type="http://schemas.openxmlformats.org/officeDocument/2006/relationships/drawing" Target="/xl/drawings/drawing25.xml" Id="rId1"/></Relationships>
</file>

<file path=xl/worksheets/_rels/sheet26.xml.rels><Relationships xmlns="http://schemas.openxmlformats.org/package/2006/relationships"><Relationship Type="http://schemas.openxmlformats.org/officeDocument/2006/relationships/drawing" Target="/xl/drawings/drawing26.xml" Id="rId1"/></Relationships>
</file>

<file path=xl/worksheets/_rels/sheet27.xml.rels><Relationships xmlns="http://schemas.openxmlformats.org/package/2006/relationships"><Relationship Type="http://schemas.openxmlformats.org/officeDocument/2006/relationships/drawing" Target="/xl/drawings/drawing27.xml" Id="rId1"/></Relationships>
</file>

<file path=xl/worksheets/_rels/sheet28.xml.rels><Relationships xmlns="http://schemas.openxmlformats.org/package/2006/relationships"><Relationship Type="http://schemas.openxmlformats.org/officeDocument/2006/relationships/drawing" Target="/xl/drawings/drawing28.xml" Id="rId1"/></Relationships>
</file>

<file path=xl/worksheets/_rels/sheet29.xml.rels><Relationships xmlns="http://schemas.openxmlformats.org/package/2006/relationships"><Relationship Type="http://schemas.openxmlformats.org/officeDocument/2006/relationships/drawing" Target="/xl/drawings/drawing29.xml" Id="rId1"/></Relationships>
</file>

<file path=xl/worksheets/_rels/sheet30.xml.rels><Relationships xmlns="http://schemas.openxmlformats.org/package/2006/relationships"><Relationship Type="http://schemas.openxmlformats.org/officeDocument/2006/relationships/drawing" Target="/xl/drawings/drawing30.xml" Id="rId1"/></Relationships>
</file>

<file path=xl/worksheets/_rels/sheet31.xml.rels><Relationships xmlns="http://schemas.openxmlformats.org/package/2006/relationships"><Relationship Type="http://schemas.openxmlformats.org/officeDocument/2006/relationships/drawing" Target="/xl/drawings/drawing31.xml" Id="rId1"/></Relationships>
</file>

<file path=xl/worksheets/_rels/sheet32.xml.rels><Relationships xmlns="http://schemas.openxmlformats.org/package/2006/relationships"><Relationship Type="http://schemas.openxmlformats.org/officeDocument/2006/relationships/drawing" Target="/xl/drawings/drawing32.xml" Id="rId1"/></Relationships>
</file>

<file path=xl/worksheets/_rels/sheet33.xml.rels><Relationships xmlns="http://schemas.openxmlformats.org/package/2006/relationships"><Relationship Type="http://schemas.openxmlformats.org/officeDocument/2006/relationships/drawing" Target="/xl/drawings/drawing33.xml" Id="rId1"/></Relationships>
</file>

<file path=xl/worksheets/_rels/sheet34.xml.rels><Relationships xmlns="http://schemas.openxmlformats.org/package/2006/relationships"><Relationship Type="http://schemas.openxmlformats.org/officeDocument/2006/relationships/drawing" Target="/xl/drawings/drawing34.xml" Id="rId1"/></Relationships>
</file>

<file path=xl/worksheets/_rels/sheet35.xml.rels><Relationships xmlns="http://schemas.openxmlformats.org/package/2006/relationships"><Relationship Type="http://schemas.openxmlformats.org/officeDocument/2006/relationships/drawing" Target="/xl/drawings/drawing35.xml" Id="rId1"/></Relationships>
</file>

<file path=xl/worksheets/_rels/sheet36.xml.rels><Relationships xmlns="http://schemas.openxmlformats.org/package/2006/relationships"><Relationship Type="http://schemas.openxmlformats.org/officeDocument/2006/relationships/drawing" Target="/xl/drawings/drawing36.xml" Id="rId1"/></Relationships>
</file>

<file path=xl/worksheets/_rels/sheet37.xml.rels><Relationships xmlns="http://schemas.openxmlformats.org/package/2006/relationships"><Relationship Type="http://schemas.openxmlformats.org/officeDocument/2006/relationships/drawing" Target="/xl/drawings/drawing37.xml" Id="rId1"/></Relationships>
</file>

<file path=xl/worksheets/_rels/sheet38.xml.rels><Relationships xmlns="http://schemas.openxmlformats.org/package/2006/relationships"><Relationship Type="http://schemas.openxmlformats.org/officeDocument/2006/relationships/drawing" Target="/xl/drawings/drawing38.xml" Id="rId1"/></Relationships>
</file>

<file path=xl/worksheets/_rels/sheet39.xml.rels><Relationships xmlns="http://schemas.openxmlformats.org/package/2006/relationships"><Relationship Type="http://schemas.openxmlformats.org/officeDocument/2006/relationships/drawing" Target="/xl/drawings/drawing39.xml" Id="rId1"/></Relationships>
</file>

<file path=xl/worksheets/_rels/sheet40.xml.rels><Relationships xmlns="http://schemas.openxmlformats.org/package/2006/relationships"><Relationship Type="http://schemas.openxmlformats.org/officeDocument/2006/relationships/drawing" Target="/xl/drawings/drawing40.xml" Id="rId1"/></Relationships>
</file>

<file path=xl/worksheets/_rels/sheet41.xml.rels><Relationships xmlns="http://schemas.openxmlformats.org/package/2006/relationships"><Relationship Type="http://schemas.openxmlformats.org/officeDocument/2006/relationships/drawing" Target="/xl/drawings/drawing41.xml" Id="rId1"/></Relationships>
</file>

<file path=xl/worksheets/_rels/sheet42.xml.rels><Relationships xmlns="http://schemas.openxmlformats.org/package/2006/relationships"><Relationship Type="http://schemas.openxmlformats.org/officeDocument/2006/relationships/drawing" Target="/xl/drawings/drawing42.xml" Id="rId1"/></Relationships>
</file>

<file path=xl/worksheets/_rels/sheet43.xml.rels><Relationships xmlns="http://schemas.openxmlformats.org/package/2006/relationships"><Relationship Type="http://schemas.openxmlformats.org/officeDocument/2006/relationships/drawing" Target="/xl/drawings/drawing43.xml" Id="rId1"/></Relationships>
</file>

<file path=xl/worksheets/_rels/sheet44.xml.rels><Relationships xmlns="http://schemas.openxmlformats.org/package/2006/relationships"><Relationship Type="http://schemas.openxmlformats.org/officeDocument/2006/relationships/drawing" Target="/xl/drawings/drawing44.xml" Id="rId1"/></Relationships>
</file>

<file path=xl/worksheets/_rels/sheet45.xml.rels><Relationships xmlns="http://schemas.openxmlformats.org/package/2006/relationships"><Relationship Type="http://schemas.openxmlformats.org/officeDocument/2006/relationships/drawing" Target="/xl/drawings/drawing45.xml" Id="rId1"/></Relationships>
</file>

<file path=xl/worksheets/_rels/sheet46.xml.rels><Relationships xmlns="http://schemas.openxmlformats.org/package/2006/relationships"><Relationship Type="http://schemas.openxmlformats.org/officeDocument/2006/relationships/drawing" Target="/xl/drawings/drawing46.xml" Id="rId1"/></Relationships>
</file>

<file path=xl/worksheets/_rels/sheet47.xml.rels><Relationships xmlns="http://schemas.openxmlformats.org/package/2006/relationships"><Relationship Type="http://schemas.openxmlformats.org/officeDocument/2006/relationships/drawing" Target="/xl/drawings/drawing47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0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</cols>
  <sheetData>
    <row r="1">
      <c r="A1" s="1" t="inlineStr">
        <is>
          <t>Gauge 4  |  FM309915AF  |  Azaiba at Azaiba health center</t>
        </is>
      </c>
    </row>
    <row r="3">
      <c r="A3" s="2" t="inlineStr">
        <is>
          <t>AMS BEFORE gap filling (observed only, mm)</t>
        </is>
      </c>
      <c r="M3" s="3" t="inlineStr">
        <is>
          <t>IDF - design rainfall DEPTH (mm)</t>
        </is>
      </c>
    </row>
    <row r="4">
      <c r="A4" s="4" t="inlineStr">
        <is>
          <t>Water year</t>
        </is>
      </c>
      <c r="B4" s="5" t="inlineStr">
        <is>
          <t>5min</t>
        </is>
      </c>
      <c r="C4" s="5" t="inlineStr">
        <is>
          <t>10min</t>
        </is>
      </c>
      <c r="D4" s="5" t="inlineStr">
        <is>
          <t>15min</t>
        </is>
      </c>
      <c r="E4" s="5" t="inlineStr">
        <is>
          <t>30min</t>
        </is>
      </c>
      <c r="F4" s="5" t="inlineStr">
        <is>
          <t>1h</t>
        </is>
      </c>
      <c r="G4" s="5" t="inlineStr">
        <is>
          <t>2h</t>
        </is>
      </c>
      <c r="H4" s="5" t="inlineStr">
        <is>
          <t>3h</t>
        </is>
      </c>
      <c r="I4" s="5" t="inlineStr">
        <is>
          <t>6h</t>
        </is>
      </c>
      <c r="J4" s="5" t="inlineStr">
        <is>
          <t>12h</t>
        </is>
      </c>
      <c r="K4" s="5" t="inlineStr">
        <is>
          <t>24h</t>
        </is>
      </c>
      <c r="M4" s="4" t="inlineStr">
        <is>
          <t>Duration \ RP</t>
        </is>
      </c>
      <c r="N4" s="4" t="n">
        <v>2</v>
      </c>
      <c r="O4" s="4" t="n">
        <v>5</v>
      </c>
      <c r="P4" s="4" t="n">
        <v>10</v>
      </c>
      <c r="Q4" s="4" t="n">
        <v>25</v>
      </c>
      <c r="R4" s="4" t="n">
        <v>50</v>
      </c>
      <c r="S4" s="4" t="n">
        <v>100</v>
      </c>
      <c r="T4" s="4" t="n">
        <v>200</v>
      </c>
      <c r="U4" s="4" t="n">
        <v>500</v>
      </c>
      <c r="V4" s="4" t="n">
        <v>1000</v>
      </c>
      <c r="W4" s="4" t="n">
        <v>2000</v>
      </c>
      <c r="X4" s="4" t="n">
        <v>5000</v>
      </c>
      <c r="Y4" s="4" t="n">
        <v>10000</v>
      </c>
    </row>
    <row r="5">
      <c r="A5" s="6" t="n">
        <v>1995</v>
      </c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>
        <v>36.4</v>
      </c>
      <c r="M5" s="6" t="inlineStr">
        <is>
          <t>5min</t>
        </is>
      </c>
      <c r="N5" s="6" t="n">
        <v>4</v>
      </c>
      <c r="O5" s="6" t="n">
        <v>6.8</v>
      </c>
      <c r="P5" s="6" t="n">
        <v>8.9</v>
      </c>
      <c r="Q5" s="6" t="n">
        <v>11.8</v>
      </c>
      <c r="R5" s="6" t="n">
        <v>14.2</v>
      </c>
      <c r="S5" s="6" t="n">
        <v>16.9</v>
      </c>
      <c r="T5" s="6" t="n">
        <v>19.8</v>
      </c>
      <c r="U5" s="6" t="n">
        <v>24</v>
      </c>
      <c r="V5" s="6" t="n">
        <v>27.6</v>
      </c>
      <c r="W5" s="6" t="n">
        <v>31.5</v>
      </c>
      <c r="X5" s="6" t="n">
        <v>37.3</v>
      </c>
      <c r="Y5" s="6" t="n">
        <v>42.2</v>
      </c>
    </row>
    <row r="6">
      <c r="A6" s="6" t="n">
        <v>1996</v>
      </c>
      <c r="B6" s="7" t="n"/>
      <c r="C6" s="7" t="n"/>
      <c r="D6" s="7" t="n"/>
      <c r="E6" s="7" t="n"/>
      <c r="F6" s="7" t="n"/>
      <c r="G6" s="7" t="n"/>
      <c r="H6" s="7" t="n"/>
      <c r="I6" s="7" t="n"/>
      <c r="J6" s="7" t="n"/>
      <c r="K6" s="7" t="n">
        <v>41.8</v>
      </c>
      <c r="M6" s="6" t="inlineStr">
        <is>
          <t>10min</t>
        </is>
      </c>
      <c r="N6" s="6" t="n">
        <v>6.3</v>
      </c>
      <c r="O6" s="6" t="n">
        <v>10.9</v>
      </c>
      <c r="P6" s="6" t="n">
        <v>14.3</v>
      </c>
      <c r="Q6" s="6" t="n">
        <v>19.3</v>
      </c>
      <c r="R6" s="6" t="n">
        <v>23.5</v>
      </c>
      <c r="S6" s="6" t="n">
        <v>28.1</v>
      </c>
      <c r="T6" s="6" t="n">
        <v>33.3</v>
      </c>
      <c r="U6" s="6" t="n">
        <v>40.9</v>
      </c>
      <c r="V6" s="6" t="n">
        <v>47.5</v>
      </c>
      <c r="W6" s="6" t="n">
        <v>54.8</v>
      </c>
      <c r="X6" s="6" t="n">
        <v>65.59999999999999</v>
      </c>
      <c r="Y6" s="6" t="n">
        <v>74.90000000000001</v>
      </c>
    </row>
    <row r="7">
      <c r="A7" s="6" t="n">
        <v>1997</v>
      </c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>
        <v>34</v>
      </c>
      <c r="M7" s="6" t="inlineStr">
        <is>
          <t>15min</t>
        </is>
      </c>
      <c r="N7" s="6" t="n">
        <v>7.8</v>
      </c>
      <c r="O7" s="6" t="n">
        <v>13.8</v>
      </c>
      <c r="P7" s="6" t="n">
        <v>18.5</v>
      </c>
      <c r="Q7" s="6" t="n">
        <v>25.6</v>
      </c>
      <c r="R7" s="6" t="n">
        <v>31.7</v>
      </c>
      <c r="S7" s="6" t="n">
        <v>38.6</v>
      </c>
      <c r="T7" s="6" t="n">
        <v>46.4</v>
      </c>
      <c r="U7" s="6" t="n">
        <v>58.5</v>
      </c>
      <c r="V7" s="6" t="n">
        <v>69.09999999999999</v>
      </c>
      <c r="W7" s="6" t="n">
        <v>81.2</v>
      </c>
      <c r="X7" s="6" t="n">
        <v>99.90000000000001</v>
      </c>
      <c r="Y7" s="6" t="n">
        <v>116.3</v>
      </c>
    </row>
    <row r="8">
      <c r="A8" s="6" t="n">
        <v>1998</v>
      </c>
      <c r="B8" s="7" t="n"/>
      <c r="C8" s="7" t="n"/>
      <c r="D8" s="7" t="n"/>
      <c r="E8" s="7" t="n"/>
      <c r="F8" s="7" t="n"/>
      <c r="G8" s="7" t="n"/>
      <c r="H8" s="7" t="n"/>
      <c r="I8" s="7" t="n"/>
      <c r="J8" s="7" t="n"/>
      <c r="K8" s="7" t="n">
        <v>42</v>
      </c>
      <c r="M8" s="6" t="inlineStr">
        <is>
          <t>30min</t>
        </is>
      </c>
      <c r="N8" s="6" t="n">
        <v>10.5</v>
      </c>
      <c r="O8" s="6" t="n">
        <v>18.9</v>
      </c>
      <c r="P8" s="6" t="n">
        <v>25.4</v>
      </c>
      <c r="Q8" s="6" t="n">
        <v>35</v>
      </c>
      <c r="R8" s="6" t="n">
        <v>43.2</v>
      </c>
      <c r="S8" s="6" t="n">
        <v>52.5</v>
      </c>
      <c r="T8" s="6" t="n">
        <v>62.9</v>
      </c>
      <c r="U8" s="6" t="n">
        <v>78.7</v>
      </c>
      <c r="V8" s="6" t="n">
        <v>92.5</v>
      </c>
      <c r="W8" s="6" t="n">
        <v>108</v>
      </c>
      <c r="X8" s="6" t="n">
        <v>131.7</v>
      </c>
      <c r="Y8" s="6" t="n">
        <v>152.3</v>
      </c>
    </row>
    <row r="9">
      <c r="A9" s="6" t="n">
        <v>1999</v>
      </c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>
        <v>3</v>
      </c>
      <c r="M9" s="6" t="inlineStr">
        <is>
          <t>1h</t>
        </is>
      </c>
      <c r="N9" s="6" t="n">
        <v>13.2</v>
      </c>
      <c r="O9" s="6" t="n">
        <v>23.7</v>
      </c>
      <c r="P9" s="6" t="n">
        <v>31.9</v>
      </c>
      <c r="Q9" s="6" t="n">
        <v>43.7</v>
      </c>
      <c r="R9" s="6" t="n">
        <v>53.8</v>
      </c>
      <c r="S9" s="6" t="n">
        <v>65</v>
      </c>
      <c r="T9" s="6" t="n">
        <v>77.5</v>
      </c>
      <c r="U9" s="6" t="n">
        <v>96.40000000000001</v>
      </c>
      <c r="V9" s="6" t="n">
        <v>112.7</v>
      </c>
      <c r="W9" s="6" t="n">
        <v>131</v>
      </c>
      <c r="X9" s="6" t="n">
        <v>158.6</v>
      </c>
      <c r="Y9" s="6" t="n">
        <v>182.5</v>
      </c>
    </row>
    <row r="10">
      <c r="A10" s="6" t="n">
        <v>2000</v>
      </c>
      <c r="B10" s="7" t="n"/>
      <c r="C10" s="7" t="n"/>
      <c r="D10" s="7" t="n"/>
      <c r="E10" s="7" t="n"/>
      <c r="F10" s="7" t="n"/>
      <c r="G10" s="7" t="n"/>
      <c r="H10" s="7" t="n"/>
      <c r="I10" s="7" t="n"/>
      <c r="J10" s="7" t="n"/>
      <c r="K10" s="7" t="n">
        <v>1</v>
      </c>
      <c r="M10" s="6" t="inlineStr">
        <is>
          <t>2h</t>
        </is>
      </c>
      <c r="N10" s="6" t="n">
        <v>15.7</v>
      </c>
      <c r="O10" s="6" t="n">
        <v>28.3</v>
      </c>
      <c r="P10" s="6" t="n">
        <v>38.2</v>
      </c>
      <c r="Q10" s="6" t="n">
        <v>52.7</v>
      </c>
      <c r="R10" s="6" t="n">
        <v>65.2</v>
      </c>
      <c r="S10" s="6" t="n">
        <v>79.09999999999999</v>
      </c>
      <c r="T10" s="6" t="n">
        <v>94.90000000000001</v>
      </c>
      <c r="U10" s="6" t="n">
        <v>118.8</v>
      </c>
      <c r="V10" s="6" t="n">
        <v>139.6</v>
      </c>
      <c r="W10" s="6" t="n">
        <v>163.2</v>
      </c>
      <c r="X10" s="6" t="n">
        <v>199.1</v>
      </c>
      <c r="Y10" s="6" t="n">
        <v>230.3</v>
      </c>
    </row>
    <row r="11">
      <c r="A11" s="6" t="n">
        <v>2001</v>
      </c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>
        <v>32</v>
      </c>
      <c r="M11" s="6" t="inlineStr">
        <is>
          <t>3h</t>
        </is>
      </c>
      <c r="N11" s="6" t="n">
        <v>17</v>
      </c>
      <c r="O11" s="6" t="n">
        <v>30.9</v>
      </c>
      <c r="P11" s="6" t="n">
        <v>41.9</v>
      </c>
      <c r="Q11" s="6" t="n">
        <v>58.5</v>
      </c>
      <c r="R11" s="6" t="n">
        <v>73.09999999999999</v>
      </c>
      <c r="S11" s="6" t="n">
        <v>89.7</v>
      </c>
      <c r="T11" s="6" t="n">
        <v>108.8</v>
      </c>
      <c r="U11" s="6" t="n">
        <v>138.4</v>
      </c>
      <c r="V11" s="6" t="n">
        <v>164.7</v>
      </c>
      <c r="W11" s="6" t="n">
        <v>195</v>
      </c>
      <c r="X11" s="6" t="n">
        <v>242</v>
      </c>
      <c r="Y11" s="6" t="n">
        <v>283.9</v>
      </c>
    </row>
    <row r="12">
      <c r="A12" s="6" t="n">
        <v>2002</v>
      </c>
      <c r="B12" s="7" t="n"/>
      <c r="C12" s="7" t="n"/>
      <c r="D12" s="7" t="n"/>
      <c r="E12" s="7" t="n"/>
      <c r="F12" s="7" t="n"/>
      <c r="G12" s="7" t="n"/>
      <c r="H12" s="7" t="n"/>
      <c r="I12" s="7" t="n"/>
      <c r="J12" s="7" t="n"/>
      <c r="K12" s="7" t="n">
        <v>12</v>
      </c>
      <c r="M12" s="6" t="inlineStr">
        <is>
          <t>6h</t>
        </is>
      </c>
      <c r="N12" s="6" t="n">
        <v>19.8</v>
      </c>
      <c r="O12" s="6" t="n">
        <v>36.3</v>
      </c>
      <c r="P12" s="6" t="n">
        <v>50</v>
      </c>
      <c r="Q12" s="6" t="n">
        <v>71.40000000000001</v>
      </c>
      <c r="R12" s="6" t="n">
        <v>90.90000000000001</v>
      </c>
      <c r="S12" s="6" t="n">
        <v>113.9</v>
      </c>
      <c r="T12" s="6" t="n">
        <v>141.1</v>
      </c>
      <c r="U12" s="6" t="n">
        <v>184.9</v>
      </c>
      <c r="V12" s="6" t="n">
        <v>225.3</v>
      </c>
      <c r="W12" s="6" t="n">
        <v>273.1</v>
      </c>
      <c r="X12" s="6" t="n">
        <v>350.4</v>
      </c>
      <c r="Y12" s="6" t="n">
        <v>421.7</v>
      </c>
    </row>
    <row r="13">
      <c r="A13" s="6" t="n">
        <v>2003</v>
      </c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>
        <v>50</v>
      </c>
      <c r="M13" s="6" t="inlineStr">
        <is>
          <t>12h</t>
        </is>
      </c>
      <c r="N13" s="6" t="n">
        <v>22.8</v>
      </c>
      <c r="O13" s="6" t="n">
        <v>42.2</v>
      </c>
      <c r="P13" s="6" t="n">
        <v>58.7</v>
      </c>
      <c r="Q13" s="6" t="n">
        <v>85</v>
      </c>
      <c r="R13" s="6" t="n">
        <v>109.3</v>
      </c>
      <c r="S13" s="6" t="n">
        <v>138.5</v>
      </c>
      <c r="T13" s="6" t="n">
        <v>173.6</v>
      </c>
      <c r="U13" s="6" t="n">
        <v>231.3</v>
      </c>
      <c r="V13" s="6" t="n">
        <v>285.5</v>
      </c>
      <c r="W13" s="6" t="n">
        <v>350.8</v>
      </c>
      <c r="X13" s="6" t="n">
        <v>458.2</v>
      </c>
      <c r="Y13" s="6" t="n">
        <v>559</v>
      </c>
    </row>
    <row r="14">
      <c r="A14" s="6" t="n">
        <v>2004</v>
      </c>
      <c r="B14" s="7" t="n"/>
      <c r="C14" s="7" t="n"/>
      <c r="D14" s="7" t="n"/>
      <c r="E14" s="7" t="n"/>
      <c r="F14" s="7" t="n"/>
      <c r="G14" s="7" t="n"/>
      <c r="H14" s="7" t="n"/>
      <c r="I14" s="7" t="n"/>
      <c r="J14" s="7" t="n"/>
      <c r="K14" s="7" t="n">
        <v>8</v>
      </c>
      <c r="M14" s="6" t="inlineStr">
        <is>
          <t>24h</t>
        </is>
      </c>
      <c r="N14" s="6" t="n">
        <v>28.3</v>
      </c>
      <c r="O14" s="6" t="n">
        <v>53.9</v>
      </c>
      <c r="P14" s="6" t="n">
        <v>75.90000000000001</v>
      </c>
      <c r="Q14" s="6" t="n">
        <v>111.5</v>
      </c>
      <c r="R14" s="6" t="n">
        <v>144.8</v>
      </c>
      <c r="S14" s="6" t="n">
        <v>185.2</v>
      </c>
      <c r="T14" s="6" t="n">
        <v>234.3</v>
      </c>
      <c r="U14" s="6" t="n">
        <v>315.9</v>
      </c>
      <c r="V14" s="6" t="n">
        <v>393.4</v>
      </c>
      <c r="W14" s="6" t="n">
        <v>487.8</v>
      </c>
      <c r="X14" s="6" t="n">
        <v>644.9</v>
      </c>
      <c r="Y14" s="6" t="n">
        <v>794.2</v>
      </c>
    </row>
    <row r="15">
      <c r="A15" s="6" t="n">
        <v>2005</v>
      </c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>
        <v>40</v>
      </c>
    </row>
    <row r="16">
      <c r="A16" s="6" t="n">
        <v>2006</v>
      </c>
      <c r="B16" s="7" t="n"/>
      <c r="C16" s="7" t="n"/>
      <c r="D16" s="7" t="n"/>
      <c r="E16" s="7" t="n"/>
      <c r="F16" s="7" t="n"/>
      <c r="G16" s="7" t="n"/>
      <c r="H16" s="7" t="n"/>
      <c r="I16" s="7" t="n"/>
      <c r="J16" s="7" t="n"/>
      <c r="K16" s="7" t="n">
        <v>1</v>
      </c>
      <c r="M16" s="3" t="inlineStr">
        <is>
          <t>IDF - intensity (mm/hr) [x=duration(min)]</t>
        </is>
      </c>
    </row>
    <row r="17">
      <c r="A17" s="6" t="n">
        <v>2007</v>
      </c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>
        <v>131</v>
      </c>
      <c r="M17" t="inlineStr">
        <is>
          <t>Duration(min)</t>
        </is>
      </c>
      <c r="N17" t="inlineStr">
        <is>
          <t>2 yr</t>
        </is>
      </c>
      <c r="O17" t="inlineStr">
        <is>
          <t>5 yr</t>
        </is>
      </c>
      <c r="P17" t="inlineStr">
        <is>
          <t>10 yr</t>
        </is>
      </c>
      <c r="Q17" t="inlineStr">
        <is>
          <t>25 yr</t>
        </is>
      </c>
      <c r="R17" t="inlineStr">
        <is>
          <t>50 yr</t>
        </is>
      </c>
      <c r="S17" t="inlineStr">
        <is>
          <t>100 yr</t>
        </is>
      </c>
      <c r="T17" t="inlineStr">
        <is>
          <t>200 yr</t>
        </is>
      </c>
      <c r="U17" t="inlineStr">
        <is>
          <t>500 yr</t>
        </is>
      </c>
      <c r="V17" t="inlineStr">
        <is>
          <t>1000 yr</t>
        </is>
      </c>
      <c r="W17" t="inlineStr">
        <is>
          <t>2000 yr</t>
        </is>
      </c>
      <c r="X17" t="inlineStr">
        <is>
          <t>5000 yr</t>
        </is>
      </c>
      <c r="Y17" t="inlineStr">
        <is>
          <t>10000 yr</t>
        </is>
      </c>
    </row>
    <row r="18">
      <c r="A18" s="6" t="n">
        <v>2008</v>
      </c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  <c r="K18" s="7" t="n">
        <v>28</v>
      </c>
      <c r="M18" t="n">
        <v>5</v>
      </c>
      <c r="N18" t="n">
        <v>48.5</v>
      </c>
      <c r="O18" t="n">
        <v>81.59999999999999</v>
      </c>
      <c r="P18" t="n">
        <v>106.4</v>
      </c>
      <c r="Q18" t="n">
        <v>141.6</v>
      </c>
      <c r="R18" t="n">
        <v>170.7</v>
      </c>
      <c r="S18" t="n">
        <v>202.5</v>
      </c>
      <c r="T18" t="n">
        <v>237.2</v>
      </c>
      <c r="U18" t="n">
        <v>288.3</v>
      </c>
      <c r="V18" t="n">
        <v>331.3</v>
      </c>
      <c r="W18" t="n">
        <v>378.4</v>
      </c>
      <c r="X18" t="n">
        <v>447.8</v>
      </c>
      <c r="Y18" t="n">
        <v>506.2</v>
      </c>
    </row>
    <row r="19">
      <c r="A19" s="6" t="n">
        <v>2009</v>
      </c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M19" t="n">
        <v>10</v>
      </c>
      <c r="N19" t="n">
        <v>38</v>
      </c>
      <c r="O19" t="n">
        <v>65.2</v>
      </c>
      <c r="P19" t="n">
        <v>86</v>
      </c>
      <c r="Q19" t="n">
        <v>115.9</v>
      </c>
      <c r="R19" t="n">
        <v>141.1</v>
      </c>
      <c r="S19" t="n">
        <v>168.9</v>
      </c>
      <c r="T19" t="n">
        <v>199.7</v>
      </c>
      <c r="U19" t="n">
        <v>245.7</v>
      </c>
      <c r="V19" t="n">
        <v>284.9</v>
      </c>
      <c r="W19" t="n">
        <v>328.6</v>
      </c>
      <c r="X19" t="n">
        <v>393.8</v>
      </c>
      <c r="Y19" t="n">
        <v>449.6</v>
      </c>
    </row>
    <row r="20">
      <c r="A20" s="6" t="n">
        <v>2010</v>
      </c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M20" t="n">
        <v>15</v>
      </c>
      <c r="N20" t="n">
        <v>31.3</v>
      </c>
      <c r="O20" t="n">
        <v>55.2</v>
      </c>
      <c r="P20" t="n">
        <v>74.09999999999999</v>
      </c>
      <c r="Q20" t="n">
        <v>102.2</v>
      </c>
      <c r="R20" t="n">
        <v>126.6</v>
      </c>
      <c r="S20" t="n">
        <v>154.2</v>
      </c>
      <c r="T20" t="n">
        <v>185.6</v>
      </c>
      <c r="U20" t="n">
        <v>233.9</v>
      </c>
      <c r="V20" t="n">
        <v>276.4</v>
      </c>
      <c r="W20" t="n">
        <v>324.9</v>
      </c>
      <c r="X20" t="n">
        <v>399.5</v>
      </c>
      <c r="Y20" t="n">
        <v>465.2</v>
      </c>
    </row>
    <row r="21">
      <c r="A21" s="6" t="n">
        <v>2011</v>
      </c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M21" t="n">
        <v>30</v>
      </c>
      <c r="N21" t="n">
        <v>20.9</v>
      </c>
      <c r="O21" t="n">
        <v>37.7</v>
      </c>
      <c r="P21" t="n">
        <v>50.8</v>
      </c>
      <c r="Q21" t="n">
        <v>70</v>
      </c>
      <c r="R21" t="n">
        <v>86.5</v>
      </c>
      <c r="S21" t="n">
        <v>105</v>
      </c>
      <c r="T21" t="n">
        <v>125.8</v>
      </c>
      <c r="U21" t="n">
        <v>157.4</v>
      </c>
      <c r="V21" t="n">
        <v>184.9</v>
      </c>
      <c r="W21" t="n">
        <v>216</v>
      </c>
      <c r="X21" t="n">
        <v>263.3</v>
      </c>
      <c r="Y21" t="n">
        <v>304.5</v>
      </c>
    </row>
    <row r="22">
      <c r="A22" s="6" t="n">
        <v>2012</v>
      </c>
      <c r="B22" s="7" t="n"/>
      <c r="C22" s="7" t="n"/>
      <c r="D22" s="7" t="n"/>
      <c r="E22" s="7" t="n"/>
      <c r="F22" s="7" t="n"/>
      <c r="G22" s="7" t="n"/>
      <c r="H22" s="7" t="n"/>
      <c r="I22" s="7" t="n"/>
      <c r="J22" s="7" t="n"/>
      <c r="K22" s="7" t="n"/>
      <c r="M22" t="n">
        <v>60</v>
      </c>
      <c r="N22" t="n">
        <v>13.2</v>
      </c>
      <c r="O22" t="n">
        <v>23.7</v>
      </c>
      <c r="P22" t="n">
        <v>31.9</v>
      </c>
      <c r="Q22" t="n">
        <v>43.7</v>
      </c>
      <c r="R22" t="n">
        <v>53.8</v>
      </c>
      <c r="S22" t="n">
        <v>65</v>
      </c>
      <c r="T22" t="n">
        <v>77.5</v>
      </c>
      <c r="U22" t="n">
        <v>96.40000000000001</v>
      </c>
      <c r="V22" t="n">
        <v>112.7</v>
      </c>
      <c r="W22" t="n">
        <v>131</v>
      </c>
      <c r="X22" t="n">
        <v>158.6</v>
      </c>
      <c r="Y22" t="n">
        <v>182.5</v>
      </c>
    </row>
    <row r="23">
      <c r="A23" s="6" t="n">
        <v>2013</v>
      </c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  <c r="M23" t="n">
        <v>120</v>
      </c>
      <c r="N23" t="n">
        <v>7.8</v>
      </c>
      <c r="O23" t="n">
        <v>14.2</v>
      </c>
      <c r="P23" t="n">
        <v>19.1</v>
      </c>
      <c r="Q23" t="n">
        <v>26.4</v>
      </c>
      <c r="R23" t="n">
        <v>32.6</v>
      </c>
      <c r="S23" t="n">
        <v>39.6</v>
      </c>
      <c r="T23" t="n">
        <v>47.4</v>
      </c>
      <c r="U23" t="n">
        <v>59.4</v>
      </c>
      <c r="V23" t="n">
        <v>69.8</v>
      </c>
      <c r="W23" t="n">
        <v>81.59999999999999</v>
      </c>
      <c r="X23" t="n">
        <v>99.5</v>
      </c>
      <c r="Y23" t="n">
        <v>115.2</v>
      </c>
    </row>
    <row r="24">
      <c r="A24" s="6" t="n">
        <v>2014</v>
      </c>
      <c r="B24" s="7" t="n"/>
      <c r="C24" s="7" t="n"/>
      <c r="D24" s="7" t="n"/>
      <c r="E24" s="7" t="n"/>
      <c r="F24" s="7" t="n"/>
      <c r="G24" s="7" t="n"/>
      <c r="H24" s="7" t="n"/>
      <c r="I24" s="7" t="n"/>
      <c r="J24" s="7" t="n"/>
      <c r="K24" s="7" t="n"/>
      <c r="M24" t="n">
        <v>180</v>
      </c>
      <c r="N24" t="n">
        <v>5.7</v>
      </c>
      <c r="O24" t="n">
        <v>10.3</v>
      </c>
      <c r="P24" t="n">
        <v>14</v>
      </c>
      <c r="Q24" t="n">
        <v>19.5</v>
      </c>
      <c r="R24" t="n">
        <v>24.4</v>
      </c>
      <c r="S24" t="n">
        <v>29.9</v>
      </c>
      <c r="T24" t="n">
        <v>36.3</v>
      </c>
      <c r="U24" t="n">
        <v>46.1</v>
      </c>
      <c r="V24" t="n">
        <v>54.9</v>
      </c>
      <c r="W24" t="n">
        <v>65</v>
      </c>
      <c r="X24" t="n">
        <v>80.7</v>
      </c>
      <c r="Y24" t="n">
        <v>94.59999999999999</v>
      </c>
    </row>
    <row r="25">
      <c r="A25" s="6" t="n">
        <v>2015</v>
      </c>
      <c r="B25" s="7" t="n"/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  <c r="M25" t="n">
        <v>360</v>
      </c>
      <c r="N25" t="n">
        <v>3.3</v>
      </c>
      <c r="O25" t="n">
        <v>6</v>
      </c>
      <c r="P25" t="n">
        <v>8.300000000000001</v>
      </c>
      <c r="Q25" t="n">
        <v>11.9</v>
      </c>
      <c r="R25" t="n">
        <v>15.2</v>
      </c>
      <c r="S25" t="n">
        <v>19</v>
      </c>
      <c r="T25" t="n">
        <v>23.5</v>
      </c>
      <c r="U25" t="n">
        <v>30.8</v>
      </c>
      <c r="V25" t="n">
        <v>37.5</v>
      </c>
      <c r="W25" t="n">
        <v>45.5</v>
      </c>
      <c r="X25" t="n">
        <v>58.4</v>
      </c>
      <c r="Y25" t="n">
        <v>70.3</v>
      </c>
    </row>
    <row r="26">
      <c r="A26" s="6" t="n">
        <v>2016</v>
      </c>
      <c r="B26" s="7" t="n"/>
      <c r="C26" s="7" t="n"/>
      <c r="D26" s="7" t="n"/>
      <c r="E26" s="7" t="n"/>
      <c r="F26" s="7" t="n"/>
      <c r="G26" s="7" t="n"/>
      <c r="H26" s="7" t="n"/>
      <c r="I26" s="7" t="n"/>
      <c r="J26" s="7" t="n"/>
      <c r="K26" s="7" t="n"/>
      <c r="M26" t="n">
        <v>720</v>
      </c>
      <c r="N26" t="n">
        <v>1.9</v>
      </c>
      <c r="O26" t="n">
        <v>3.5</v>
      </c>
      <c r="P26" t="n">
        <v>4.9</v>
      </c>
      <c r="Q26" t="n">
        <v>7.1</v>
      </c>
      <c r="R26" t="n">
        <v>9.1</v>
      </c>
      <c r="S26" t="n">
        <v>11.5</v>
      </c>
      <c r="T26" t="n">
        <v>14.5</v>
      </c>
      <c r="U26" t="n">
        <v>19.3</v>
      </c>
      <c r="V26" t="n">
        <v>23.8</v>
      </c>
      <c r="W26" t="n">
        <v>29.2</v>
      </c>
      <c r="X26" t="n">
        <v>38.2</v>
      </c>
      <c r="Y26" t="n">
        <v>46.6</v>
      </c>
    </row>
    <row r="27">
      <c r="A27" s="6" t="n">
        <v>2017</v>
      </c>
      <c r="B27" s="7" t="n">
        <v>3.8</v>
      </c>
      <c r="C27" s="7" t="n">
        <v>7</v>
      </c>
      <c r="D27" s="7" t="n">
        <v>8</v>
      </c>
      <c r="E27" s="7" t="n">
        <v>8.4</v>
      </c>
      <c r="F27" s="7" t="n">
        <v>8.5</v>
      </c>
      <c r="G27" s="7" t="n">
        <v>8.6</v>
      </c>
      <c r="H27" s="7" t="n">
        <v>8.9</v>
      </c>
      <c r="I27" s="7" t="n">
        <v>11.2</v>
      </c>
      <c r="J27" s="7" t="n">
        <v>14.6</v>
      </c>
      <c r="K27" s="7" t="n">
        <v>15.1</v>
      </c>
      <c r="M27" t="n">
        <v>1440</v>
      </c>
      <c r="N27" t="n">
        <v>1.2</v>
      </c>
      <c r="O27" t="n">
        <v>2.2</v>
      </c>
      <c r="P27" t="n">
        <v>3.2</v>
      </c>
      <c r="Q27" t="n">
        <v>4.6</v>
      </c>
      <c r="R27" t="n">
        <v>6</v>
      </c>
      <c r="S27" t="n">
        <v>7.7</v>
      </c>
      <c r="T27" t="n">
        <v>9.800000000000001</v>
      </c>
      <c r="U27" t="n">
        <v>13.2</v>
      </c>
      <c r="V27" t="n">
        <v>16.4</v>
      </c>
      <c r="W27" t="n">
        <v>20.3</v>
      </c>
      <c r="X27" t="n">
        <v>26.9</v>
      </c>
      <c r="Y27" t="n">
        <v>33.1</v>
      </c>
    </row>
    <row r="28">
      <c r="A28" s="6" t="n">
        <v>2018</v>
      </c>
      <c r="B28" s="7" t="n">
        <v>1.2</v>
      </c>
      <c r="C28" s="7" t="n">
        <v>1.8</v>
      </c>
      <c r="D28" s="7" t="n">
        <v>2.2</v>
      </c>
      <c r="E28" s="7" t="n">
        <v>3.4</v>
      </c>
      <c r="F28" s="7" t="n">
        <v>5.4</v>
      </c>
      <c r="G28" s="7" t="n">
        <v>6.2</v>
      </c>
      <c r="H28" s="7" t="n">
        <v>6.5</v>
      </c>
      <c r="I28" s="7" t="n">
        <v>8.4</v>
      </c>
      <c r="J28" s="7" t="n">
        <v>10.5</v>
      </c>
      <c r="K28" s="7" t="n">
        <v>11.3</v>
      </c>
    </row>
    <row r="29">
      <c r="A29" s="6" t="n">
        <v>2019</v>
      </c>
      <c r="B29" s="7" t="n">
        <v>6.6</v>
      </c>
      <c r="C29" s="7" t="n">
        <v>13.2</v>
      </c>
      <c r="D29" s="7" t="n">
        <v>13.2</v>
      </c>
      <c r="E29" s="7" t="n">
        <v>15.1</v>
      </c>
      <c r="F29" s="7" t="n">
        <v>18.1</v>
      </c>
      <c r="G29" s="7" t="n">
        <v>19.2</v>
      </c>
      <c r="H29" s="7" t="n">
        <v>19.2</v>
      </c>
      <c r="I29" s="7" t="n">
        <v>19.2</v>
      </c>
      <c r="J29" s="7" t="n">
        <v>21</v>
      </c>
      <c r="K29" s="7" t="n">
        <v>25.4</v>
      </c>
    </row>
    <row r="30">
      <c r="A30" s="6" t="n">
        <v>2020</v>
      </c>
      <c r="B30" s="7" t="n">
        <v>2</v>
      </c>
      <c r="C30" s="7" t="n">
        <v>4</v>
      </c>
      <c r="D30" s="7" t="n">
        <v>5.5</v>
      </c>
      <c r="E30" s="7" t="n">
        <v>8.199999999999999</v>
      </c>
      <c r="F30" s="7" t="n">
        <v>9.800000000000001</v>
      </c>
      <c r="G30" s="7" t="n">
        <v>12</v>
      </c>
      <c r="H30" s="7" t="n">
        <v>13.2</v>
      </c>
      <c r="I30" s="7" t="n">
        <v>13.6</v>
      </c>
      <c r="J30" s="7" t="n">
        <v>13.8</v>
      </c>
      <c r="K30" s="7" t="n">
        <v>20.8</v>
      </c>
    </row>
    <row r="33">
      <c r="A33" s="2" t="inlineStr">
        <is>
          <t>AMS AFTER gap filling (mm)  -  yellow = added or changed by gap filling</t>
        </is>
      </c>
    </row>
    <row r="34">
      <c r="A34" s="4" t="inlineStr">
        <is>
          <t>Water year</t>
        </is>
      </c>
      <c r="B34" s="5" t="inlineStr">
        <is>
          <t>5min</t>
        </is>
      </c>
      <c r="C34" s="5" t="inlineStr">
        <is>
          <t>10min</t>
        </is>
      </c>
      <c r="D34" s="5" t="inlineStr">
        <is>
          <t>15min</t>
        </is>
      </c>
      <c r="E34" s="5" t="inlineStr">
        <is>
          <t>30min</t>
        </is>
      </c>
      <c r="F34" s="5" t="inlineStr">
        <is>
          <t>1h</t>
        </is>
      </c>
      <c r="G34" s="5" t="inlineStr">
        <is>
          <t>2h</t>
        </is>
      </c>
      <c r="H34" s="5" t="inlineStr">
        <is>
          <t>3h</t>
        </is>
      </c>
      <c r="I34" s="5" t="inlineStr">
        <is>
          <t>6h</t>
        </is>
      </c>
      <c r="J34" s="5" t="inlineStr">
        <is>
          <t>12h</t>
        </is>
      </c>
      <c r="K34" s="5" t="inlineStr">
        <is>
          <t>24h</t>
        </is>
      </c>
    </row>
    <row r="35">
      <c r="A35" s="6" t="n">
        <v>1995</v>
      </c>
      <c r="B35" s="7" t="n"/>
      <c r="C35" s="7" t="n"/>
      <c r="D35" s="7" t="n"/>
      <c r="E35" s="7" t="n"/>
      <c r="F35" s="7" t="n"/>
      <c r="G35" s="7" t="n"/>
      <c r="H35" s="7" t="n"/>
      <c r="I35" s="7" t="n"/>
      <c r="J35" s="7" t="n"/>
      <c r="K35" s="7" t="n">
        <v>36.4</v>
      </c>
    </row>
    <row r="36">
      <c r="A36" s="6" t="n">
        <v>1996</v>
      </c>
      <c r="B36" s="7" t="n"/>
      <c r="C36" s="7" t="n"/>
      <c r="D36" s="7" t="n"/>
      <c r="E36" s="7" t="n"/>
      <c r="F36" s="7" t="n"/>
      <c r="G36" s="7" t="n"/>
      <c r="H36" s="7" t="n"/>
      <c r="I36" s="7" t="n"/>
      <c r="J36" s="7" t="n"/>
      <c r="K36" s="7" t="n">
        <v>41.8</v>
      </c>
    </row>
    <row r="37">
      <c r="A37" s="6" t="n">
        <v>1997</v>
      </c>
      <c r="B37" s="7" t="n"/>
      <c r="C37" s="7" t="n"/>
      <c r="D37" s="7" t="n"/>
      <c r="E37" s="7" t="n"/>
      <c r="F37" s="7" t="n"/>
      <c r="G37" s="7" t="n"/>
      <c r="H37" s="7" t="n"/>
      <c r="I37" s="7" t="n"/>
      <c r="J37" s="7" t="n"/>
      <c r="K37" s="7" t="n">
        <v>34</v>
      </c>
    </row>
    <row r="38">
      <c r="A38" s="6" t="n">
        <v>1998</v>
      </c>
      <c r="B38" s="7" t="n"/>
      <c r="C38" s="7" t="n"/>
      <c r="D38" s="7" t="n"/>
      <c r="E38" s="7" t="n"/>
      <c r="F38" s="7" t="n"/>
      <c r="G38" s="7" t="n"/>
      <c r="H38" s="7" t="n"/>
      <c r="I38" s="7" t="n"/>
      <c r="J38" s="7" t="n"/>
      <c r="K38" s="7" t="n">
        <v>42</v>
      </c>
    </row>
    <row r="39">
      <c r="A39" s="6" t="n">
        <v>1999</v>
      </c>
      <c r="B39" s="7" t="n"/>
      <c r="C39" s="7" t="n"/>
      <c r="D39" s="7" t="n"/>
      <c r="E39" s="7" t="n"/>
      <c r="F39" s="7" t="n"/>
      <c r="G39" s="7" t="n"/>
      <c r="H39" s="7" t="n"/>
      <c r="I39" s="7" t="n"/>
      <c r="J39" s="7" t="n"/>
      <c r="K39" s="8" t="n">
        <v>33.8</v>
      </c>
    </row>
    <row r="40">
      <c r="A40" s="6" t="n">
        <v>2000</v>
      </c>
      <c r="B40" s="7" t="n"/>
      <c r="C40" s="7" t="n"/>
      <c r="D40" s="7" t="n"/>
      <c r="E40" s="7" t="n"/>
      <c r="F40" s="7" t="n"/>
      <c r="G40" s="7" t="n"/>
      <c r="H40" s="7" t="n"/>
      <c r="I40" s="7" t="n"/>
      <c r="J40" s="7" t="n"/>
      <c r="K40" s="7" t="n">
        <v>1</v>
      </c>
    </row>
    <row r="41">
      <c r="A41" s="6" t="n">
        <v>2001</v>
      </c>
      <c r="B41" s="7" t="n"/>
      <c r="C41" s="7" t="n"/>
      <c r="D41" s="7" t="n"/>
      <c r="E41" s="7" t="n"/>
      <c r="F41" s="7" t="n"/>
      <c r="G41" s="7" t="n"/>
      <c r="H41" s="7" t="n"/>
      <c r="I41" s="7" t="n"/>
      <c r="J41" s="7" t="n"/>
      <c r="K41" s="7" t="n">
        <v>32</v>
      </c>
    </row>
    <row r="42">
      <c r="A42" s="6" t="n">
        <v>2002</v>
      </c>
      <c r="B42" s="7" t="n"/>
      <c r="C42" s="7" t="n"/>
      <c r="D42" s="7" t="n"/>
      <c r="E42" s="7" t="n"/>
      <c r="F42" s="7" t="n"/>
      <c r="G42" s="7" t="n"/>
      <c r="H42" s="7" t="n"/>
      <c r="I42" s="7" t="n"/>
      <c r="J42" s="7" t="n"/>
      <c r="K42" s="7" t="n">
        <v>12</v>
      </c>
    </row>
    <row r="43">
      <c r="A43" s="6" t="n">
        <v>2003</v>
      </c>
      <c r="B43" s="7" t="n"/>
      <c r="C43" s="7" t="n"/>
      <c r="D43" s="7" t="n"/>
      <c r="E43" s="7" t="n"/>
      <c r="F43" s="7" t="n"/>
      <c r="G43" s="7" t="n"/>
      <c r="H43" s="7" t="n"/>
      <c r="I43" s="7" t="n"/>
      <c r="J43" s="7" t="n"/>
      <c r="K43" s="7" t="n">
        <v>50</v>
      </c>
    </row>
    <row r="44">
      <c r="A44" s="6" t="n">
        <v>2004</v>
      </c>
      <c r="B44" s="7" t="n"/>
      <c r="C44" s="7" t="n"/>
      <c r="D44" s="7" t="n"/>
      <c r="E44" s="7" t="n"/>
      <c r="F44" s="7" t="n"/>
      <c r="G44" s="7" t="n"/>
      <c r="H44" s="7" t="n"/>
      <c r="I44" s="7" t="n"/>
      <c r="J44" s="7" t="n"/>
      <c r="K44" s="7" t="n">
        <v>8</v>
      </c>
    </row>
    <row r="45">
      <c r="A45" s="6" t="n">
        <v>2005</v>
      </c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  <c r="K45" s="7" t="n">
        <v>40</v>
      </c>
    </row>
    <row r="46">
      <c r="A46" s="6" t="n">
        <v>2006</v>
      </c>
      <c r="B46" s="7" t="n"/>
      <c r="C46" s="7" t="n"/>
      <c r="D46" s="7" t="n"/>
      <c r="E46" s="7" t="n"/>
      <c r="F46" s="7" t="n"/>
      <c r="G46" s="7" t="n"/>
      <c r="H46" s="7" t="n"/>
      <c r="I46" s="7" t="n"/>
      <c r="J46" s="7" t="n"/>
      <c r="K46" s="8" t="n">
        <v>49.8</v>
      </c>
    </row>
    <row r="47">
      <c r="A47" s="6" t="n">
        <v>2007</v>
      </c>
      <c r="B47" s="7" t="n"/>
      <c r="C47" s="7" t="n"/>
      <c r="D47" s="7" t="n"/>
      <c r="E47" s="7" t="n"/>
      <c r="F47" s="7" t="n"/>
      <c r="G47" s="7" t="n"/>
      <c r="H47" s="7" t="n"/>
      <c r="I47" s="7" t="n"/>
      <c r="J47" s="7" t="n"/>
      <c r="K47" s="7" t="n">
        <v>131</v>
      </c>
    </row>
    <row r="48">
      <c r="A48" s="6" t="n">
        <v>2008</v>
      </c>
      <c r="B48" s="7" t="n"/>
      <c r="C48" s="7" t="n"/>
      <c r="D48" s="7" t="n"/>
      <c r="E48" s="7" t="n"/>
      <c r="F48" s="7" t="n"/>
      <c r="G48" s="7" t="n"/>
      <c r="H48" s="7" t="n"/>
      <c r="I48" s="7" t="n"/>
      <c r="J48" s="7" t="n"/>
      <c r="K48" s="7" t="n">
        <v>28</v>
      </c>
    </row>
    <row r="49">
      <c r="A49" s="6" t="n">
        <v>2009</v>
      </c>
      <c r="B49" s="8" t="n">
        <v>4.8</v>
      </c>
      <c r="C49" s="8" t="n">
        <v>7.3</v>
      </c>
      <c r="D49" s="8" t="n">
        <v>9.6</v>
      </c>
      <c r="E49" s="8" t="n">
        <v>13.3</v>
      </c>
      <c r="F49" s="8" t="n">
        <v>16.6</v>
      </c>
      <c r="G49" s="8" t="n">
        <v>16.8</v>
      </c>
      <c r="H49" s="8" t="n">
        <v>16.9</v>
      </c>
      <c r="I49" s="8" t="n">
        <v>17.1</v>
      </c>
      <c r="J49" s="8" t="n">
        <v>26.8</v>
      </c>
      <c r="K49" s="8" t="n">
        <v>27</v>
      </c>
    </row>
    <row r="50">
      <c r="A50" s="6" t="n">
        <v>2010</v>
      </c>
      <c r="B50" s="8" t="n">
        <v>2</v>
      </c>
      <c r="C50" s="8" t="n">
        <v>2.8</v>
      </c>
      <c r="D50" s="8" t="n">
        <v>3.2</v>
      </c>
      <c r="E50" s="8" t="n">
        <v>3.2</v>
      </c>
      <c r="F50" s="8" t="n">
        <v>4.5</v>
      </c>
      <c r="G50" s="8" t="n">
        <v>5.1</v>
      </c>
      <c r="H50" s="8" t="n">
        <v>5.1</v>
      </c>
      <c r="I50" s="8" t="n">
        <v>5.1</v>
      </c>
      <c r="J50" s="8" t="n">
        <v>5.1</v>
      </c>
      <c r="K50" s="8" t="n">
        <v>5.1</v>
      </c>
    </row>
    <row r="51">
      <c r="A51" s="6" t="n">
        <v>2011</v>
      </c>
      <c r="B51" s="8" t="n">
        <v>1.3</v>
      </c>
      <c r="C51" s="8" t="n">
        <v>2.3</v>
      </c>
      <c r="D51" s="8" t="n">
        <v>3</v>
      </c>
      <c r="E51" s="8" t="n">
        <v>4.3</v>
      </c>
      <c r="F51" s="8" t="n">
        <v>6</v>
      </c>
      <c r="G51" s="8" t="n">
        <v>7</v>
      </c>
      <c r="H51" s="8" t="n">
        <v>10.8</v>
      </c>
      <c r="I51" s="8" t="n">
        <v>12.3</v>
      </c>
      <c r="J51" s="8" t="n">
        <v>13</v>
      </c>
      <c r="K51" s="8" t="n">
        <v>15.1</v>
      </c>
    </row>
    <row r="52">
      <c r="A52" s="6" t="n">
        <v>2012</v>
      </c>
      <c r="B52" s="8" t="n">
        <v>2.2</v>
      </c>
      <c r="C52" s="8" t="n">
        <v>3.6</v>
      </c>
      <c r="D52" s="8" t="n">
        <v>4.7</v>
      </c>
      <c r="E52" s="8" t="n">
        <v>6.4</v>
      </c>
      <c r="F52" s="8" t="n">
        <v>9.9</v>
      </c>
      <c r="G52" s="8" t="n">
        <v>11.7</v>
      </c>
      <c r="H52" s="8" t="n">
        <v>12.1</v>
      </c>
      <c r="I52" s="8" t="n">
        <v>12.2</v>
      </c>
      <c r="J52" s="8" t="n">
        <v>12.2</v>
      </c>
      <c r="K52" s="8" t="n">
        <v>12.2</v>
      </c>
    </row>
    <row r="53">
      <c r="A53" s="6" t="n">
        <v>2013</v>
      </c>
      <c r="B53" s="8" t="n">
        <v>1.8</v>
      </c>
      <c r="C53" s="8" t="n">
        <v>3.4</v>
      </c>
      <c r="D53" s="8" t="n">
        <v>4.4</v>
      </c>
      <c r="E53" s="8" t="n">
        <v>6.5</v>
      </c>
      <c r="F53" s="8" t="n">
        <v>11</v>
      </c>
      <c r="G53" s="8" t="n">
        <v>17.5</v>
      </c>
      <c r="H53" s="8" t="n">
        <v>19.2</v>
      </c>
      <c r="I53" s="8" t="n">
        <v>26.3</v>
      </c>
      <c r="J53" s="8" t="n">
        <v>27.2</v>
      </c>
      <c r="K53" s="8" t="n">
        <v>27.5</v>
      </c>
    </row>
    <row r="54">
      <c r="A54" s="6" t="n">
        <v>2014</v>
      </c>
      <c r="B54" s="8" t="n">
        <v>7.1</v>
      </c>
      <c r="C54" s="8" t="n">
        <v>10.7</v>
      </c>
      <c r="D54" s="8" t="n">
        <v>13</v>
      </c>
      <c r="E54" s="8" t="n">
        <v>13</v>
      </c>
      <c r="F54" s="8" t="n">
        <v>14.9</v>
      </c>
      <c r="G54" s="8" t="n">
        <v>15.5</v>
      </c>
      <c r="H54" s="8" t="n">
        <v>15.5</v>
      </c>
      <c r="I54" s="8" t="n">
        <v>25.8</v>
      </c>
      <c r="J54" s="8" t="n">
        <v>31.6</v>
      </c>
      <c r="K54" s="8" t="n">
        <v>47.6</v>
      </c>
    </row>
    <row r="55">
      <c r="A55" s="6" t="n">
        <v>2015</v>
      </c>
      <c r="B55" s="8" t="n">
        <v>3.6</v>
      </c>
      <c r="C55" s="8" t="n">
        <v>5.6</v>
      </c>
      <c r="D55" s="8" t="n">
        <v>7.3</v>
      </c>
      <c r="E55" s="8" t="n">
        <v>11.3</v>
      </c>
      <c r="F55" s="8" t="n">
        <v>16.6</v>
      </c>
      <c r="G55" s="8" t="n">
        <v>21.5</v>
      </c>
      <c r="H55" s="8" t="n">
        <v>22</v>
      </c>
      <c r="I55" s="8" t="n">
        <v>29.5</v>
      </c>
      <c r="J55" s="8" t="n">
        <v>31.1</v>
      </c>
      <c r="K55" s="8" t="n">
        <v>31.2</v>
      </c>
    </row>
    <row r="56">
      <c r="A56" s="6" t="n">
        <v>2016</v>
      </c>
      <c r="B56" s="8" t="n">
        <v>5.4</v>
      </c>
      <c r="C56" s="8" t="n">
        <v>9.699999999999999</v>
      </c>
      <c r="D56" s="8" t="n">
        <v>11.8</v>
      </c>
      <c r="E56" s="8" t="n">
        <v>16</v>
      </c>
      <c r="F56" s="8" t="n">
        <v>18.6</v>
      </c>
      <c r="G56" s="8" t="n">
        <v>23.5</v>
      </c>
      <c r="H56" s="8" t="n">
        <v>26.4</v>
      </c>
      <c r="I56" s="8" t="n">
        <v>29.1</v>
      </c>
      <c r="J56" s="8" t="n">
        <v>29.9</v>
      </c>
      <c r="K56" s="8" t="n">
        <v>41.3</v>
      </c>
    </row>
    <row r="57">
      <c r="A57" s="6" t="n">
        <v>2017</v>
      </c>
      <c r="B57" s="7" t="n">
        <v>3.8</v>
      </c>
      <c r="C57" s="7" t="n">
        <v>7</v>
      </c>
      <c r="D57" s="7" t="n">
        <v>8</v>
      </c>
      <c r="E57" s="7" t="n">
        <v>8.4</v>
      </c>
      <c r="F57" s="7" t="n">
        <v>8.5</v>
      </c>
      <c r="G57" s="7" t="n">
        <v>8.6</v>
      </c>
      <c r="H57" s="7" t="n">
        <v>8.9</v>
      </c>
      <c r="I57" s="7" t="n">
        <v>11.2</v>
      </c>
      <c r="J57" s="7" t="n">
        <v>14.6</v>
      </c>
      <c r="K57" s="7" t="n">
        <v>15.1</v>
      </c>
    </row>
    <row r="58">
      <c r="A58" s="6" t="n">
        <v>2018</v>
      </c>
      <c r="B58" s="7" t="n">
        <v>1.2</v>
      </c>
      <c r="C58" s="7" t="n">
        <v>1.8</v>
      </c>
      <c r="D58" s="7" t="n">
        <v>2.2</v>
      </c>
      <c r="E58" s="7" t="n">
        <v>3.4</v>
      </c>
      <c r="F58" s="7" t="n">
        <v>5.4</v>
      </c>
      <c r="G58" s="7" t="n">
        <v>6.2</v>
      </c>
      <c r="H58" s="7" t="n">
        <v>6.5</v>
      </c>
      <c r="I58" s="7" t="n">
        <v>8.4</v>
      </c>
      <c r="J58" s="7" t="n">
        <v>10.5</v>
      </c>
      <c r="K58" s="7" t="n">
        <v>11.3</v>
      </c>
    </row>
    <row r="59">
      <c r="A59" s="6" t="n">
        <v>2019</v>
      </c>
      <c r="B59" s="7" t="n">
        <v>6.6</v>
      </c>
      <c r="C59" s="7" t="n">
        <v>13.2</v>
      </c>
      <c r="D59" s="7" t="n">
        <v>13.2</v>
      </c>
      <c r="E59" s="7" t="n">
        <v>15.1</v>
      </c>
      <c r="F59" s="7" t="n">
        <v>18.1</v>
      </c>
      <c r="G59" s="7" t="n">
        <v>19.2</v>
      </c>
      <c r="H59" s="7" t="n">
        <v>19.2</v>
      </c>
      <c r="I59" s="7" t="n">
        <v>19.2</v>
      </c>
      <c r="J59" s="7" t="n">
        <v>21</v>
      </c>
      <c r="K59" s="7" t="n">
        <v>25.4</v>
      </c>
    </row>
    <row r="60">
      <c r="A60" s="6" t="n">
        <v>2020</v>
      </c>
      <c r="B60" s="7" t="n">
        <v>2</v>
      </c>
      <c r="C60" s="7" t="n">
        <v>4</v>
      </c>
      <c r="D60" s="7" t="n">
        <v>5.5</v>
      </c>
      <c r="E60" s="7" t="n">
        <v>8.199999999999999</v>
      </c>
      <c r="F60" s="7" t="n">
        <v>9.800000000000001</v>
      </c>
      <c r="G60" s="7" t="n">
        <v>12</v>
      </c>
      <c r="H60" s="7" t="n">
        <v>13.2</v>
      </c>
      <c r="I60" s="7" t="n">
        <v>13.6</v>
      </c>
      <c r="J60" s="7" t="n">
        <v>13.8</v>
      </c>
      <c r="K60" s="7" t="n">
        <v>20.8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7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</cols>
  <sheetData>
    <row r="1">
      <c r="A1" s="1" t="inlineStr">
        <is>
          <t>Gauge 5  |  FM415095AF  |  Al Khuwair at Al Khuwair Health Center</t>
        </is>
      </c>
    </row>
    <row r="3">
      <c r="A3" s="2" t="inlineStr">
        <is>
          <t>AMS BEFORE gap filling (observed only, mm)</t>
        </is>
      </c>
      <c r="M3" s="3" t="inlineStr">
        <is>
          <t>IDF - design rainfall DEPTH (mm)</t>
        </is>
      </c>
    </row>
    <row r="4">
      <c r="A4" s="4" t="inlineStr">
        <is>
          <t>Water year</t>
        </is>
      </c>
      <c r="B4" s="5" t="inlineStr">
        <is>
          <t>5min</t>
        </is>
      </c>
      <c r="C4" s="5" t="inlineStr">
        <is>
          <t>10min</t>
        </is>
      </c>
      <c r="D4" s="5" t="inlineStr">
        <is>
          <t>15min</t>
        </is>
      </c>
      <c r="E4" s="5" t="inlineStr">
        <is>
          <t>30min</t>
        </is>
      </c>
      <c r="F4" s="5" t="inlineStr">
        <is>
          <t>1h</t>
        </is>
      </c>
      <c r="G4" s="5" t="inlineStr">
        <is>
          <t>2h</t>
        </is>
      </c>
      <c r="H4" s="5" t="inlineStr">
        <is>
          <t>3h</t>
        </is>
      </c>
      <c r="I4" s="5" t="inlineStr">
        <is>
          <t>6h</t>
        </is>
      </c>
      <c r="J4" s="5" t="inlineStr">
        <is>
          <t>12h</t>
        </is>
      </c>
      <c r="K4" s="5" t="inlineStr">
        <is>
          <t>24h</t>
        </is>
      </c>
      <c r="M4" s="4" t="inlineStr">
        <is>
          <t>Duration \ RP</t>
        </is>
      </c>
      <c r="N4" s="4" t="n">
        <v>2</v>
      </c>
      <c r="O4" s="4" t="n">
        <v>5</v>
      </c>
      <c r="P4" s="4" t="n">
        <v>10</v>
      </c>
      <c r="Q4" s="4" t="n">
        <v>25</v>
      </c>
      <c r="R4" s="4" t="n">
        <v>50</v>
      </c>
      <c r="S4" s="4" t="n">
        <v>100</v>
      </c>
      <c r="T4" s="4" t="n">
        <v>200</v>
      </c>
      <c r="U4" s="4" t="n">
        <v>500</v>
      </c>
      <c r="V4" s="4" t="n">
        <v>1000</v>
      </c>
      <c r="W4" s="4" t="n">
        <v>2000</v>
      </c>
      <c r="X4" s="4" t="n">
        <v>5000</v>
      </c>
      <c r="Y4" s="4" t="n">
        <v>10000</v>
      </c>
    </row>
    <row r="5">
      <c r="A5" s="6" t="n">
        <v>1986</v>
      </c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>
        <v>11.5</v>
      </c>
      <c r="M5" s="6" t="inlineStr">
        <is>
          <t>5min</t>
        </is>
      </c>
      <c r="N5" s="6" t="n">
        <v>4</v>
      </c>
      <c r="O5" s="6" t="n">
        <v>6.6</v>
      </c>
      <c r="P5" s="6" t="n">
        <v>8.4</v>
      </c>
      <c r="Q5" s="6" t="n">
        <v>10.9</v>
      </c>
      <c r="R5" s="6" t="n">
        <v>12.9</v>
      </c>
      <c r="S5" s="6" t="n">
        <v>14.9</v>
      </c>
      <c r="T5" s="6" t="n">
        <v>17.1</v>
      </c>
      <c r="U5" s="6" t="n">
        <v>20.2</v>
      </c>
      <c r="V5" s="6" t="n">
        <v>22.6</v>
      </c>
      <c r="W5" s="6" t="n">
        <v>25.2</v>
      </c>
      <c r="X5" s="6" t="n">
        <v>28.9</v>
      </c>
      <c r="Y5" s="6" t="n">
        <v>31.8</v>
      </c>
    </row>
    <row r="6">
      <c r="A6" s="6" t="n">
        <v>1987</v>
      </c>
      <c r="B6" s="7" t="n"/>
      <c r="C6" s="7" t="n"/>
      <c r="D6" s="7" t="n"/>
      <c r="E6" s="7" t="n"/>
      <c r="F6" s="7" t="n"/>
      <c r="G6" s="7" t="n"/>
      <c r="H6" s="7" t="n"/>
      <c r="I6" s="7" t="n"/>
      <c r="J6" s="7" t="n"/>
      <c r="K6" s="7" t="n">
        <v>42</v>
      </c>
      <c r="M6" s="6" t="inlineStr">
        <is>
          <t>10min</t>
        </is>
      </c>
      <c r="N6" s="6" t="n">
        <v>6.3</v>
      </c>
      <c r="O6" s="6" t="n">
        <v>10.5</v>
      </c>
      <c r="P6" s="6" t="n">
        <v>13.6</v>
      </c>
      <c r="Q6" s="6" t="n">
        <v>17.9</v>
      </c>
      <c r="R6" s="6" t="n">
        <v>21.4</v>
      </c>
      <c r="S6" s="6" t="n">
        <v>25.1</v>
      </c>
      <c r="T6" s="6" t="n">
        <v>29.1</v>
      </c>
      <c r="U6" s="6" t="n">
        <v>34.8</v>
      </c>
      <c r="V6" s="6" t="n">
        <v>39.5</v>
      </c>
      <c r="W6" s="6" t="n">
        <v>44.5</v>
      </c>
      <c r="X6" s="6" t="n">
        <v>51.8</v>
      </c>
      <c r="Y6" s="6" t="n">
        <v>57.8</v>
      </c>
    </row>
    <row r="7">
      <c r="A7" s="6" t="n">
        <v>1988</v>
      </c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>
        <v>20</v>
      </c>
      <c r="M7" s="6" t="inlineStr">
        <is>
          <t>15min</t>
        </is>
      </c>
      <c r="N7" s="6" t="n">
        <v>7.7</v>
      </c>
      <c r="O7" s="6" t="n">
        <v>13.3</v>
      </c>
      <c r="P7" s="6" t="n">
        <v>17.6</v>
      </c>
      <c r="Q7" s="6" t="n">
        <v>23.7</v>
      </c>
      <c r="R7" s="6" t="n">
        <v>28.8</v>
      </c>
      <c r="S7" s="6" t="n">
        <v>34.5</v>
      </c>
      <c r="T7" s="6" t="n">
        <v>40.8</v>
      </c>
      <c r="U7" s="6" t="n">
        <v>50.1</v>
      </c>
      <c r="V7" s="6" t="n">
        <v>58.1</v>
      </c>
      <c r="W7" s="6" t="n">
        <v>66.90000000000001</v>
      </c>
      <c r="X7" s="6" t="n">
        <v>80.09999999999999</v>
      </c>
      <c r="Y7" s="6" t="n">
        <v>91.3</v>
      </c>
    </row>
    <row r="8">
      <c r="A8" s="6" t="n">
        <v>1989</v>
      </c>
      <c r="B8" s="7" t="n"/>
      <c r="C8" s="7" t="n"/>
      <c r="D8" s="7" t="n"/>
      <c r="E8" s="7" t="n"/>
      <c r="F8" s="7" t="n"/>
      <c r="G8" s="7" t="n"/>
      <c r="H8" s="7" t="n"/>
      <c r="I8" s="7" t="n"/>
      <c r="J8" s="7" t="n"/>
      <c r="K8" s="7" t="n">
        <v>22.5</v>
      </c>
      <c r="M8" s="6" t="inlineStr">
        <is>
          <t>30min</t>
        </is>
      </c>
      <c r="N8" s="6" t="n">
        <v>10.2</v>
      </c>
      <c r="O8" s="6" t="n">
        <v>18</v>
      </c>
      <c r="P8" s="6" t="n">
        <v>23.8</v>
      </c>
      <c r="Q8" s="6" t="n">
        <v>32.3</v>
      </c>
      <c r="R8" s="6" t="n">
        <v>39.3</v>
      </c>
      <c r="S8" s="6" t="n">
        <v>47.1</v>
      </c>
      <c r="T8" s="6" t="n">
        <v>55.6</v>
      </c>
      <c r="U8" s="6" t="n">
        <v>68.3</v>
      </c>
      <c r="V8" s="6" t="n">
        <v>79</v>
      </c>
      <c r="W8" s="6" t="n">
        <v>90.90000000000001</v>
      </c>
      <c r="X8" s="6" t="n">
        <v>108.6</v>
      </c>
      <c r="Y8" s="6" t="n">
        <v>123.6</v>
      </c>
    </row>
    <row r="9">
      <c r="A9" s="6" t="n">
        <v>1990</v>
      </c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>
        <v>38.5</v>
      </c>
      <c r="M9" s="6" t="inlineStr">
        <is>
          <t>1h</t>
        </is>
      </c>
      <c r="N9" s="6" t="n">
        <v>12.7</v>
      </c>
      <c r="O9" s="6" t="n">
        <v>22.4</v>
      </c>
      <c r="P9" s="6" t="n">
        <v>29.7</v>
      </c>
      <c r="Q9" s="6" t="n">
        <v>40.2</v>
      </c>
      <c r="R9" s="6" t="n">
        <v>48.9</v>
      </c>
      <c r="S9" s="6" t="n">
        <v>58.5</v>
      </c>
      <c r="T9" s="6" t="n">
        <v>69</v>
      </c>
      <c r="U9" s="6" t="n">
        <v>84.7</v>
      </c>
      <c r="V9" s="6" t="n">
        <v>97.90000000000001</v>
      </c>
      <c r="W9" s="6" t="n">
        <v>112.6</v>
      </c>
      <c r="X9" s="6" t="n">
        <v>134.3</v>
      </c>
      <c r="Y9" s="6" t="n">
        <v>152.7</v>
      </c>
    </row>
    <row r="10">
      <c r="A10" s="6" t="n">
        <v>1991</v>
      </c>
      <c r="B10" s="7" t="n"/>
      <c r="C10" s="7" t="n"/>
      <c r="D10" s="7" t="n"/>
      <c r="E10" s="7" t="n"/>
      <c r="F10" s="7" t="n"/>
      <c r="G10" s="7" t="n"/>
      <c r="H10" s="7" t="n"/>
      <c r="I10" s="7" t="n"/>
      <c r="J10" s="7" t="n"/>
      <c r="K10" s="7" t="n">
        <v>8</v>
      </c>
      <c r="M10" s="6" t="inlineStr">
        <is>
          <t>2h</t>
        </is>
      </c>
      <c r="N10" s="6" t="n">
        <v>15</v>
      </c>
      <c r="O10" s="6" t="n">
        <v>26.6</v>
      </c>
      <c r="P10" s="6" t="n">
        <v>35.4</v>
      </c>
      <c r="Q10" s="6" t="n">
        <v>48.3</v>
      </c>
      <c r="R10" s="6" t="n">
        <v>59.2</v>
      </c>
      <c r="S10" s="6" t="n">
        <v>71.3</v>
      </c>
      <c r="T10" s="6" t="n">
        <v>84.8</v>
      </c>
      <c r="U10" s="6" t="n">
        <v>105.1</v>
      </c>
      <c r="V10" s="6" t="n">
        <v>122.5</v>
      </c>
      <c r="W10" s="6" t="n">
        <v>142</v>
      </c>
      <c r="X10" s="6" t="n">
        <v>171.3</v>
      </c>
      <c r="Y10" s="6" t="n">
        <v>196.5</v>
      </c>
    </row>
    <row r="11">
      <c r="A11" s="6" t="n">
        <v>1992</v>
      </c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>
        <v>37</v>
      </c>
      <c r="M11" s="6" t="inlineStr">
        <is>
          <t>3h</t>
        </is>
      </c>
      <c r="N11" s="6" t="n">
        <v>16.3</v>
      </c>
      <c r="O11" s="6" t="n">
        <v>29</v>
      </c>
      <c r="P11" s="6" t="n">
        <v>39</v>
      </c>
      <c r="Q11" s="6" t="n">
        <v>53.9</v>
      </c>
      <c r="R11" s="6" t="n">
        <v>66.8</v>
      </c>
      <c r="S11" s="6" t="n">
        <v>81.40000000000001</v>
      </c>
      <c r="T11" s="6" t="n">
        <v>98</v>
      </c>
      <c r="U11" s="6" t="n">
        <v>123.6</v>
      </c>
      <c r="V11" s="6" t="n">
        <v>146.1</v>
      </c>
      <c r="W11" s="6" t="n">
        <v>171.7</v>
      </c>
      <c r="X11" s="6" t="n">
        <v>211.1</v>
      </c>
      <c r="Y11" s="6" t="n">
        <v>245.8</v>
      </c>
    </row>
    <row r="12">
      <c r="A12" s="6" t="n">
        <v>1993</v>
      </c>
      <c r="B12" s="7" t="n"/>
      <c r="C12" s="7" t="n"/>
      <c r="D12" s="7" t="n"/>
      <c r="E12" s="7" t="n"/>
      <c r="F12" s="7" t="n">
        <v>4</v>
      </c>
      <c r="G12" s="7" t="n">
        <v>7</v>
      </c>
      <c r="H12" s="7" t="n">
        <v>7.5</v>
      </c>
      <c r="I12" s="7" t="n">
        <v>8.699999999999999</v>
      </c>
      <c r="J12" s="7" t="n">
        <v>10.8</v>
      </c>
      <c r="K12" s="7" t="n">
        <v>14.8</v>
      </c>
      <c r="M12" s="6" t="inlineStr">
        <is>
          <t>6h</t>
        </is>
      </c>
      <c r="N12" s="6" t="n">
        <v>19.2</v>
      </c>
      <c r="O12" s="6" t="n">
        <v>34.4</v>
      </c>
      <c r="P12" s="6" t="n">
        <v>47</v>
      </c>
      <c r="Q12" s="6" t="n">
        <v>66.5</v>
      </c>
      <c r="R12" s="6" t="n">
        <v>84</v>
      </c>
      <c r="S12" s="6" t="n">
        <v>104.6</v>
      </c>
      <c r="T12" s="6" t="n">
        <v>128.7</v>
      </c>
      <c r="U12" s="6" t="n">
        <v>167.3</v>
      </c>
      <c r="V12" s="6" t="n">
        <v>202.5</v>
      </c>
      <c r="W12" s="6" t="n">
        <v>244.1</v>
      </c>
      <c r="X12" s="6" t="n">
        <v>310.5</v>
      </c>
      <c r="Y12" s="6" t="n">
        <v>371.3</v>
      </c>
    </row>
    <row r="13">
      <c r="A13" s="6" t="n">
        <v>1994</v>
      </c>
      <c r="B13" s="7" t="n"/>
      <c r="C13" s="7" t="n"/>
      <c r="D13" s="7" t="n"/>
      <c r="E13" s="7" t="n"/>
      <c r="F13" s="7" t="n">
        <v>3</v>
      </c>
      <c r="G13" s="7" t="n">
        <v>3.5</v>
      </c>
      <c r="H13" s="7" t="n">
        <v>4</v>
      </c>
      <c r="I13" s="7" t="n">
        <v>4.3</v>
      </c>
      <c r="J13" s="7" t="n">
        <v>4.9</v>
      </c>
      <c r="K13" s="7" t="n">
        <v>6.2</v>
      </c>
      <c r="M13" s="6" t="inlineStr">
        <is>
          <t>12h</t>
        </is>
      </c>
      <c r="N13" s="6" t="n">
        <v>22.2</v>
      </c>
      <c r="O13" s="6" t="n">
        <v>40.1</v>
      </c>
      <c r="P13" s="6" t="n">
        <v>55.2</v>
      </c>
      <c r="Q13" s="6" t="n">
        <v>79</v>
      </c>
      <c r="R13" s="6" t="n">
        <v>100.8</v>
      </c>
      <c r="S13" s="6" t="n">
        <v>126.8</v>
      </c>
      <c r="T13" s="6" t="n">
        <v>157.8</v>
      </c>
      <c r="U13" s="6" t="n">
        <v>208.2</v>
      </c>
      <c r="V13" s="6" t="n">
        <v>255.1</v>
      </c>
      <c r="W13" s="6" t="n">
        <v>311.2</v>
      </c>
      <c r="X13" s="6" t="n">
        <v>402.6</v>
      </c>
      <c r="Y13" s="6" t="n">
        <v>487.7</v>
      </c>
    </row>
    <row r="14">
      <c r="A14" s="6" t="n">
        <v>1995</v>
      </c>
      <c r="B14" s="7" t="n"/>
      <c r="C14" s="7" t="n"/>
      <c r="D14" s="7" t="n"/>
      <c r="E14" s="7" t="n"/>
      <c r="F14" s="7" t="n">
        <v>3.5</v>
      </c>
      <c r="G14" s="7" t="n">
        <v>6.5</v>
      </c>
      <c r="H14" s="7" t="n">
        <v>7.4</v>
      </c>
      <c r="I14" s="7" t="n">
        <v>8.5</v>
      </c>
      <c r="J14" s="7" t="n">
        <v>8.800000000000001</v>
      </c>
      <c r="K14" s="7" t="n">
        <v>9.300000000000001</v>
      </c>
      <c r="M14" s="6" t="inlineStr">
        <is>
          <t>24h</t>
        </is>
      </c>
      <c r="N14" s="6" t="n">
        <v>28.1</v>
      </c>
      <c r="O14" s="6" t="n">
        <v>52.5</v>
      </c>
      <c r="P14" s="6" t="n">
        <v>73.2</v>
      </c>
      <c r="Q14" s="6" t="n">
        <v>106.3</v>
      </c>
      <c r="R14" s="6" t="n">
        <v>136.9</v>
      </c>
      <c r="S14" s="6" t="n">
        <v>173.6</v>
      </c>
      <c r="T14" s="6" t="n">
        <v>217.8</v>
      </c>
      <c r="U14" s="6" t="n">
        <v>290.5</v>
      </c>
      <c r="V14" s="6" t="n">
        <v>358.7</v>
      </c>
      <c r="W14" s="6" t="n">
        <v>441</v>
      </c>
      <c r="X14" s="6" t="n">
        <v>576.4</v>
      </c>
      <c r="Y14" s="6" t="n">
        <v>703.6</v>
      </c>
    </row>
    <row r="15">
      <c r="A15" s="6" t="n">
        <v>1996</v>
      </c>
      <c r="B15" s="7" t="n"/>
      <c r="C15" s="7" t="n"/>
      <c r="D15" s="7" t="n"/>
      <c r="E15" s="7" t="n"/>
      <c r="F15" s="7" t="n">
        <v>17</v>
      </c>
      <c r="G15" s="7" t="n">
        <v>28.5</v>
      </c>
      <c r="H15" s="7" t="n">
        <v>33</v>
      </c>
      <c r="I15" s="7" t="n">
        <v>35.9</v>
      </c>
      <c r="J15" s="7" t="n">
        <v>40.3</v>
      </c>
      <c r="K15" s="7" t="n">
        <v>49</v>
      </c>
    </row>
    <row r="16">
      <c r="A16" s="6" t="n">
        <v>1997</v>
      </c>
      <c r="B16" s="7" t="n"/>
      <c r="C16" s="7" t="n"/>
      <c r="D16" s="7" t="n"/>
      <c r="E16" s="7" t="n"/>
      <c r="F16" s="7" t="n">
        <v>13</v>
      </c>
      <c r="G16" s="7" t="n">
        <v>25</v>
      </c>
      <c r="H16" s="7" t="n">
        <v>30.5</v>
      </c>
      <c r="I16" s="7" t="n">
        <v>33</v>
      </c>
      <c r="J16" s="7" t="n">
        <v>41</v>
      </c>
      <c r="K16" s="7" t="n">
        <v>48.6</v>
      </c>
      <c r="M16" s="3" t="inlineStr">
        <is>
          <t>IDF - intensity (mm/hr) [x=duration(min)]</t>
        </is>
      </c>
    </row>
    <row r="17">
      <c r="A17" s="6" t="n">
        <v>1998</v>
      </c>
      <c r="B17" s="7" t="n"/>
      <c r="C17" s="7" t="n"/>
      <c r="D17" s="7" t="n"/>
      <c r="E17" s="7" t="n"/>
      <c r="F17" s="7" t="n">
        <v>13.5</v>
      </c>
      <c r="G17" s="7" t="n">
        <v>16.5</v>
      </c>
      <c r="H17" s="7" t="n">
        <v>17.4</v>
      </c>
      <c r="I17" s="7" t="n">
        <v>20.1</v>
      </c>
      <c r="J17" s="7" t="n">
        <v>25.5</v>
      </c>
      <c r="K17" s="7" t="n">
        <v>36.2</v>
      </c>
      <c r="M17" t="inlineStr">
        <is>
          <t>Duration(min)</t>
        </is>
      </c>
      <c r="N17" t="inlineStr">
        <is>
          <t>2 yr</t>
        </is>
      </c>
      <c r="O17" t="inlineStr">
        <is>
          <t>5 yr</t>
        </is>
      </c>
      <c r="P17" t="inlineStr">
        <is>
          <t>10 yr</t>
        </is>
      </c>
      <c r="Q17" t="inlineStr">
        <is>
          <t>25 yr</t>
        </is>
      </c>
      <c r="R17" t="inlineStr">
        <is>
          <t>50 yr</t>
        </is>
      </c>
      <c r="S17" t="inlineStr">
        <is>
          <t>100 yr</t>
        </is>
      </c>
      <c r="T17" t="inlineStr">
        <is>
          <t>200 yr</t>
        </is>
      </c>
      <c r="U17" t="inlineStr">
        <is>
          <t>500 yr</t>
        </is>
      </c>
      <c r="V17" t="inlineStr">
        <is>
          <t>1000 yr</t>
        </is>
      </c>
      <c r="W17" t="inlineStr">
        <is>
          <t>2000 yr</t>
        </is>
      </c>
      <c r="X17" t="inlineStr">
        <is>
          <t>5000 yr</t>
        </is>
      </c>
      <c r="Y17" t="inlineStr">
        <is>
          <t>10000 yr</t>
        </is>
      </c>
    </row>
    <row r="18">
      <c r="A18" s="6" t="n">
        <v>1999</v>
      </c>
      <c r="B18" s="7" t="n"/>
      <c r="C18" s="7" t="n"/>
      <c r="D18" s="7" t="n"/>
      <c r="E18" s="7" t="n"/>
      <c r="F18" s="7" t="n">
        <v>5</v>
      </c>
      <c r="G18" s="7" t="n">
        <v>5.5</v>
      </c>
      <c r="H18" s="7" t="n">
        <v>7</v>
      </c>
      <c r="I18" s="7" t="n">
        <v>12.3</v>
      </c>
      <c r="J18" s="7" t="n">
        <v>18.1</v>
      </c>
      <c r="K18" s="7" t="n">
        <v>18.3</v>
      </c>
      <c r="M18" t="n">
        <v>5</v>
      </c>
      <c r="N18" t="n">
        <v>48.2</v>
      </c>
      <c r="O18" t="n">
        <v>79.09999999999999</v>
      </c>
      <c r="P18" t="n">
        <v>101.1</v>
      </c>
      <c r="Q18" t="n">
        <v>130.9</v>
      </c>
      <c r="R18" t="n">
        <v>154.5</v>
      </c>
      <c r="S18" t="n">
        <v>179.3</v>
      </c>
      <c r="T18" t="n">
        <v>205.4</v>
      </c>
      <c r="U18" t="n">
        <v>242</v>
      </c>
      <c r="V18" t="n">
        <v>271.5</v>
      </c>
      <c r="W18" t="n">
        <v>302.7</v>
      </c>
      <c r="X18" t="n">
        <v>346.6</v>
      </c>
      <c r="Y18" t="n">
        <v>382</v>
      </c>
    </row>
    <row r="19">
      <c r="A19" s="6" t="n">
        <v>2000</v>
      </c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>
        <v>1</v>
      </c>
      <c r="M19" t="n">
        <v>10</v>
      </c>
      <c r="N19" t="n">
        <v>37.6</v>
      </c>
      <c r="O19" t="n">
        <v>63</v>
      </c>
      <c r="P19" t="n">
        <v>81.7</v>
      </c>
      <c r="Q19" t="n">
        <v>107.4</v>
      </c>
      <c r="R19" t="n">
        <v>128.2</v>
      </c>
      <c r="S19" t="n">
        <v>150.4</v>
      </c>
      <c r="T19" t="n">
        <v>174.3</v>
      </c>
      <c r="U19" t="n">
        <v>208.6</v>
      </c>
      <c r="V19" t="n">
        <v>236.8</v>
      </c>
      <c r="W19" t="n">
        <v>267.2</v>
      </c>
      <c r="X19" t="n">
        <v>310.8</v>
      </c>
      <c r="Y19" t="n">
        <v>346.8</v>
      </c>
    </row>
    <row r="20">
      <c r="A20" s="6" t="n">
        <v>2001</v>
      </c>
      <c r="B20" s="7" t="n"/>
      <c r="C20" s="7" t="n"/>
      <c r="D20" s="7" t="n"/>
      <c r="E20" s="7" t="n"/>
      <c r="F20" s="7" t="n">
        <v>6</v>
      </c>
      <c r="G20" s="7" t="n">
        <v>6.5</v>
      </c>
      <c r="H20" s="7" t="n">
        <v>7.5</v>
      </c>
      <c r="I20" s="7" t="n">
        <v>8.699999999999999</v>
      </c>
      <c r="J20" s="7" t="n">
        <v>9.199999999999999</v>
      </c>
      <c r="K20" s="7" t="n">
        <v>10.2</v>
      </c>
      <c r="M20" t="n">
        <v>15</v>
      </c>
      <c r="N20" t="n">
        <v>30.8</v>
      </c>
      <c r="O20" t="n">
        <v>53.2</v>
      </c>
      <c r="P20" t="n">
        <v>70.2</v>
      </c>
      <c r="Q20" t="n">
        <v>94.7</v>
      </c>
      <c r="R20" t="n">
        <v>115.3</v>
      </c>
      <c r="S20" t="n">
        <v>137.9</v>
      </c>
      <c r="T20" t="n">
        <v>163</v>
      </c>
      <c r="U20" t="n">
        <v>200.4</v>
      </c>
      <c r="V20" t="n">
        <v>232.2</v>
      </c>
      <c r="W20" t="n">
        <v>267.6</v>
      </c>
      <c r="X20" t="n">
        <v>320.3</v>
      </c>
      <c r="Y20" t="n">
        <v>365.3</v>
      </c>
    </row>
    <row r="21">
      <c r="A21" s="6" t="n">
        <v>2002</v>
      </c>
      <c r="B21" s="7" t="n"/>
      <c r="C21" s="7" t="n"/>
      <c r="D21" s="7" t="n"/>
      <c r="E21" s="7" t="n"/>
      <c r="F21" s="7" t="n">
        <v>5</v>
      </c>
      <c r="G21" s="7" t="n">
        <v>5.5</v>
      </c>
      <c r="H21" s="7" t="n">
        <v>6</v>
      </c>
      <c r="I21" s="7" t="n">
        <v>7.1</v>
      </c>
      <c r="J21" s="7" t="n">
        <v>13.5</v>
      </c>
      <c r="K21" s="7" t="n">
        <v>27</v>
      </c>
      <c r="M21" t="n">
        <v>30</v>
      </c>
      <c r="N21" t="n">
        <v>20.3</v>
      </c>
      <c r="O21" t="n">
        <v>35.9</v>
      </c>
      <c r="P21" t="n">
        <v>47.7</v>
      </c>
      <c r="Q21" t="n">
        <v>64.59999999999999</v>
      </c>
      <c r="R21" t="n">
        <v>78.7</v>
      </c>
      <c r="S21" t="n">
        <v>94.2</v>
      </c>
      <c r="T21" t="n">
        <v>111.2</v>
      </c>
      <c r="U21" t="n">
        <v>136.6</v>
      </c>
      <c r="V21" t="n">
        <v>158.1</v>
      </c>
      <c r="W21" t="n">
        <v>181.9</v>
      </c>
      <c r="X21" t="n">
        <v>217.2</v>
      </c>
      <c r="Y21" t="n">
        <v>247.2</v>
      </c>
    </row>
    <row r="22">
      <c r="A22" s="6" t="n">
        <v>2003</v>
      </c>
      <c r="B22" s="7" t="n"/>
      <c r="C22" s="7" t="n"/>
      <c r="D22" s="7" t="n"/>
      <c r="E22" s="7" t="n"/>
      <c r="F22" s="7" t="n"/>
      <c r="G22" s="7" t="n"/>
      <c r="H22" s="7" t="n"/>
      <c r="I22" s="7" t="n"/>
      <c r="J22" s="7" t="n"/>
      <c r="K22" s="7" t="n"/>
      <c r="M22" t="n">
        <v>60</v>
      </c>
      <c r="N22" t="n">
        <v>12.7</v>
      </c>
      <c r="O22" t="n">
        <v>22.4</v>
      </c>
      <c r="P22" t="n">
        <v>29.7</v>
      </c>
      <c r="Q22" t="n">
        <v>40.2</v>
      </c>
      <c r="R22" t="n">
        <v>48.9</v>
      </c>
      <c r="S22" t="n">
        <v>58.5</v>
      </c>
      <c r="T22" t="n">
        <v>69</v>
      </c>
      <c r="U22" t="n">
        <v>84.7</v>
      </c>
      <c r="V22" t="n">
        <v>97.90000000000001</v>
      </c>
      <c r="W22" t="n">
        <v>112.6</v>
      </c>
      <c r="X22" t="n">
        <v>134.3</v>
      </c>
      <c r="Y22" t="n">
        <v>152.7</v>
      </c>
    </row>
    <row r="23">
      <c r="A23" s="6" t="n">
        <v>2004</v>
      </c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  <c r="M23" t="n">
        <v>120</v>
      </c>
      <c r="N23" t="n">
        <v>7.5</v>
      </c>
      <c r="O23" t="n">
        <v>13.3</v>
      </c>
      <c r="P23" t="n">
        <v>17.7</v>
      </c>
      <c r="Q23" t="n">
        <v>24.2</v>
      </c>
      <c r="R23" t="n">
        <v>29.6</v>
      </c>
      <c r="S23" t="n">
        <v>35.7</v>
      </c>
      <c r="T23" t="n">
        <v>42.4</v>
      </c>
      <c r="U23" t="n">
        <v>52.5</v>
      </c>
      <c r="V23" t="n">
        <v>61.3</v>
      </c>
      <c r="W23" t="n">
        <v>71</v>
      </c>
      <c r="X23" t="n">
        <v>85.59999999999999</v>
      </c>
      <c r="Y23" t="n">
        <v>98.3</v>
      </c>
    </row>
    <row r="24">
      <c r="A24" s="6" t="n">
        <v>2005</v>
      </c>
      <c r="B24" s="7" t="n">
        <v>2</v>
      </c>
      <c r="C24" s="7" t="n">
        <v>2.8</v>
      </c>
      <c r="D24" s="7" t="n">
        <v>2.9</v>
      </c>
      <c r="E24" s="7" t="n">
        <v>3.3</v>
      </c>
      <c r="F24" s="7" t="n">
        <v>3.4</v>
      </c>
      <c r="G24" s="7" t="n">
        <v>6.1</v>
      </c>
      <c r="H24" s="7" t="n">
        <v>6.6</v>
      </c>
      <c r="I24" s="7" t="n">
        <v>6.7</v>
      </c>
      <c r="J24" s="7" t="n">
        <v>6.8</v>
      </c>
      <c r="K24" s="7" t="n">
        <v>7.4</v>
      </c>
      <c r="M24" t="n">
        <v>180</v>
      </c>
      <c r="N24" t="n">
        <v>5.4</v>
      </c>
      <c r="O24" t="n">
        <v>9.699999999999999</v>
      </c>
      <c r="P24" t="n">
        <v>13</v>
      </c>
      <c r="Q24" t="n">
        <v>18</v>
      </c>
      <c r="R24" t="n">
        <v>22.3</v>
      </c>
      <c r="S24" t="n">
        <v>27.1</v>
      </c>
      <c r="T24" t="n">
        <v>32.7</v>
      </c>
      <c r="U24" t="n">
        <v>41.2</v>
      </c>
      <c r="V24" t="n">
        <v>48.7</v>
      </c>
      <c r="W24" t="n">
        <v>57.2</v>
      </c>
      <c r="X24" t="n">
        <v>70.40000000000001</v>
      </c>
      <c r="Y24" t="n">
        <v>81.90000000000001</v>
      </c>
    </row>
    <row r="25">
      <c r="A25" s="6" t="n">
        <v>2006</v>
      </c>
      <c r="B25" s="7" t="n"/>
      <c r="C25" s="7" t="n"/>
      <c r="D25" s="7" t="n"/>
      <c r="E25" s="7" t="n"/>
      <c r="F25" s="7" t="n"/>
      <c r="G25" s="7" t="n"/>
      <c r="H25" s="7" t="n">
        <v>1.5</v>
      </c>
      <c r="I25" s="7" t="n">
        <v>1.6</v>
      </c>
      <c r="J25" s="7" t="n">
        <v>1.7</v>
      </c>
      <c r="K25" s="7" t="n">
        <v>2</v>
      </c>
      <c r="M25" t="n">
        <v>360</v>
      </c>
      <c r="N25" t="n">
        <v>3.2</v>
      </c>
      <c r="O25" t="n">
        <v>5.7</v>
      </c>
      <c r="P25" t="n">
        <v>7.8</v>
      </c>
      <c r="Q25" t="n">
        <v>11.1</v>
      </c>
      <c r="R25" t="n">
        <v>14</v>
      </c>
      <c r="S25" t="n">
        <v>17.4</v>
      </c>
      <c r="T25" t="n">
        <v>21.4</v>
      </c>
      <c r="U25" t="n">
        <v>27.9</v>
      </c>
      <c r="V25" t="n">
        <v>33.8</v>
      </c>
      <c r="W25" t="n">
        <v>40.7</v>
      </c>
      <c r="X25" t="n">
        <v>51.8</v>
      </c>
      <c r="Y25" t="n">
        <v>61.9</v>
      </c>
    </row>
    <row r="26">
      <c r="A26" s="6" t="n">
        <v>2007</v>
      </c>
      <c r="B26" s="7" t="n"/>
      <c r="C26" s="7" t="n"/>
      <c r="D26" s="7" t="n"/>
      <c r="E26" s="7" t="n"/>
      <c r="F26" s="7" t="n"/>
      <c r="G26" s="7" t="n"/>
      <c r="H26" s="7" t="n"/>
      <c r="I26" s="7" t="n"/>
      <c r="J26" s="7" t="n"/>
      <c r="K26" s="7" t="n">
        <v>112</v>
      </c>
      <c r="M26" t="n">
        <v>720</v>
      </c>
      <c r="N26" t="n">
        <v>1.9</v>
      </c>
      <c r="O26" t="n">
        <v>3.3</v>
      </c>
      <c r="P26" t="n">
        <v>4.6</v>
      </c>
      <c r="Q26" t="n">
        <v>6.6</v>
      </c>
      <c r="R26" t="n">
        <v>8.4</v>
      </c>
      <c r="S26" t="n">
        <v>10.6</v>
      </c>
      <c r="T26" t="n">
        <v>13.1</v>
      </c>
      <c r="U26" t="n">
        <v>17.4</v>
      </c>
      <c r="V26" t="n">
        <v>21.3</v>
      </c>
      <c r="W26" t="n">
        <v>25.9</v>
      </c>
      <c r="X26" t="n">
        <v>33.6</v>
      </c>
      <c r="Y26" t="n">
        <v>40.6</v>
      </c>
    </row>
    <row r="27">
      <c r="A27" s="6" t="n">
        <v>2008</v>
      </c>
      <c r="B27" s="7" t="n"/>
      <c r="C27" s="7" t="n"/>
      <c r="D27" s="7" t="n"/>
      <c r="E27" s="7" t="n"/>
      <c r="F27" s="7" t="n"/>
      <c r="G27" s="7" t="n"/>
      <c r="H27" s="7" t="n"/>
      <c r="I27" s="7" t="n"/>
      <c r="J27" s="7" t="n"/>
      <c r="K27" s="7" t="n">
        <v>48</v>
      </c>
      <c r="M27" t="n">
        <v>1440</v>
      </c>
      <c r="N27" t="n">
        <v>1.2</v>
      </c>
      <c r="O27" t="n">
        <v>2.2</v>
      </c>
      <c r="P27" t="n">
        <v>3.1</v>
      </c>
      <c r="Q27" t="n">
        <v>4.4</v>
      </c>
      <c r="R27" t="n">
        <v>5.7</v>
      </c>
      <c r="S27" t="n">
        <v>7.2</v>
      </c>
      <c r="T27" t="n">
        <v>9.1</v>
      </c>
      <c r="U27" t="n">
        <v>12.1</v>
      </c>
      <c r="V27" t="n">
        <v>14.9</v>
      </c>
      <c r="W27" t="n">
        <v>18.4</v>
      </c>
      <c r="X27" t="n">
        <v>24</v>
      </c>
      <c r="Y27" t="n">
        <v>29.3</v>
      </c>
    </row>
    <row r="28">
      <c r="A28" s="6" t="n">
        <v>2009</v>
      </c>
      <c r="B28" s="7" t="n"/>
      <c r="C28" s="7" t="n"/>
      <c r="D28" s="7" t="n"/>
      <c r="E28" s="7" t="n"/>
      <c r="F28" s="7" t="n"/>
      <c r="G28" s="7" t="n"/>
      <c r="H28" s="7" t="n"/>
      <c r="I28" s="7" t="n"/>
      <c r="J28" s="7" t="n"/>
      <c r="K28" s="7" t="n"/>
    </row>
    <row r="29">
      <c r="A29" s="6" t="n">
        <v>2010</v>
      </c>
      <c r="B29" s="7" t="n"/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</row>
    <row r="30">
      <c r="A30" s="6" t="n">
        <v>2011</v>
      </c>
      <c r="B30" s="7" t="n"/>
      <c r="C30" s="7" t="n"/>
      <c r="D30" s="7" t="n"/>
      <c r="E30" s="7" t="n"/>
      <c r="F30" s="7" t="n"/>
      <c r="G30" s="7" t="n"/>
      <c r="H30" s="7" t="n"/>
      <c r="I30" s="7" t="n"/>
      <c r="J30" s="7" t="n"/>
      <c r="K30" s="7" t="n"/>
    </row>
    <row r="31">
      <c r="A31" s="6" t="n">
        <v>2013</v>
      </c>
      <c r="B31" s="7" t="n"/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</row>
    <row r="32">
      <c r="A32" s="6" t="n">
        <v>2014</v>
      </c>
      <c r="B32" s="7" t="n"/>
      <c r="C32" s="7" t="n"/>
      <c r="D32" s="7" t="n"/>
      <c r="E32" s="7" t="n"/>
      <c r="F32" s="7" t="n"/>
      <c r="G32" s="7" t="n"/>
      <c r="H32" s="7" t="n"/>
      <c r="I32" s="7" t="n"/>
      <c r="J32" s="7" t="n"/>
      <c r="K32" s="7" t="n"/>
    </row>
    <row r="33">
      <c r="A33" s="6" t="n">
        <v>2015</v>
      </c>
      <c r="B33" s="7" t="n"/>
      <c r="C33" s="7" t="n"/>
      <c r="D33" s="7" t="n"/>
      <c r="E33" s="7" t="n"/>
      <c r="F33" s="7" t="n"/>
      <c r="G33" s="7" t="n"/>
      <c r="H33" s="7" t="n"/>
      <c r="I33" s="7" t="n"/>
      <c r="J33" s="7" t="n"/>
      <c r="K33" s="7" t="n"/>
    </row>
    <row r="34">
      <c r="A34" s="6" t="n">
        <v>2016</v>
      </c>
      <c r="B34" s="7" t="n"/>
      <c r="C34" s="7" t="n"/>
      <c r="D34" s="7" t="n"/>
      <c r="E34" s="7" t="n"/>
      <c r="F34" s="7" t="n"/>
      <c r="G34" s="7" t="n"/>
      <c r="H34" s="7" t="n"/>
      <c r="I34" s="7" t="n"/>
      <c r="J34" s="7" t="n"/>
      <c r="K34" s="7" t="n"/>
    </row>
    <row r="35">
      <c r="A35" s="6" t="n">
        <v>2017</v>
      </c>
      <c r="B35" s="7" t="n">
        <v>5.4</v>
      </c>
      <c r="C35" s="7" t="n">
        <v>9.4</v>
      </c>
      <c r="D35" s="7" t="n">
        <v>11</v>
      </c>
      <c r="E35" s="7" t="n">
        <v>13.8</v>
      </c>
      <c r="F35" s="7" t="n">
        <v>13.9</v>
      </c>
      <c r="G35" s="7" t="n">
        <v>14</v>
      </c>
      <c r="H35" s="7" t="n">
        <v>14.3</v>
      </c>
      <c r="I35" s="7" t="n">
        <v>16.6</v>
      </c>
      <c r="J35" s="7" t="n">
        <v>17.2</v>
      </c>
      <c r="K35" s="7" t="n">
        <v>17.4</v>
      </c>
    </row>
    <row r="36">
      <c r="A36" s="6" t="n">
        <v>2018</v>
      </c>
      <c r="B36" s="7" t="n"/>
      <c r="C36" s="7" t="n">
        <v>0.5</v>
      </c>
      <c r="D36" s="7" t="n">
        <v>0.6</v>
      </c>
      <c r="E36" s="7" t="n">
        <v>0.7</v>
      </c>
      <c r="F36" s="7" t="n">
        <v>0.8</v>
      </c>
      <c r="G36" s="7" t="n">
        <v>1</v>
      </c>
      <c r="H36" s="7" t="n">
        <v>1.1</v>
      </c>
      <c r="I36" s="7" t="n">
        <v>2</v>
      </c>
      <c r="J36" s="7" t="n">
        <v>2</v>
      </c>
      <c r="K36" s="7" t="n">
        <v>2</v>
      </c>
    </row>
    <row r="37">
      <c r="A37" s="6" t="n">
        <v>2019</v>
      </c>
      <c r="B37" s="7" t="n">
        <v>9.4</v>
      </c>
      <c r="C37" s="7" t="n">
        <v>13.6</v>
      </c>
      <c r="D37" s="7" t="n">
        <v>19</v>
      </c>
      <c r="E37" s="7" t="n">
        <v>29.6</v>
      </c>
      <c r="F37" s="7" t="n">
        <v>42.9</v>
      </c>
      <c r="G37" s="7" t="n">
        <v>44</v>
      </c>
      <c r="H37" s="7" t="n">
        <v>44</v>
      </c>
      <c r="I37" s="7" t="n">
        <v>44</v>
      </c>
      <c r="J37" s="7" t="n">
        <v>44</v>
      </c>
      <c r="K37" s="7" t="n">
        <v>44</v>
      </c>
    </row>
    <row r="38">
      <c r="A38" s="6" t="n">
        <v>2020</v>
      </c>
      <c r="B38" s="7" t="n">
        <v>4</v>
      </c>
      <c r="C38" s="7" t="n">
        <v>8</v>
      </c>
      <c r="D38" s="7" t="n">
        <v>9.6</v>
      </c>
      <c r="E38" s="7" t="n">
        <v>12.8</v>
      </c>
      <c r="F38" s="7" t="n">
        <v>15.8</v>
      </c>
      <c r="G38" s="7" t="n">
        <v>16.4</v>
      </c>
      <c r="H38" s="7" t="n">
        <v>16.4</v>
      </c>
      <c r="I38" s="7" t="n">
        <v>17</v>
      </c>
      <c r="J38" s="7" t="n">
        <v>17.4</v>
      </c>
      <c r="K38" s="7" t="n">
        <v>22.4</v>
      </c>
    </row>
    <row r="41">
      <c r="A41" s="2" t="inlineStr">
        <is>
          <t>AMS AFTER gap filling (mm)  -  yellow = added or changed by gap filling</t>
        </is>
      </c>
    </row>
    <row r="42">
      <c r="A42" s="4" t="inlineStr">
        <is>
          <t>Water year</t>
        </is>
      </c>
      <c r="B42" s="5" t="inlineStr">
        <is>
          <t>5min</t>
        </is>
      </c>
      <c r="C42" s="5" t="inlineStr">
        <is>
          <t>10min</t>
        </is>
      </c>
      <c r="D42" s="5" t="inlineStr">
        <is>
          <t>15min</t>
        </is>
      </c>
      <c r="E42" s="5" t="inlineStr">
        <is>
          <t>30min</t>
        </is>
      </c>
      <c r="F42" s="5" t="inlineStr">
        <is>
          <t>1h</t>
        </is>
      </c>
      <c r="G42" s="5" t="inlineStr">
        <is>
          <t>2h</t>
        </is>
      </c>
      <c r="H42" s="5" t="inlineStr">
        <is>
          <t>3h</t>
        </is>
      </c>
      <c r="I42" s="5" t="inlineStr">
        <is>
          <t>6h</t>
        </is>
      </c>
      <c r="J42" s="5" t="inlineStr">
        <is>
          <t>12h</t>
        </is>
      </c>
      <c r="K42" s="5" t="inlineStr">
        <is>
          <t>24h</t>
        </is>
      </c>
    </row>
    <row r="43">
      <c r="A43" s="6" t="n">
        <v>1986</v>
      </c>
      <c r="B43" s="7" t="n"/>
      <c r="C43" s="7" t="n"/>
      <c r="D43" s="7" t="n"/>
      <c r="E43" s="7" t="n"/>
      <c r="F43" s="7" t="n"/>
      <c r="G43" s="7" t="n"/>
      <c r="H43" s="7" t="n"/>
      <c r="I43" s="7" t="n"/>
      <c r="J43" s="7" t="n"/>
      <c r="K43" s="7" t="n">
        <v>11.5</v>
      </c>
    </row>
    <row r="44">
      <c r="A44" s="6" t="n">
        <v>1987</v>
      </c>
      <c r="B44" s="7" t="n"/>
      <c r="C44" s="7" t="n"/>
      <c r="D44" s="7" t="n"/>
      <c r="E44" s="7" t="n"/>
      <c r="F44" s="7" t="n"/>
      <c r="G44" s="7" t="n"/>
      <c r="H44" s="7" t="n"/>
      <c r="I44" s="7" t="n"/>
      <c r="J44" s="7" t="n"/>
      <c r="K44" s="7" t="n">
        <v>42</v>
      </c>
    </row>
    <row r="45">
      <c r="A45" s="6" t="n">
        <v>1988</v>
      </c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  <c r="K45" s="7" t="n">
        <v>20</v>
      </c>
    </row>
    <row r="46">
      <c r="A46" s="6" t="n">
        <v>1989</v>
      </c>
      <c r="B46" s="7" t="n"/>
      <c r="C46" s="7" t="n"/>
      <c r="D46" s="7" t="n"/>
      <c r="E46" s="7" t="n"/>
      <c r="F46" s="7" t="n"/>
      <c r="G46" s="7" t="n"/>
      <c r="H46" s="7" t="n"/>
      <c r="I46" s="7" t="n"/>
      <c r="J46" s="7" t="n"/>
      <c r="K46" s="7" t="n">
        <v>22.5</v>
      </c>
    </row>
    <row r="47">
      <c r="A47" s="6" t="n">
        <v>1990</v>
      </c>
      <c r="B47" s="7" t="n"/>
      <c r="C47" s="7" t="n"/>
      <c r="D47" s="7" t="n"/>
      <c r="E47" s="7" t="n"/>
      <c r="F47" s="7" t="n"/>
      <c r="G47" s="7" t="n"/>
      <c r="H47" s="7" t="n"/>
      <c r="I47" s="7" t="n"/>
      <c r="J47" s="7" t="n"/>
      <c r="K47" s="7" t="n">
        <v>38.5</v>
      </c>
    </row>
    <row r="48">
      <c r="A48" s="6" t="n">
        <v>1991</v>
      </c>
      <c r="B48" s="7" t="n"/>
      <c r="C48" s="7" t="n"/>
      <c r="D48" s="7" t="n"/>
      <c r="E48" s="7" t="n"/>
      <c r="F48" s="7" t="n"/>
      <c r="G48" s="7" t="n"/>
      <c r="H48" s="7" t="n"/>
      <c r="I48" s="7" t="n"/>
      <c r="J48" s="7" t="n"/>
      <c r="K48" s="7" t="n">
        <v>8</v>
      </c>
    </row>
    <row r="49">
      <c r="A49" s="6" t="n">
        <v>1992</v>
      </c>
      <c r="B49" s="7" t="n"/>
      <c r="C49" s="7" t="n"/>
      <c r="D49" s="7" t="n"/>
      <c r="E49" s="7" t="n"/>
      <c r="F49" s="7" t="n"/>
      <c r="G49" s="7" t="n"/>
      <c r="H49" s="7" t="n"/>
      <c r="I49" s="7" t="n"/>
      <c r="J49" s="7" t="n"/>
      <c r="K49" s="7" t="n">
        <v>37</v>
      </c>
    </row>
    <row r="50">
      <c r="A50" s="6" t="n">
        <v>1993</v>
      </c>
      <c r="B50" s="7" t="n"/>
      <c r="C50" s="7" t="n"/>
      <c r="D50" s="7" t="n"/>
      <c r="E50" s="7" t="n"/>
      <c r="F50" s="7" t="n">
        <v>4</v>
      </c>
      <c r="G50" s="7" t="n">
        <v>7</v>
      </c>
      <c r="H50" s="7" t="n">
        <v>7.5</v>
      </c>
      <c r="I50" s="7" t="n">
        <v>8.699999999999999</v>
      </c>
      <c r="J50" s="7" t="n">
        <v>10.8</v>
      </c>
      <c r="K50" s="7" t="n">
        <v>14.8</v>
      </c>
    </row>
    <row r="51">
      <c r="A51" s="6" t="n">
        <v>1994</v>
      </c>
      <c r="B51" s="7" t="n"/>
      <c r="C51" s="7" t="n"/>
      <c r="D51" s="7" t="n"/>
      <c r="E51" s="7" t="n"/>
      <c r="F51" s="7" t="n">
        <v>3</v>
      </c>
      <c r="G51" s="7" t="n">
        <v>3.5</v>
      </c>
      <c r="H51" s="7" t="n">
        <v>4</v>
      </c>
      <c r="I51" s="7" t="n">
        <v>4.3</v>
      </c>
      <c r="J51" s="7" t="n">
        <v>4.9</v>
      </c>
      <c r="K51" s="7" t="n">
        <v>6.2</v>
      </c>
    </row>
    <row r="52">
      <c r="A52" s="6" t="n">
        <v>1995</v>
      </c>
      <c r="B52" s="7" t="n"/>
      <c r="C52" s="7" t="n"/>
      <c r="D52" s="7" t="n"/>
      <c r="E52" s="7" t="n"/>
      <c r="F52" s="8" t="n">
        <v>8.300000000000001</v>
      </c>
      <c r="G52" s="8" t="n">
        <v>13.5</v>
      </c>
      <c r="H52" s="8" t="n">
        <v>17</v>
      </c>
      <c r="I52" s="8" t="n">
        <v>26.6</v>
      </c>
      <c r="J52" s="8" t="n">
        <v>43.6</v>
      </c>
      <c r="K52" s="8" t="n">
        <v>58.7</v>
      </c>
    </row>
    <row r="53">
      <c r="A53" s="6" t="n">
        <v>1996</v>
      </c>
      <c r="B53" s="7" t="n"/>
      <c r="C53" s="7" t="n"/>
      <c r="D53" s="7" t="n"/>
      <c r="E53" s="7" t="n"/>
      <c r="F53" s="7" t="n">
        <v>17</v>
      </c>
      <c r="G53" s="7" t="n">
        <v>28.5</v>
      </c>
      <c r="H53" s="7" t="n">
        <v>33</v>
      </c>
      <c r="I53" s="7" t="n">
        <v>35.9</v>
      </c>
      <c r="J53" s="7" t="n">
        <v>40.3</v>
      </c>
      <c r="K53" s="7" t="n">
        <v>49</v>
      </c>
    </row>
    <row r="54">
      <c r="A54" s="6" t="n">
        <v>1997</v>
      </c>
      <c r="B54" s="7" t="n"/>
      <c r="C54" s="7" t="n"/>
      <c r="D54" s="7" t="n"/>
      <c r="E54" s="7" t="n"/>
      <c r="F54" s="7" t="n">
        <v>13</v>
      </c>
      <c r="G54" s="7" t="n">
        <v>25</v>
      </c>
      <c r="H54" s="7" t="n">
        <v>30.5</v>
      </c>
      <c r="I54" s="7" t="n">
        <v>33</v>
      </c>
      <c r="J54" s="7" t="n">
        <v>41</v>
      </c>
      <c r="K54" s="7" t="n">
        <v>48.6</v>
      </c>
    </row>
    <row r="55">
      <c r="A55" s="6" t="n">
        <v>1998</v>
      </c>
      <c r="B55" s="7" t="n"/>
      <c r="C55" s="7" t="n"/>
      <c r="D55" s="7" t="n"/>
      <c r="E55" s="7" t="n"/>
      <c r="F55" s="7" t="n">
        <v>13.5</v>
      </c>
      <c r="G55" s="7" t="n">
        <v>16.5</v>
      </c>
      <c r="H55" s="7" t="n">
        <v>17.4</v>
      </c>
      <c r="I55" s="7" t="n">
        <v>20.1</v>
      </c>
      <c r="J55" s="7" t="n">
        <v>25.5</v>
      </c>
      <c r="K55" s="7" t="n">
        <v>36.2</v>
      </c>
    </row>
    <row r="56">
      <c r="A56" s="6" t="n">
        <v>1999</v>
      </c>
      <c r="B56" s="7" t="n"/>
      <c r="C56" s="7" t="n"/>
      <c r="D56" s="7" t="n"/>
      <c r="E56" s="7" t="n"/>
      <c r="F56" s="8" t="n">
        <v>6</v>
      </c>
      <c r="G56" s="8" t="n">
        <v>9.1</v>
      </c>
      <c r="H56" s="8" t="n">
        <v>11.6</v>
      </c>
      <c r="I56" s="8" t="n">
        <v>19.4</v>
      </c>
      <c r="J56" s="8" t="n">
        <v>24.1</v>
      </c>
      <c r="K56" s="8" t="n">
        <v>33.3</v>
      </c>
    </row>
    <row r="57">
      <c r="A57" s="6" t="n">
        <v>2000</v>
      </c>
      <c r="B57" s="7" t="n"/>
      <c r="C57" s="7" t="n"/>
      <c r="D57" s="7" t="n"/>
      <c r="E57" s="7" t="n"/>
      <c r="F57" s="7" t="n"/>
      <c r="G57" s="7" t="n"/>
      <c r="H57" s="7" t="n"/>
      <c r="I57" s="7" t="n"/>
      <c r="J57" s="7" t="n"/>
      <c r="K57" s="7" t="n">
        <v>1</v>
      </c>
    </row>
    <row r="58">
      <c r="A58" s="6" t="n">
        <v>2001</v>
      </c>
      <c r="B58" s="7" t="n"/>
      <c r="C58" s="7" t="n"/>
      <c r="D58" s="7" t="n"/>
      <c r="E58" s="7" t="n"/>
      <c r="F58" s="7" t="n">
        <v>6</v>
      </c>
      <c r="G58" s="7" t="n">
        <v>6.5</v>
      </c>
      <c r="H58" s="7" t="n">
        <v>7.5</v>
      </c>
      <c r="I58" s="7" t="n">
        <v>8.699999999999999</v>
      </c>
      <c r="J58" s="8" t="n">
        <v>9.9</v>
      </c>
      <c r="K58" s="8" t="n">
        <v>15.5</v>
      </c>
    </row>
    <row r="59">
      <c r="A59" s="6" t="n">
        <v>2002</v>
      </c>
      <c r="B59" s="7" t="n"/>
      <c r="C59" s="7" t="n"/>
      <c r="D59" s="7" t="n"/>
      <c r="E59" s="7" t="n"/>
      <c r="F59" s="7" t="n">
        <v>5</v>
      </c>
      <c r="G59" s="7" t="n">
        <v>5.5</v>
      </c>
      <c r="H59" s="7" t="n">
        <v>6</v>
      </c>
      <c r="I59" s="7" t="n">
        <v>7.1</v>
      </c>
      <c r="J59" s="7" t="n">
        <v>13.5</v>
      </c>
      <c r="K59" s="7" t="n">
        <v>27</v>
      </c>
    </row>
    <row r="60">
      <c r="A60" s="6" t="n">
        <v>2003</v>
      </c>
      <c r="B60" s="7" t="n"/>
      <c r="C60" s="7" t="n"/>
      <c r="D60" s="7" t="n"/>
      <c r="E60" s="8" t="n">
        <v>0.9</v>
      </c>
      <c r="F60" s="8" t="n">
        <v>1.9</v>
      </c>
      <c r="G60" s="8" t="n">
        <v>3.8</v>
      </c>
      <c r="H60" s="8" t="n">
        <v>5.7</v>
      </c>
      <c r="I60" s="8" t="n">
        <v>11.4</v>
      </c>
      <c r="J60" s="8" t="n">
        <v>22.8</v>
      </c>
      <c r="K60" s="8" t="n">
        <v>44.6</v>
      </c>
    </row>
    <row r="61">
      <c r="A61" s="6" t="n">
        <v>2004</v>
      </c>
      <c r="B61" s="8" t="n">
        <v>4.8</v>
      </c>
      <c r="C61" s="8" t="n">
        <v>6.1</v>
      </c>
      <c r="D61" s="8" t="n">
        <v>6.5</v>
      </c>
      <c r="E61" s="8" t="n">
        <v>7.5</v>
      </c>
      <c r="F61" s="8" t="n">
        <v>7.9</v>
      </c>
      <c r="G61" s="8" t="n">
        <v>8</v>
      </c>
      <c r="H61" s="8" t="n">
        <v>8.1</v>
      </c>
      <c r="I61" s="8" t="n">
        <v>9.800000000000001</v>
      </c>
      <c r="J61" s="8" t="n">
        <v>9.800000000000001</v>
      </c>
      <c r="K61" s="8" t="n">
        <v>10</v>
      </c>
    </row>
    <row r="62">
      <c r="A62" s="6" t="n">
        <v>2005</v>
      </c>
      <c r="B62" s="7" t="n">
        <v>2</v>
      </c>
      <c r="C62" s="7" t="n">
        <v>2.8</v>
      </c>
      <c r="D62" s="7" t="n">
        <v>2.9</v>
      </c>
      <c r="E62" s="7" t="n">
        <v>3.3</v>
      </c>
      <c r="F62" s="8" t="n">
        <v>4.2</v>
      </c>
      <c r="G62" s="8" t="n">
        <v>6.8</v>
      </c>
      <c r="H62" s="8" t="n">
        <v>8.5</v>
      </c>
      <c r="I62" s="8" t="n">
        <v>14.7</v>
      </c>
      <c r="J62" s="8" t="n">
        <v>25.6</v>
      </c>
      <c r="K62" s="8" t="n">
        <v>38.8</v>
      </c>
    </row>
    <row r="63">
      <c r="A63" s="6" t="n">
        <v>2006</v>
      </c>
      <c r="B63" s="7" t="n"/>
      <c r="C63" s="7" t="n"/>
      <c r="D63" s="7" t="n"/>
      <c r="E63" s="7" t="n"/>
      <c r="F63" s="7" t="n"/>
      <c r="G63" s="7" t="n"/>
      <c r="H63" s="8" t="n">
        <v>31.5</v>
      </c>
      <c r="I63" s="8" t="n">
        <v>31.6</v>
      </c>
      <c r="J63" s="8" t="n">
        <v>34.2</v>
      </c>
      <c r="K63" s="8" t="n">
        <v>41.1</v>
      </c>
    </row>
    <row r="64">
      <c r="A64" s="6" t="n">
        <v>2007</v>
      </c>
      <c r="B64" s="7" t="n"/>
      <c r="C64" s="7" t="n"/>
      <c r="D64" s="7" t="n"/>
      <c r="E64" s="7" t="n"/>
      <c r="F64" s="7" t="n"/>
      <c r="G64" s="7" t="n"/>
      <c r="H64" s="7" t="n"/>
      <c r="I64" s="7" t="n"/>
      <c r="J64" s="7" t="n"/>
      <c r="K64" s="7" t="n">
        <v>112</v>
      </c>
    </row>
    <row r="65">
      <c r="A65" s="6" t="n">
        <v>2008</v>
      </c>
      <c r="B65" s="7" t="n"/>
      <c r="C65" s="7" t="n"/>
      <c r="D65" s="7" t="n"/>
      <c r="E65" s="7" t="n"/>
      <c r="F65" s="7" t="n"/>
      <c r="G65" s="7" t="n"/>
      <c r="H65" s="7" t="n"/>
      <c r="I65" s="7" t="n"/>
      <c r="J65" s="7" t="n"/>
      <c r="K65" s="7" t="n">
        <v>48</v>
      </c>
    </row>
    <row r="66">
      <c r="A66" s="6" t="n">
        <v>2009</v>
      </c>
      <c r="B66" s="8" t="n">
        <v>4.3</v>
      </c>
      <c r="C66" s="8" t="n">
        <v>6.7</v>
      </c>
      <c r="D66" s="8" t="n">
        <v>8.6</v>
      </c>
      <c r="E66" s="8" t="n">
        <v>11.9</v>
      </c>
      <c r="F66" s="8" t="n">
        <v>14.8</v>
      </c>
      <c r="G66" s="8" t="n">
        <v>15</v>
      </c>
      <c r="H66" s="8" t="n">
        <v>15</v>
      </c>
      <c r="I66" s="8" t="n">
        <v>15.2</v>
      </c>
      <c r="J66" s="8" t="n">
        <v>19</v>
      </c>
      <c r="K66" s="8" t="n">
        <v>19.3</v>
      </c>
    </row>
    <row r="67">
      <c r="A67" s="6" t="n">
        <v>2010</v>
      </c>
      <c r="B67" s="8" t="n">
        <v>3.1</v>
      </c>
      <c r="C67" s="8" t="n">
        <v>4.3</v>
      </c>
      <c r="D67" s="8" t="n">
        <v>6.7</v>
      </c>
      <c r="E67" s="8" t="n">
        <v>9.199999999999999</v>
      </c>
      <c r="F67" s="8" t="n">
        <v>10.9</v>
      </c>
      <c r="G67" s="8" t="n">
        <v>13.6</v>
      </c>
      <c r="H67" s="8" t="n">
        <v>16.3</v>
      </c>
      <c r="I67" s="8" t="n">
        <v>26.2</v>
      </c>
      <c r="J67" s="8" t="n">
        <v>27.7</v>
      </c>
      <c r="K67" s="8" t="n">
        <v>32.3</v>
      </c>
    </row>
    <row r="68">
      <c r="A68" s="6" t="n">
        <v>2011</v>
      </c>
      <c r="B68" s="8" t="n">
        <v>1.5</v>
      </c>
      <c r="C68" s="8" t="n">
        <v>2.8</v>
      </c>
      <c r="D68" s="8" t="n">
        <v>3.6</v>
      </c>
      <c r="E68" s="8" t="n">
        <v>4.9</v>
      </c>
      <c r="F68" s="8" t="n">
        <v>7</v>
      </c>
      <c r="G68" s="8" t="n">
        <v>8</v>
      </c>
      <c r="H68" s="8" t="n">
        <v>11.7</v>
      </c>
      <c r="I68" s="8" t="n">
        <v>13.4</v>
      </c>
      <c r="J68" s="8" t="n">
        <v>14.1</v>
      </c>
      <c r="K68" s="8" t="n">
        <v>15.6</v>
      </c>
    </row>
    <row r="69">
      <c r="A69" s="6" t="n">
        <v>2013</v>
      </c>
      <c r="B69" s="8" t="n">
        <v>2.4</v>
      </c>
      <c r="C69" s="8" t="n">
        <v>4.4</v>
      </c>
      <c r="D69" s="8" t="n">
        <v>5.7</v>
      </c>
      <c r="E69" s="8" t="n">
        <v>8.1</v>
      </c>
      <c r="F69" s="8" t="n">
        <v>11</v>
      </c>
      <c r="G69" s="8" t="n">
        <v>16.7</v>
      </c>
      <c r="H69" s="8" t="n">
        <v>18.1</v>
      </c>
      <c r="I69" s="8" t="n">
        <v>23.8</v>
      </c>
      <c r="J69" s="8" t="n">
        <v>24.2</v>
      </c>
      <c r="K69" s="8" t="n">
        <v>24.2</v>
      </c>
    </row>
    <row r="70">
      <c r="A70" s="6" t="n">
        <v>2014</v>
      </c>
      <c r="B70" s="8" t="n">
        <v>2.8</v>
      </c>
      <c r="C70" s="8" t="n">
        <v>4.2</v>
      </c>
      <c r="D70" s="8" t="n">
        <v>4.9</v>
      </c>
      <c r="E70" s="8" t="n">
        <v>5.4</v>
      </c>
      <c r="F70" s="8" t="n">
        <v>5.6</v>
      </c>
      <c r="G70" s="8" t="n">
        <v>6.9</v>
      </c>
      <c r="H70" s="8" t="n">
        <v>7.7</v>
      </c>
      <c r="I70" s="8" t="n">
        <v>12</v>
      </c>
      <c r="J70" s="8" t="n">
        <v>15.7</v>
      </c>
      <c r="K70" s="8" t="n">
        <v>19.5</v>
      </c>
    </row>
    <row r="71">
      <c r="A71" s="6" t="n">
        <v>2015</v>
      </c>
      <c r="B71" s="8" t="n">
        <v>6</v>
      </c>
      <c r="C71" s="8" t="n">
        <v>11.7</v>
      </c>
      <c r="D71" s="8" t="n">
        <v>16.5</v>
      </c>
      <c r="E71" s="8" t="n">
        <v>26.7</v>
      </c>
      <c r="F71" s="8" t="n">
        <v>37.2</v>
      </c>
      <c r="G71" s="8" t="n">
        <v>39.8</v>
      </c>
      <c r="H71" s="8" t="n">
        <v>41.1</v>
      </c>
      <c r="I71" s="8" t="n">
        <v>41.2</v>
      </c>
      <c r="J71" s="8" t="n">
        <v>41.2</v>
      </c>
      <c r="K71" s="8" t="n">
        <v>41.3</v>
      </c>
    </row>
    <row r="72">
      <c r="A72" s="6" t="n">
        <v>2016</v>
      </c>
      <c r="B72" s="7" t="n"/>
      <c r="C72" s="7" t="n"/>
      <c r="D72" s="7" t="n"/>
      <c r="E72" s="7" t="n"/>
      <c r="F72" s="7" t="n"/>
      <c r="G72" s="7" t="n"/>
      <c r="H72" s="7" t="n"/>
      <c r="I72" s="7" t="n"/>
      <c r="J72" s="7" t="n"/>
      <c r="K72" s="8" t="n">
        <v>40.6</v>
      </c>
    </row>
    <row r="73">
      <c r="A73" s="6" t="n">
        <v>2017</v>
      </c>
      <c r="B73" s="7" t="n">
        <v>5.4</v>
      </c>
      <c r="C73" s="7" t="n">
        <v>9.4</v>
      </c>
      <c r="D73" s="7" t="n">
        <v>11</v>
      </c>
      <c r="E73" s="7" t="n">
        <v>13.8</v>
      </c>
      <c r="F73" s="7" t="n">
        <v>13.9</v>
      </c>
      <c r="G73" s="7" t="n">
        <v>14</v>
      </c>
      <c r="H73" s="7" t="n">
        <v>14.3</v>
      </c>
      <c r="I73" s="7" t="n">
        <v>16.6</v>
      </c>
      <c r="J73" s="7" t="n">
        <v>17.2</v>
      </c>
      <c r="K73" s="7" t="n">
        <v>17.4</v>
      </c>
    </row>
    <row r="74">
      <c r="A74" s="6" t="n">
        <v>2018</v>
      </c>
      <c r="B74" s="7" t="n"/>
      <c r="C74" s="7" t="n">
        <v>0.5</v>
      </c>
      <c r="D74" s="7" t="n">
        <v>0.6</v>
      </c>
      <c r="E74" s="7" t="n">
        <v>0.7</v>
      </c>
      <c r="F74" s="7" t="n">
        <v>0.8</v>
      </c>
      <c r="G74" s="7" t="n">
        <v>1</v>
      </c>
      <c r="H74" s="7" t="n">
        <v>1.1</v>
      </c>
      <c r="I74" s="7" t="n">
        <v>2</v>
      </c>
      <c r="J74" s="7" t="n">
        <v>2</v>
      </c>
      <c r="K74" s="7" t="n">
        <v>2</v>
      </c>
    </row>
    <row r="75">
      <c r="A75" s="6" t="n">
        <v>2019</v>
      </c>
      <c r="B75" s="7" t="n">
        <v>9.4</v>
      </c>
      <c r="C75" s="7" t="n">
        <v>13.6</v>
      </c>
      <c r="D75" s="7" t="n">
        <v>19</v>
      </c>
      <c r="E75" s="7" t="n">
        <v>29.6</v>
      </c>
      <c r="F75" s="7" t="n">
        <v>42.9</v>
      </c>
      <c r="G75" s="7" t="n">
        <v>44</v>
      </c>
      <c r="H75" s="7" t="n">
        <v>44</v>
      </c>
      <c r="I75" s="7" t="n">
        <v>44</v>
      </c>
      <c r="J75" s="7" t="n">
        <v>44</v>
      </c>
      <c r="K75" s="7" t="n">
        <v>44</v>
      </c>
    </row>
    <row r="76">
      <c r="A76" s="6" t="n">
        <v>2020</v>
      </c>
      <c r="B76" s="7" t="n">
        <v>4</v>
      </c>
      <c r="C76" s="7" t="n">
        <v>8</v>
      </c>
      <c r="D76" s="7" t="n">
        <v>9.6</v>
      </c>
      <c r="E76" s="7" t="n">
        <v>12.8</v>
      </c>
      <c r="F76" s="7" t="n">
        <v>15.8</v>
      </c>
      <c r="G76" s="7" t="n">
        <v>16.4</v>
      </c>
      <c r="H76" s="7" t="n">
        <v>16.4</v>
      </c>
      <c r="I76" s="7" t="n">
        <v>17</v>
      </c>
      <c r="J76" s="7" t="n">
        <v>17.4</v>
      </c>
      <c r="K76" s="7" t="n">
        <v>22.4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8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</cols>
  <sheetData>
    <row r="1">
      <c r="A1" s="1" t="inlineStr">
        <is>
          <t>Gauge 6  |  FM517016AF  |  Ruwi at Ruwi Health Center</t>
        </is>
      </c>
    </row>
    <row r="3">
      <c r="A3" s="2" t="inlineStr">
        <is>
          <t>AMS BEFORE gap filling (observed only, mm)</t>
        </is>
      </c>
      <c r="M3" s="3" t="inlineStr">
        <is>
          <t>IDF - design rainfall DEPTH (mm)</t>
        </is>
      </c>
    </row>
    <row r="4">
      <c r="A4" s="4" t="inlineStr">
        <is>
          <t>Water year</t>
        </is>
      </c>
      <c r="B4" s="5" t="inlineStr">
        <is>
          <t>5min</t>
        </is>
      </c>
      <c r="C4" s="5" t="inlineStr">
        <is>
          <t>10min</t>
        </is>
      </c>
      <c r="D4" s="5" t="inlineStr">
        <is>
          <t>15min</t>
        </is>
      </c>
      <c r="E4" s="5" t="inlineStr">
        <is>
          <t>30min</t>
        </is>
      </c>
      <c r="F4" s="5" t="inlineStr">
        <is>
          <t>1h</t>
        </is>
      </c>
      <c r="G4" s="5" t="inlineStr">
        <is>
          <t>2h</t>
        </is>
      </c>
      <c r="H4" s="5" t="inlineStr">
        <is>
          <t>3h</t>
        </is>
      </c>
      <c r="I4" s="5" t="inlineStr">
        <is>
          <t>6h</t>
        </is>
      </c>
      <c r="J4" s="5" t="inlineStr">
        <is>
          <t>12h</t>
        </is>
      </c>
      <c r="K4" s="5" t="inlineStr">
        <is>
          <t>24h</t>
        </is>
      </c>
      <c r="M4" s="4" t="inlineStr">
        <is>
          <t>Duration \ RP</t>
        </is>
      </c>
      <c r="N4" s="4" t="n">
        <v>2</v>
      </c>
      <c r="O4" s="4" t="n">
        <v>5</v>
      </c>
      <c r="P4" s="4" t="n">
        <v>10</v>
      </c>
      <c r="Q4" s="4" t="n">
        <v>25</v>
      </c>
      <c r="R4" s="4" t="n">
        <v>50</v>
      </c>
      <c r="S4" s="4" t="n">
        <v>100</v>
      </c>
      <c r="T4" s="4" t="n">
        <v>200</v>
      </c>
      <c r="U4" s="4" t="n">
        <v>500</v>
      </c>
      <c r="V4" s="4" t="n">
        <v>1000</v>
      </c>
      <c r="W4" s="4" t="n">
        <v>2000</v>
      </c>
      <c r="X4" s="4" t="n">
        <v>5000</v>
      </c>
      <c r="Y4" s="4" t="n">
        <v>10000</v>
      </c>
    </row>
    <row r="5">
      <c r="A5" s="6" t="n">
        <v>1983</v>
      </c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>
        <v>30</v>
      </c>
      <c r="M5" s="6" t="inlineStr">
        <is>
          <t>5min</t>
        </is>
      </c>
      <c r="N5" s="6" t="n">
        <v>4</v>
      </c>
      <c r="O5" s="6" t="n">
        <v>6.6</v>
      </c>
      <c r="P5" s="6" t="n">
        <v>8.6</v>
      </c>
      <c r="Q5" s="6" t="n">
        <v>11.3</v>
      </c>
      <c r="R5" s="6" t="n">
        <v>13.4</v>
      </c>
      <c r="S5" s="6" t="n">
        <v>15.8</v>
      </c>
      <c r="T5" s="6" t="n">
        <v>18.3</v>
      </c>
      <c r="U5" s="6" t="n">
        <v>21.9</v>
      </c>
      <c r="V5" s="6" t="n">
        <v>24.9</v>
      </c>
      <c r="W5" s="6" t="n">
        <v>28.2</v>
      </c>
      <c r="X5" s="6" t="n">
        <v>32.8</v>
      </c>
      <c r="Y5" s="6" t="n">
        <v>36.7</v>
      </c>
    </row>
    <row r="6">
      <c r="A6" s="6" t="n">
        <v>1984</v>
      </c>
      <c r="B6" s="7" t="n"/>
      <c r="C6" s="7" t="n"/>
      <c r="D6" s="7" t="n"/>
      <c r="E6" s="7" t="n"/>
      <c r="F6" s="7" t="n"/>
      <c r="G6" s="7" t="n"/>
      <c r="H6" s="7" t="n"/>
      <c r="I6" s="7" t="n"/>
      <c r="J6" s="7" t="n"/>
      <c r="K6" s="7" t="n">
        <v>1.5</v>
      </c>
      <c r="M6" s="6" t="inlineStr">
        <is>
          <t>10min</t>
        </is>
      </c>
      <c r="N6" s="6" t="n">
        <v>6.4</v>
      </c>
      <c r="O6" s="6" t="n">
        <v>10.6</v>
      </c>
      <c r="P6" s="6" t="n">
        <v>13.8</v>
      </c>
      <c r="Q6" s="6" t="n">
        <v>18.3</v>
      </c>
      <c r="R6" s="6" t="n">
        <v>22</v>
      </c>
      <c r="S6" s="6" t="n">
        <v>26</v>
      </c>
      <c r="T6" s="6" t="n">
        <v>30.4</v>
      </c>
      <c r="U6" s="6" t="n">
        <v>36.9</v>
      </c>
      <c r="V6" s="6" t="n">
        <v>42.3</v>
      </c>
      <c r="W6" s="6" t="n">
        <v>48.2</v>
      </c>
      <c r="X6" s="6" t="n">
        <v>56.9</v>
      </c>
      <c r="Y6" s="6" t="n">
        <v>64.2</v>
      </c>
    </row>
    <row r="7">
      <c r="A7" s="6" t="n">
        <v>1985</v>
      </c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>
        <v>1</v>
      </c>
      <c r="M7" s="6" t="inlineStr">
        <is>
          <t>15min</t>
        </is>
      </c>
      <c r="N7" s="6" t="n">
        <v>7.9</v>
      </c>
      <c r="O7" s="6" t="n">
        <v>13.4</v>
      </c>
      <c r="P7" s="6" t="n">
        <v>17.7</v>
      </c>
      <c r="Q7" s="6" t="n">
        <v>24</v>
      </c>
      <c r="R7" s="6" t="n">
        <v>29.2</v>
      </c>
      <c r="S7" s="6" t="n">
        <v>35</v>
      </c>
      <c r="T7" s="6" t="n">
        <v>41.5</v>
      </c>
      <c r="U7" s="6" t="n">
        <v>51.2</v>
      </c>
      <c r="V7" s="6" t="n">
        <v>59.5</v>
      </c>
      <c r="W7" s="6" t="n">
        <v>68.8</v>
      </c>
      <c r="X7" s="6" t="n">
        <v>82.7</v>
      </c>
      <c r="Y7" s="6" t="n">
        <v>94.7</v>
      </c>
    </row>
    <row r="8">
      <c r="A8" s="6" t="n">
        <v>1987</v>
      </c>
      <c r="B8" s="7" t="n"/>
      <c r="C8" s="7" t="n"/>
      <c r="D8" s="7" t="n"/>
      <c r="E8" s="7" t="n"/>
      <c r="F8" s="7" t="n"/>
      <c r="G8" s="7" t="n"/>
      <c r="H8" s="7" t="n"/>
      <c r="I8" s="7" t="n"/>
      <c r="J8" s="7" t="n"/>
      <c r="K8" s="7" t="n">
        <v>54.8</v>
      </c>
      <c r="M8" s="6" t="inlineStr">
        <is>
          <t>30min</t>
        </is>
      </c>
      <c r="N8" s="6" t="n">
        <v>10.5</v>
      </c>
      <c r="O8" s="6" t="n">
        <v>18.4</v>
      </c>
      <c r="P8" s="6" t="n">
        <v>24.3</v>
      </c>
      <c r="Q8" s="6" t="n">
        <v>32.7</v>
      </c>
      <c r="R8" s="6" t="n">
        <v>39.6</v>
      </c>
      <c r="S8" s="6" t="n">
        <v>47.2</v>
      </c>
      <c r="T8" s="6" t="n">
        <v>55.6</v>
      </c>
      <c r="U8" s="6" t="n">
        <v>67.8</v>
      </c>
      <c r="V8" s="6" t="n">
        <v>78.09999999999999</v>
      </c>
      <c r="W8" s="6" t="n">
        <v>89.5</v>
      </c>
      <c r="X8" s="6" t="n">
        <v>106.2</v>
      </c>
      <c r="Y8" s="6" t="n">
        <v>120.3</v>
      </c>
    </row>
    <row r="9">
      <c r="A9" s="6" t="n">
        <v>1988</v>
      </c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>
        <v>22.5</v>
      </c>
      <c r="M9" s="6" t="inlineStr">
        <is>
          <t>1h</t>
        </is>
      </c>
      <c r="N9" s="6" t="n">
        <v>13.1</v>
      </c>
      <c r="O9" s="6" t="n">
        <v>23</v>
      </c>
      <c r="P9" s="6" t="n">
        <v>30.4</v>
      </c>
      <c r="Q9" s="6" t="n">
        <v>40.9</v>
      </c>
      <c r="R9" s="6" t="n">
        <v>49.7</v>
      </c>
      <c r="S9" s="6" t="n">
        <v>59.2</v>
      </c>
      <c r="T9" s="6" t="n">
        <v>69.7</v>
      </c>
      <c r="U9" s="6" t="n">
        <v>85.09999999999999</v>
      </c>
      <c r="V9" s="6" t="n">
        <v>98</v>
      </c>
      <c r="W9" s="6" t="n">
        <v>112.3</v>
      </c>
      <c r="X9" s="6" t="n">
        <v>133.4</v>
      </c>
      <c r="Y9" s="6" t="n">
        <v>151.1</v>
      </c>
    </row>
    <row r="10">
      <c r="A10" s="6" t="n">
        <v>1989</v>
      </c>
      <c r="B10" s="7" t="n"/>
      <c r="C10" s="7" t="n"/>
      <c r="D10" s="7" t="n"/>
      <c r="E10" s="7" t="n"/>
      <c r="F10" s="7" t="n"/>
      <c r="G10" s="7" t="n"/>
      <c r="H10" s="7" t="n"/>
      <c r="I10" s="7" t="n"/>
      <c r="J10" s="7" t="n"/>
      <c r="K10" s="7" t="n">
        <v>47</v>
      </c>
      <c r="M10" s="6" t="inlineStr">
        <is>
          <t>2h</t>
        </is>
      </c>
      <c r="N10" s="6" t="n">
        <v>15</v>
      </c>
      <c r="O10" s="6" t="n">
        <v>26.8</v>
      </c>
      <c r="P10" s="6" t="n">
        <v>36.1</v>
      </c>
      <c r="Q10" s="6" t="n">
        <v>49.8</v>
      </c>
      <c r="R10" s="6" t="n">
        <v>61.6</v>
      </c>
      <c r="S10" s="6" t="n">
        <v>74.90000000000001</v>
      </c>
      <c r="T10" s="6" t="n">
        <v>90.09999999999999</v>
      </c>
      <c r="U10" s="6" t="n">
        <v>113.2</v>
      </c>
      <c r="V10" s="6" t="n">
        <v>133.5</v>
      </c>
      <c r="W10" s="6" t="n">
        <v>156.5</v>
      </c>
      <c r="X10" s="6" t="n">
        <v>191.7</v>
      </c>
      <c r="Y10" s="6" t="n">
        <v>222.6</v>
      </c>
    </row>
    <row r="11">
      <c r="A11" s="6" t="n">
        <v>1990</v>
      </c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>
        <v>41.4</v>
      </c>
      <c r="M11" s="6" t="inlineStr">
        <is>
          <t>3h</t>
        </is>
      </c>
      <c r="N11" s="6" t="n">
        <v>16.1</v>
      </c>
      <c r="O11" s="6" t="n">
        <v>29</v>
      </c>
      <c r="P11" s="6" t="n">
        <v>39.7</v>
      </c>
      <c r="Q11" s="6" t="n">
        <v>56.2</v>
      </c>
      <c r="R11" s="6" t="n">
        <v>71.09999999999999</v>
      </c>
      <c r="S11" s="6" t="n">
        <v>88.5</v>
      </c>
      <c r="T11" s="6" t="n">
        <v>109</v>
      </c>
      <c r="U11" s="6" t="n">
        <v>141.6</v>
      </c>
      <c r="V11" s="6" t="n">
        <v>171.5</v>
      </c>
      <c r="W11" s="6" t="n">
        <v>206.6</v>
      </c>
      <c r="X11" s="6" t="n">
        <v>262.7</v>
      </c>
      <c r="Y11" s="6" t="n">
        <v>314</v>
      </c>
    </row>
    <row r="12">
      <c r="A12" s="6" t="n">
        <v>1991</v>
      </c>
      <c r="B12" s="7" t="n"/>
      <c r="C12" s="7" t="n"/>
      <c r="D12" s="7" t="n"/>
      <c r="E12" s="7" t="n"/>
      <c r="F12" s="7" t="n"/>
      <c r="G12" s="7" t="n"/>
      <c r="H12" s="7" t="n"/>
      <c r="I12" s="7" t="n"/>
      <c r="J12" s="7" t="n"/>
      <c r="K12" s="7" t="n">
        <v>26.5</v>
      </c>
      <c r="M12" s="6" t="inlineStr">
        <is>
          <t>6h</t>
        </is>
      </c>
      <c r="N12" s="6" t="n">
        <v>18.6</v>
      </c>
      <c r="O12" s="6" t="n">
        <v>34.2</v>
      </c>
      <c r="P12" s="6" t="n">
        <v>48</v>
      </c>
      <c r="Q12" s="6" t="n">
        <v>70.7</v>
      </c>
      <c r="R12" s="6" t="n">
        <v>92.3</v>
      </c>
      <c r="S12" s="6" t="n">
        <v>119</v>
      </c>
      <c r="T12" s="6" t="n">
        <v>152</v>
      </c>
      <c r="U12" s="6" t="n">
        <v>207.9</v>
      </c>
      <c r="V12" s="6" t="n">
        <v>262</v>
      </c>
      <c r="W12" s="6" t="n">
        <v>329</v>
      </c>
      <c r="X12" s="6" t="n">
        <v>442.7</v>
      </c>
      <c r="Y12" s="6" t="n">
        <v>552.8</v>
      </c>
    </row>
    <row r="13">
      <c r="A13" s="6" t="n">
        <v>1992</v>
      </c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>
        <v>69</v>
      </c>
      <c r="M13" s="6" t="inlineStr">
        <is>
          <t>12h</t>
        </is>
      </c>
      <c r="N13" s="6" t="n">
        <v>21.3</v>
      </c>
      <c r="O13" s="6" t="n">
        <v>39.5</v>
      </c>
      <c r="P13" s="6" t="n">
        <v>56.3</v>
      </c>
      <c r="Q13" s="6" t="n">
        <v>84.90000000000001</v>
      </c>
      <c r="R13" s="6" t="n">
        <v>113.3</v>
      </c>
      <c r="S13" s="6" t="n">
        <v>149.4</v>
      </c>
      <c r="T13" s="6" t="n">
        <v>195.3</v>
      </c>
      <c r="U13" s="6" t="n">
        <v>276</v>
      </c>
      <c r="V13" s="6" t="n">
        <v>356.9</v>
      </c>
      <c r="W13" s="6" t="n">
        <v>460.2</v>
      </c>
      <c r="X13" s="6" t="n">
        <v>641.8</v>
      </c>
      <c r="Y13" s="6" t="n">
        <v>824</v>
      </c>
    </row>
    <row r="14">
      <c r="A14" s="6" t="n">
        <v>1993</v>
      </c>
      <c r="B14" s="7" t="n">
        <v>5.6</v>
      </c>
      <c r="C14" s="7" t="n">
        <v>9.199999999999999</v>
      </c>
      <c r="D14" s="7" t="n">
        <v>9.6</v>
      </c>
      <c r="E14" s="7" t="n">
        <v>12.8</v>
      </c>
      <c r="F14" s="7" t="n">
        <v>17.3</v>
      </c>
      <c r="G14" s="7" t="n">
        <v>27</v>
      </c>
      <c r="H14" s="7" t="n">
        <v>28.4</v>
      </c>
      <c r="I14" s="7" t="n">
        <v>31.5</v>
      </c>
      <c r="J14" s="7" t="n">
        <v>34.7</v>
      </c>
      <c r="K14" s="7" t="n">
        <v>34.9</v>
      </c>
      <c r="M14" s="6" t="inlineStr">
        <is>
          <t>24h</t>
        </is>
      </c>
      <c r="N14" s="6" t="n">
        <v>28.1</v>
      </c>
      <c r="O14" s="6" t="n">
        <v>54.3</v>
      </c>
      <c r="P14" s="6" t="n">
        <v>78.2</v>
      </c>
      <c r="Q14" s="6" t="n">
        <v>118.6</v>
      </c>
      <c r="R14" s="6" t="n">
        <v>158.3</v>
      </c>
      <c r="S14" s="6" t="n">
        <v>208.4</v>
      </c>
      <c r="T14" s="6" t="n">
        <v>271.7</v>
      </c>
      <c r="U14" s="6" t="n">
        <v>382.1</v>
      </c>
      <c r="V14" s="6" t="n">
        <v>491.9</v>
      </c>
      <c r="W14" s="6" t="n">
        <v>631</v>
      </c>
      <c r="X14" s="6" t="n">
        <v>873.7</v>
      </c>
      <c r="Y14" s="6" t="n">
        <v>1115.1</v>
      </c>
    </row>
    <row r="15">
      <c r="A15" s="6" t="n">
        <v>1994</v>
      </c>
      <c r="B15" s="7" t="n">
        <v>3.4</v>
      </c>
      <c r="C15" s="7" t="n">
        <v>5.3</v>
      </c>
      <c r="D15" s="7" t="n">
        <v>8</v>
      </c>
      <c r="E15" s="7" t="n">
        <v>9.199999999999999</v>
      </c>
      <c r="F15" s="7" t="n">
        <v>9.300000000000001</v>
      </c>
      <c r="G15" s="7" t="n">
        <v>9.4</v>
      </c>
      <c r="H15" s="7" t="n">
        <v>9.5</v>
      </c>
      <c r="I15" s="7" t="n">
        <v>9.9</v>
      </c>
      <c r="J15" s="7" t="n">
        <v>10.7</v>
      </c>
      <c r="K15" s="7" t="n">
        <v>12.2</v>
      </c>
    </row>
    <row r="16">
      <c r="A16" s="6" t="n">
        <v>1995</v>
      </c>
      <c r="B16" s="7" t="n">
        <v>6</v>
      </c>
      <c r="C16" s="7" t="n">
        <v>11</v>
      </c>
      <c r="D16" s="7" t="n">
        <v>16.4</v>
      </c>
      <c r="E16" s="7" t="n">
        <v>26.2</v>
      </c>
      <c r="F16" s="7" t="n">
        <v>34.8</v>
      </c>
      <c r="G16" s="7" t="n">
        <v>35.4</v>
      </c>
      <c r="H16" s="7" t="n">
        <v>43</v>
      </c>
      <c r="I16" s="7" t="n">
        <v>57.2</v>
      </c>
      <c r="J16" s="7" t="n">
        <v>94.40000000000001</v>
      </c>
      <c r="K16" s="7" t="n">
        <v>100.6</v>
      </c>
      <c r="M16" s="3" t="inlineStr">
        <is>
          <t>IDF - intensity (mm/hr) [x=duration(min)]</t>
        </is>
      </c>
    </row>
    <row r="17">
      <c r="A17" s="6" t="n">
        <v>1996</v>
      </c>
      <c r="B17" s="7" t="n">
        <v>4.6</v>
      </c>
      <c r="C17" s="7" t="n">
        <v>7.8</v>
      </c>
      <c r="D17" s="7" t="n">
        <v>9.6</v>
      </c>
      <c r="E17" s="7" t="n">
        <v>15.4</v>
      </c>
      <c r="F17" s="7" t="n">
        <v>17.6</v>
      </c>
      <c r="G17" s="7" t="n">
        <v>18.2</v>
      </c>
      <c r="H17" s="7" t="n">
        <v>18.2</v>
      </c>
      <c r="I17" s="7" t="n">
        <v>18.3</v>
      </c>
      <c r="J17" s="7" t="n">
        <v>18.5</v>
      </c>
      <c r="K17" s="7" t="n">
        <v>19.6</v>
      </c>
      <c r="M17" t="inlineStr">
        <is>
          <t>Duration(min)</t>
        </is>
      </c>
      <c r="N17" t="inlineStr">
        <is>
          <t>2 yr</t>
        </is>
      </c>
      <c r="O17" t="inlineStr">
        <is>
          <t>5 yr</t>
        </is>
      </c>
      <c r="P17" t="inlineStr">
        <is>
          <t>10 yr</t>
        </is>
      </c>
      <c r="Q17" t="inlineStr">
        <is>
          <t>25 yr</t>
        </is>
      </c>
      <c r="R17" t="inlineStr">
        <is>
          <t>50 yr</t>
        </is>
      </c>
      <c r="S17" t="inlineStr">
        <is>
          <t>100 yr</t>
        </is>
      </c>
      <c r="T17" t="inlineStr">
        <is>
          <t>200 yr</t>
        </is>
      </c>
      <c r="U17" t="inlineStr">
        <is>
          <t>500 yr</t>
        </is>
      </c>
      <c r="V17" t="inlineStr">
        <is>
          <t>1000 yr</t>
        </is>
      </c>
      <c r="W17" t="inlineStr">
        <is>
          <t>2000 yr</t>
        </is>
      </c>
      <c r="X17" t="inlineStr">
        <is>
          <t>5000 yr</t>
        </is>
      </c>
      <c r="Y17" t="inlineStr">
        <is>
          <t>10000 yr</t>
        </is>
      </c>
    </row>
    <row r="18">
      <c r="A18" s="6" t="n">
        <v>1997</v>
      </c>
      <c r="B18" s="7" t="n">
        <v>5.8</v>
      </c>
      <c r="C18" s="7" t="n">
        <v>7.8</v>
      </c>
      <c r="D18" s="7" t="n">
        <v>8.800000000000001</v>
      </c>
      <c r="E18" s="7" t="n">
        <v>13.6</v>
      </c>
      <c r="F18" s="7" t="n">
        <v>16.8</v>
      </c>
      <c r="G18" s="7" t="n">
        <v>29.2</v>
      </c>
      <c r="H18" s="7" t="n">
        <v>31</v>
      </c>
      <c r="I18" s="7" t="n">
        <v>34.9</v>
      </c>
      <c r="J18" s="7" t="n">
        <v>42.7</v>
      </c>
      <c r="K18" s="7" t="n">
        <v>47.6</v>
      </c>
      <c r="M18" t="n">
        <v>5</v>
      </c>
      <c r="N18" t="n">
        <v>48.4</v>
      </c>
      <c r="O18" t="n">
        <v>79.8</v>
      </c>
      <c r="P18" t="n">
        <v>102.9</v>
      </c>
      <c r="Q18" t="n">
        <v>135</v>
      </c>
      <c r="R18" t="n">
        <v>161.1</v>
      </c>
      <c r="S18" t="n">
        <v>189.2</v>
      </c>
      <c r="T18" t="n">
        <v>219.3</v>
      </c>
      <c r="U18" t="n">
        <v>262.9</v>
      </c>
      <c r="V18" t="n">
        <v>298.9</v>
      </c>
      <c r="W18" t="n">
        <v>337.8</v>
      </c>
      <c r="X18" t="n">
        <v>394.1</v>
      </c>
      <c r="Y18" t="n">
        <v>440.6</v>
      </c>
    </row>
    <row r="19">
      <c r="A19" s="6" t="n">
        <v>1998</v>
      </c>
      <c r="B19" s="7" t="n">
        <v>11.4</v>
      </c>
      <c r="C19" s="7" t="n">
        <v>19</v>
      </c>
      <c r="D19" s="7" t="n">
        <v>20.9</v>
      </c>
      <c r="E19" s="7" t="n">
        <v>25</v>
      </c>
      <c r="F19" s="7" t="n">
        <v>39</v>
      </c>
      <c r="G19" s="7" t="n">
        <v>44.4</v>
      </c>
      <c r="H19" s="7" t="n">
        <v>47.8</v>
      </c>
      <c r="I19" s="7" t="n">
        <v>48.3</v>
      </c>
      <c r="J19" s="7" t="n">
        <v>48.8</v>
      </c>
      <c r="K19" s="7" t="n">
        <v>49.7</v>
      </c>
      <c r="M19" t="n">
        <v>10</v>
      </c>
      <c r="N19" t="n">
        <v>38.2</v>
      </c>
      <c r="O19" t="n">
        <v>63.8</v>
      </c>
      <c r="P19" t="n">
        <v>82.90000000000001</v>
      </c>
      <c r="Q19" t="n">
        <v>109.8</v>
      </c>
      <c r="R19" t="n">
        <v>132.1</v>
      </c>
      <c r="S19" t="n">
        <v>156.3</v>
      </c>
      <c r="T19" t="n">
        <v>182.7</v>
      </c>
      <c r="U19" t="n">
        <v>221.3</v>
      </c>
      <c r="V19" t="n">
        <v>253.8</v>
      </c>
      <c r="W19" t="n">
        <v>289.3</v>
      </c>
      <c r="X19" t="n">
        <v>341.4</v>
      </c>
      <c r="Y19" t="n">
        <v>385.2</v>
      </c>
    </row>
    <row r="20">
      <c r="A20" s="6" t="n">
        <v>1999</v>
      </c>
      <c r="B20" s="7" t="n">
        <v>2.4</v>
      </c>
      <c r="C20" s="7" t="n">
        <v>3.2</v>
      </c>
      <c r="D20" s="7" t="n">
        <v>3.6</v>
      </c>
      <c r="E20" s="7" t="n">
        <v>6.6</v>
      </c>
      <c r="F20" s="7" t="n">
        <v>7.6</v>
      </c>
      <c r="G20" s="7" t="n">
        <v>13</v>
      </c>
      <c r="H20" s="7" t="n">
        <v>15.2</v>
      </c>
      <c r="I20" s="7" t="n">
        <v>23.2</v>
      </c>
      <c r="J20" s="7" t="n">
        <v>24.4</v>
      </c>
      <c r="K20" s="7" t="n">
        <v>27.8</v>
      </c>
      <c r="M20" t="n">
        <v>15</v>
      </c>
      <c r="N20" t="n">
        <v>31.4</v>
      </c>
      <c r="O20" t="n">
        <v>53.8</v>
      </c>
      <c r="P20" t="n">
        <v>71</v>
      </c>
      <c r="Q20" t="n">
        <v>95.8</v>
      </c>
      <c r="R20" t="n">
        <v>116.8</v>
      </c>
      <c r="S20" t="n">
        <v>140.1</v>
      </c>
      <c r="T20" t="n">
        <v>165.9</v>
      </c>
      <c r="U20" t="n">
        <v>204.7</v>
      </c>
      <c r="V20" t="n">
        <v>238</v>
      </c>
      <c r="W20" t="n">
        <v>275.1</v>
      </c>
      <c r="X20" t="n">
        <v>330.9</v>
      </c>
      <c r="Y20" t="n">
        <v>378.8</v>
      </c>
    </row>
    <row r="21">
      <c r="A21" s="6" t="n">
        <v>2000</v>
      </c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>
        <v>1.6</v>
      </c>
      <c r="M21" t="n">
        <v>30</v>
      </c>
      <c r="N21" t="n">
        <v>21</v>
      </c>
      <c r="O21" t="n">
        <v>36.8</v>
      </c>
      <c r="P21" t="n">
        <v>48.6</v>
      </c>
      <c r="Q21" t="n">
        <v>65.40000000000001</v>
      </c>
      <c r="R21" t="n">
        <v>79.3</v>
      </c>
      <c r="S21" t="n">
        <v>94.5</v>
      </c>
      <c r="T21" t="n">
        <v>111.1</v>
      </c>
      <c r="U21" t="n">
        <v>135.6</v>
      </c>
      <c r="V21" t="n">
        <v>156.2</v>
      </c>
      <c r="W21" t="n">
        <v>178.9</v>
      </c>
      <c r="X21" t="n">
        <v>212.3</v>
      </c>
      <c r="Y21" t="n">
        <v>240.5</v>
      </c>
    </row>
    <row r="22">
      <c r="A22" s="6" t="n">
        <v>2001</v>
      </c>
      <c r="B22" s="7" t="n">
        <v>4.2</v>
      </c>
      <c r="C22" s="7" t="n">
        <v>6.8</v>
      </c>
      <c r="D22" s="7" t="n">
        <v>6.8</v>
      </c>
      <c r="E22" s="7" t="n">
        <v>8.199999999999999</v>
      </c>
      <c r="F22" s="7" t="n">
        <v>9.300000000000001</v>
      </c>
      <c r="G22" s="7" t="n">
        <v>9.4</v>
      </c>
      <c r="H22" s="7" t="n">
        <v>9.4</v>
      </c>
      <c r="I22" s="7" t="n">
        <v>9.5</v>
      </c>
      <c r="J22" s="7" t="n">
        <v>15.4</v>
      </c>
      <c r="K22" s="7" t="n">
        <v>15.5</v>
      </c>
      <c r="M22" t="n">
        <v>60</v>
      </c>
      <c r="N22" t="n">
        <v>13.1</v>
      </c>
      <c r="O22" t="n">
        <v>23</v>
      </c>
      <c r="P22" t="n">
        <v>30.4</v>
      </c>
      <c r="Q22" t="n">
        <v>40.9</v>
      </c>
      <c r="R22" t="n">
        <v>49.7</v>
      </c>
      <c r="S22" t="n">
        <v>59.2</v>
      </c>
      <c r="T22" t="n">
        <v>69.7</v>
      </c>
      <c r="U22" t="n">
        <v>85.09999999999999</v>
      </c>
      <c r="V22" t="n">
        <v>98</v>
      </c>
      <c r="W22" t="n">
        <v>112.3</v>
      </c>
      <c r="X22" t="n">
        <v>133.4</v>
      </c>
      <c r="Y22" t="n">
        <v>151.1</v>
      </c>
    </row>
    <row r="23">
      <c r="A23" s="6" t="n">
        <v>2002</v>
      </c>
      <c r="B23" s="7" t="n">
        <v>3</v>
      </c>
      <c r="C23" s="7" t="n">
        <v>5.8</v>
      </c>
      <c r="D23" s="7" t="n">
        <v>8.6</v>
      </c>
      <c r="E23" s="7" t="n">
        <v>13.4</v>
      </c>
      <c r="F23" s="7" t="n">
        <v>15</v>
      </c>
      <c r="G23" s="7" t="n">
        <v>16.1</v>
      </c>
      <c r="H23" s="7" t="n">
        <v>18.2</v>
      </c>
      <c r="I23" s="7" t="n">
        <v>28</v>
      </c>
      <c r="J23" s="7" t="n">
        <v>28.2</v>
      </c>
      <c r="K23" s="7" t="n">
        <v>28.3</v>
      </c>
      <c r="M23" t="n">
        <v>120</v>
      </c>
      <c r="N23" t="n">
        <v>7.5</v>
      </c>
      <c r="O23" t="n">
        <v>13.4</v>
      </c>
      <c r="P23" t="n">
        <v>18</v>
      </c>
      <c r="Q23" t="n">
        <v>24.9</v>
      </c>
      <c r="R23" t="n">
        <v>30.8</v>
      </c>
      <c r="S23" t="n">
        <v>37.5</v>
      </c>
      <c r="T23" t="n">
        <v>45</v>
      </c>
      <c r="U23" t="n">
        <v>56.6</v>
      </c>
      <c r="V23" t="n">
        <v>66.7</v>
      </c>
      <c r="W23" t="n">
        <v>78.2</v>
      </c>
      <c r="X23" t="n">
        <v>95.90000000000001</v>
      </c>
      <c r="Y23" t="n">
        <v>111.3</v>
      </c>
    </row>
    <row r="24">
      <c r="A24" s="6" t="n">
        <v>2003</v>
      </c>
      <c r="B24" s="7" t="n">
        <v>1.2</v>
      </c>
      <c r="C24" s="7" t="n">
        <v>2.2</v>
      </c>
      <c r="D24" s="7" t="n">
        <v>2.6</v>
      </c>
      <c r="E24" s="7" t="n">
        <v>2.7</v>
      </c>
      <c r="F24" s="7" t="n">
        <v>3.3</v>
      </c>
      <c r="G24" s="7" t="n">
        <v>3.4</v>
      </c>
      <c r="H24" s="7" t="n">
        <v>3.5</v>
      </c>
      <c r="I24" s="7" t="n">
        <v>5.8</v>
      </c>
      <c r="J24" s="7" t="n">
        <v>9.199999999999999</v>
      </c>
      <c r="K24" s="7" t="n">
        <v>9.5</v>
      </c>
      <c r="M24" t="n">
        <v>180</v>
      </c>
      <c r="N24" t="n">
        <v>5.4</v>
      </c>
      <c r="O24" t="n">
        <v>9.699999999999999</v>
      </c>
      <c r="P24" t="n">
        <v>13.2</v>
      </c>
      <c r="Q24" t="n">
        <v>18.7</v>
      </c>
      <c r="R24" t="n">
        <v>23.7</v>
      </c>
      <c r="S24" t="n">
        <v>29.5</v>
      </c>
      <c r="T24" t="n">
        <v>36.3</v>
      </c>
      <c r="U24" t="n">
        <v>47.2</v>
      </c>
      <c r="V24" t="n">
        <v>57.2</v>
      </c>
      <c r="W24" t="n">
        <v>68.90000000000001</v>
      </c>
      <c r="X24" t="n">
        <v>87.59999999999999</v>
      </c>
      <c r="Y24" t="n">
        <v>104.7</v>
      </c>
    </row>
    <row r="25">
      <c r="A25" s="6" t="n">
        <v>2004</v>
      </c>
      <c r="B25" s="7" t="n">
        <v>6.2</v>
      </c>
      <c r="C25" s="7" t="n">
        <v>12</v>
      </c>
      <c r="D25" s="7" t="n">
        <v>15.4</v>
      </c>
      <c r="E25" s="7" t="n">
        <v>22.2</v>
      </c>
      <c r="F25" s="7" t="n">
        <v>29.4</v>
      </c>
      <c r="G25" s="7" t="n">
        <v>43.3</v>
      </c>
      <c r="H25" s="7" t="n">
        <v>46.9</v>
      </c>
      <c r="I25" s="7" t="n">
        <v>55.3</v>
      </c>
      <c r="J25" s="7" t="n">
        <v>59.1</v>
      </c>
      <c r="K25" s="7" t="n">
        <v>62.2</v>
      </c>
      <c r="M25" t="n">
        <v>360</v>
      </c>
      <c r="N25" t="n">
        <v>3.1</v>
      </c>
      <c r="O25" t="n">
        <v>5.7</v>
      </c>
      <c r="P25" t="n">
        <v>8</v>
      </c>
      <c r="Q25" t="n">
        <v>11.8</v>
      </c>
      <c r="R25" t="n">
        <v>15.4</v>
      </c>
      <c r="S25" t="n">
        <v>19.8</v>
      </c>
      <c r="T25" t="n">
        <v>25.3</v>
      </c>
      <c r="U25" t="n">
        <v>34.6</v>
      </c>
      <c r="V25" t="n">
        <v>43.7</v>
      </c>
      <c r="W25" t="n">
        <v>54.8</v>
      </c>
      <c r="X25" t="n">
        <v>73.8</v>
      </c>
      <c r="Y25" t="n">
        <v>92.09999999999999</v>
      </c>
    </row>
    <row r="26">
      <c r="A26" s="6" t="n">
        <v>2005</v>
      </c>
      <c r="B26" s="7" t="n">
        <v>7.4</v>
      </c>
      <c r="C26" s="7" t="n">
        <v>11.8</v>
      </c>
      <c r="D26" s="7" t="n">
        <v>12.2</v>
      </c>
      <c r="E26" s="7" t="n">
        <v>15.6</v>
      </c>
      <c r="F26" s="7" t="n">
        <v>22.1</v>
      </c>
      <c r="G26" s="7" t="n">
        <v>24.6</v>
      </c>
      <c r="H26" s="7" t="n">
        <v>27.2</v>
      </c>
      <c r="I26" s="7" t="n">
        <v>31.2</v>
      </c>
      <c r="J26" s="7" t="n">
        <v>44</v>
      </c>
      <c r="K26" s="7" t="n">
        <v>47.4</v>
      </c>
      <c r="M26" t="n">
        <v>720</v>
      </c>
      <c r="N26" t="n">
        <v>1.8</v>
      </c>
      <c r="O26" t="n">
        <v>3.3</v>
      </c>
      <c r="P26" t="n">
        <v>4.7</v>
      </c>
      <c r="Q26" t="n">
        <v>7.1</v>
      </c>
      <c r="R26" t="n">
        <v>9.4</v>
      </c>
      <c r="S26" t="n">
        <v>12.4</v>
      </c>
      <c r="T26" t="n">
        <v>16.3</v>
      </c>
      <c r="U26" t="n">
        <v>23</v>
      </c>
      <c r="V26" t="n">
        <v>29.7</v>
      </c>
      <c r="W26" t="n">
        <v>38.4</v>
      </c>
      <c r="X26" t="n">
        <v>53.5</v>
      </c>
      <c r="Y26" t="n">
        <v>68.7</v>
      </c>
    </row>
    <row r="27">
      <c r="A27" s="6" t="n">
        <v>2006</v>
      </c>
      <c r="B27" s="7" t="n">
        <v>11.8</v>
      </c>
      <c r="C27" s="7" t="n">
        <v>18.8</v>
      </c>
      <c r="D27" s="7" t="n">
        <v>25.2</v>
      </c>
      <c r="E27" s="7" t="n">
        <v>31</v>
      </c>
      <c r="F27" s="7" t="n">
        <v>33.4</v>
      </c>
      <c r="G27" s="7" t="n">
        <v>35.9</v>
      </c>
      <c r="H27" s="7" t="n">
        <v>36</v>
      </c>
      <c r="I27" s="7" t="n">
        <v>36.2</v>
      </c>
      <c r="J27" s="7" t="n">
        <v>38.2</v>
      </c>
      <c r="K27" s="7" t="n">
        <v>45.7</v>
      </c>
      <c r="M27" t="n">
        <v>1440</v>
      </c>
      <c r="N27" t="n">
        <v>1.2</v>
      </c>
      <c r="O27" t="n">
        <v>2.3</v>
      </c>
      <c r="P27" t="n">
        <v>3.3</v>
      </c>
      <c r="Q27" t="n">
        <v>4.9</v>
      </c>
      <c r="R27" t="n">
        <v>6.6</v>
      </c>
      <c r="S27" t="n">
        <v>8.699999999999999</v>
      </c>
      <c r="T27" t="n">
        <v>11.3</v>
      </c>
      <c r="U27" t="n">
        <v>15.9</v>
      </c>
      <c r="V27" t="n">
        <v>20.5</v>
      </c>
      <c r="W27" t="n">
        <v>26.3</v>
      </c>
      <c r="X27" t="n">
        <v>36.4</v>
      </c>
      <c r="Y27" t="n">
        <v>46.5</v>
      </c>
    </row>
    <row r="28">
      <c r="A28" s="6" t="n">
        <v>2007</v>
      </c>
      <c r="B28" s="7" t="n">
        <v>10.2</v>
      </c>
      <c r="C28" s="7" t="n">
        <v>14</v>
      </c>
      <c r="D28" s="7" t="n">
        <v>15.6</v>
      </c>
      <c r="E28" s="7" t="n">
        <v>25.8</v>
      </c>
      <c r="F28" s="7" t="n">
        <v>28.6</v>
      </c>
      <c r="G28" s="7" t="n">
        <v>37.2</v>
      </c>
      <c r="H28" s="7" t="n">
        <v>52.4</v>
      </c>
      <c r="I28" s="7" t="n">
        <v>97.8</v>
      </c>
      <c r="J28" s="7" t="n">
        <v>162.2</v>
      </c>
      <c r="K28" s="7" t="n">
        <v>226.2</v>
      </c>
    </row>
    <row r="29">
      <c r="A29" s="6" t="n">
        <v>2008</v>
      </c>
      <c r="B29" s="7" t="n">
        <v>6.8</v>
      </c>
      <c r="C29" s="7" t="n">
        <v>8.4</v>
      </c>
      <c r="D29" s="7" t="n">
        <v>9.199999999999999</v>
      </c>
      <c r="E29" s="7" t="n">
        <v>15.4</v>
      </c>
      <c r="F29" s="7" t="n">
        <v>20</v>
      </c>
      <c r="G29" s="7" t="n">
        <v>21.3</v>
      </c>
      <c r="H29" s="7" t="n">
        <v>21.9</v>
      </c>
      <c r="I29" s="7" t="n">
        <v>24.8</v>
      </c>
      <c r="J29" s="7" t="n">
        <v>35.3</v>
      </c>
      <c r="K29" s="7" t="n">
        <v>45.8</v>
      </c>
    </row>
    <row r="30">
      <c r="A30" s="6" t="n">
        <v>2009</v>
      </c>
      <c r="B30" s="7" t="n">
        <v>6.6</v>
      </c>
      <c r="C30" s="7" t="n">
        <v>11.2</v>
      </c>
      <c r="D30" s="7" t="n">
        <v>13.2</v>
      </c>
      <c r="E30" s="7" t="n">
        <v>16.6</v>
      </c>
      <c r="F30" s="7" t="n">
        <v>17</v>
      </c>
      <c r="G30" s="7" t="n">
        <v>17</v>
      </c>
      <c r="H30" s="7" t="n">
        <v>17.1</v>
      </c>
      <c r="I30" s="7" t="n">
        <v>22.1</v>
      </c>
      <c r="J30" s="7" t="n">
        <v>22.3</v>
      </c>
      <c r="K30" s="7" t="n">
        <v>31.7</v>
      </c>
    </row>
    <row r="31">
      <c r="A31" s="6" t="n">
        <v>2010</v>
      </c>
      <c r="B31" s="7" t="n">
        <v>5.4</v>
      </c>
      <c r="C31" s="7" t="n">
        <v>10.2</v>
      </c>
      <c r="D31" s="7" t="n">
        <v>11.8</v>
      </c>
      <c r="E31" s="7" t="n">
        <v>17.6</v>
      </c>
      <c r="F31" s="7" t="n">
        <v>18.6</v>
      </c>
      <c r="G31" s="7" t="n">
        <v>21.6</v>
      </c>
      <c r="H31" s="7" t="n">
        <v>29.8</v>
      </c>
      <c r="I31" s="7" t="n">
        <v>51.2</v>
      </c>
      <c r="J31" s="7" t="n">
        <v>80.5</v>
      </c>
      <c r="K31" s="7" t="n">
        <v>99.7</v>
      </c>
    </row>
    <row r="32">
      <c r="A32" s="6" t="n">
        <v>2011</v>
      </c>
      <c r="B32" s="7" t="n">
        <v>2.6</v>
      </c>
      <c r="C32" s="7" t="n">
        <v>5.2</v>
      </c>
      <c r="D32" s="7" t="n">
        <v>6</v>
      </c>
      <c r="E32" s="7" t="n">
        <v>7.8</v>
      </c>
      <c r="F32" s="7" t="n">
        <v>10.8</v>
      </c>
      <c r="G32" s="7" t="n">
        <v>11.9</v>
      </c>
      <c r="H32" s="7" t="n">
        <v>15.6</v>
      </c>
      <c r="I32" s="7" t="n">
        <v>18</v>
      </c>
      <c r="J32" s="7" t="n">
        <v>18.1</v>
      </c>
      <c r="K32" s="7" t="n">
        <v>19.7</v>
      </c>
    </row>
    <row r="33">
      <c r="A33" s="6" t="n">
        <v>2012</v>
      </c>
      <c r="B33" s="7" t="n">
        <v>4.4</v>
      </c>
      <c r="C33" s="7" t="n">
        <v>6.6</v>
      </c>
      <c r="D33" s="7" t="n">
        <v>8.800000000000001</v>
      </c>
      <c r="E33" s="7" t="n">
        <v>11.4</v>
      </c>
      <c r="F33" s="7" t="n">
        <v>18.8</v>
      </c>
      <c r="G33" s="7" t="n">
        <v>22</v>
      </c>
      <c r="H33" s="7" t="n">
        <v>22.3</v>
      </c>
      <c r="I33" s="7" t="n">
        <v>22.4</v>
      </c>
      <c r="J33" s="7" t="n">
        <v>22.5</v>
      </c>
      <c r="K33" s="7" t="n">
        <v>22.6</v>
      </c>
    </row>
    <row r="34">
      <c r="A34" s="6" t="n">
        <v>2013</v>
      </c>
      <c r="B34" s="7" t="n">
        <v>4.4</v>
      </c>
      <c r="C34" s="7" t="n">
        <v>8.4</v>
      </c>
      <c r="D34" s="7" t="n">
        <v>11.6</v>
      </c>
      <c r="E34" s="7" t="n">
        <v>16.4</v>
      </c>
      <c r="F34" s="7" t="n">
        <v>17.9</v>
      </c>
      <c r="G34" s="7" t="n">
        <v>20.1</v>
      </c>
      <c r="H34" s="7" t="n">
        <v>20.6</v>
      </c>
      <c r="I34" s="7" t="n">
        <v>25.7</v>
      </c>
      <c r="J34" s="7" t="n">
        <v>26.2</v>
      </c>
      <c r="K34" s="7" t="n">
        <v>26.4</v>
      </c>
    </row>
    <row r="35">
      <c r="A35" s="6" t="n">
        <v>2014</v>
      </c>
      <c r="B35" s="7" t="n">
        <v>17.2</v>
      </c>
      <c r="C35" s="7" t="n">
        <v>25.8</v>
      </c>
      <c r="D35" s="7" t="n">
        <v>31.4</v>
      </c>
      <c r="E35" s="7" t="n">
        <v>31.4</v>
      </c>
      <c r="F35" s="7" t="n">
        <v>31.4</v>
      </c>
      <c r="G35" s="7" t="n">
        <v>31.5</v>
      </c>
      <c r="H35" s="7" t="n">
        <v>31.6</v>
      </c>
      <c r="I35" s="7" t="n">
        <v>42.5</v>
      </c>
      <c r="J35" s="7" t="n">
        <v>48.4</v>
      </c>
      <c r="K35" s="7" t="n">
        <v>56.8</v>
      </c>
    </row>
    <row r="36">
      <c r="A36" s="6" t="n">
        <v>2015</v>
      </c>
      <c r="B36" s="7" t="n">
        <v>9</v>
      </c>
      <c r="C36" s="7" t="n">
        <v>15.2</v>
      </c>
      <c r="D36" s="7" t="n">
        <v>21.8</v>
      </c>
      <c r="E36" s="7" t="n">
        <v>35.2</v>
      </c>
      <c r="F36" s="7" t="n">
        <v>49</v>
      </c>
      <c r="G36" s="7" t="n">
        <v>51.9</v>
      </c>
      <c r="H36" s="7" t="n">
        <v>52.9</v>
      </c>
      <c r="I36" s="7" t="n">
        <v>66.3</v>
      </c>
      <c r="J36" s="7" t="n">
        <v>66.8</v>
      </c>
      <c r="K36" s="7" t="n">
        <v>66.90000000000001</v>
      </c>
    </row>
    <row r="37">
      <c r="A37" s="6" t="n">
        <v>2016</v>
      </c>
      <c r="B37" s="7" t="n">
        <v>7</v>
      </c>
      <c r="C37" s="7" t="n">
        <v>11.2</v>
      </c>
      <c r="D37" s="7" t="n">
        <v>14</v>
      </c>
      <c r="E37" s="7" t="n">
        <v>15.4</v>
      </c>
      <c r="F37" s="7" t="n">
        <v>16.7</v>
      </c>
      <c r="G37" s="7" t="n">
        <v>16.8</v>
      </c>
      <c r="H37" s="7" t="n">
        <v>18.1</v>
      </c>
      <c r="I37" s="7" t="n">
        <v>20.1</v>
      </c>
      <c r="J37" s="7" t="n">
        <v>20.9</v>
      </c>
      <c r="K37" s="7" t="n">
        <v>32.8</v>
      </c>
    </row>
    <row r="38">
      <c r="A38" s="6" t="n">
        <v>2017</v>
      </c>
      <c r="B38" s="7" t="n">
        <v>5.4</v>
      </c>
      <c r="C38" s="7" t="n">
        <v>9.199999999999999</v>
      </c>
      <c r="D38" s="7" t="n">
        <v>9.199999999999999</v>
      </c>
      <c r="E38" s="7" t="n">
        <v>9.800000000000001</v>
      </c>
      <c r="F38" s="7" t="n">
        <v>10.2</v>
      </c>
      <c r="G38" s="7" t="n">
        <v>10.3</v>
      </c>
      <c r="H38" s="7" t="n">
        <v>10.5</v>
      </c>
      <c r="I38" s="7" t="n">
        <v>12.2</v>
      </c>
      <c r="J38" s="7" t="n">
        <v>15.6</v>
      </c>
      <c r="K38" s="7" t="n">
        <v>16.2</v>
      </c>
    </row>
    <row r="39">
      <c r="A39" s="6" t="n">
        <v>2018</v>
      </c>
      <c r="B39" s="7" t="n">
        <v>4.8</v>
      </c>
      <c r="C39" s="7" t="n">
        <v>6.8</v>
      </c>
      <c r="D39" s="7" t="n">
        <v>8.199999999999999</v>
      </c>
      <c r="E39" s="7" t="n">
        <v>9.5</v>
      </c>
      <c r="F39" s="7" t="n">
        <v>10.6</v>
      </c>
      <c r="G39" s="7" t="n">
        <v>10.6</v>
      </c>
      <c r="H39" s="7" t="n">
        <v>10.7</v>
      </c>
      <c r="I39" s="7" t="n">
        <v>10.8</v>
      </c>
      <c r="J39" s="7" t="n">
        <v>11.4</v>
      </c>
      <c r="K39" s="7" t="n">
        <v>16.5</v>
      </c>
    </row>
    <row r="40">
      <c r="A40" s="6" t="n">
        <v>2019</v>
      </c>
      <c r="B40" s="7" t="n">
        <v>5.6</v>
      </c>
      <c r="C40" s="7" t="n">
        <v>11</v>
      </c>
      <c r="D40" s="7" t="n">
        <v>13.2</v>
      </c>
      <c r="E40" s="7" t="n">
        <v>20</v>
      </c>
      <c r="F40" s="7" t="n">
        <v>32.4</v>
      </c>
      <c r="G40" s="7" t="n">
        <v>33.6</v>
      </c>
      <c r="H40" s="7" t="n">
        <v>33.6</v>
      </c>
      <c r="I40" s="7" t="n">
        <v>33.6</v>
      </c>
      <c r="J40" s="7" t="n">
        <v>33.6</v>
      </c>
      <c r="K40" s="7" t="n">
        <v>40</v>
      </c>
    </row>
    <row r="41">
      <c r="A41" s="6" t="n">
        <v>2020</v>
      </c>
      <c r="B41" s="7" t="n">
        <v>7</v>
      </c>
      <c r="C41" s="7" t="n">
        <v>14</v>
      </c>
      <c r="D41" s="7" t="n">
        <v>18.7</v>
      </c>
      <c r="E41" s="7" t="n">
        <v>25.8</v>
      </c>
      <c r="F41" s="7" t="n">
        <v>34.2</v>
      </c>
      <c r="G41" s="7" t="n">
        <v>37</v>
      </c>
      <c r="H41" s="7" t="n">
        <v>37.2</v>
      </c>
      <c r="I41" s="7" t="n">
        <v>40</v>
      </c>
      <c r="J41" s="7" t="n">
        <v>40</v>
      </c>
      <c r="K41" s="7" t="n">
        <v>54.8</v>
      </c>
    </row>
    <row r="42">
      <c r="A42" s="6" t="n">
        <v>2021</v>
      </c>
      <c r="B42" s="7" t="n">
        <v>5.6</v>
      </c>
      <c r="C42" s="7" t="n">
        <v>9.4</v>
      </c>
      <c r="D42" s="7" t="n">
        <v>12</v>
      </c>
      <c r="E42" s="7" t="n">
        <v>15</v>
      </c>
      <c r="F42" s="7" t="n">
        <v>17.8</v>
      </c>
      <c r="G42" s="7" t="n">
        <v>18.8</v>
      </c>
      <c r="H42" s="7" t="n">
        <v>18.8</v>
      </c>
      <c r="I42" s="7" t="n">
        <v>18.9</v>
      </c>
      <c r="J42" s="7" t="n">
        <v>19</v>
      </c>
      <c r="K42" s="7" t="n">
        <v>19.1</v>
      </c>
    </row>
    <row r="43">
      <c r="A43" s="6" t="n">
        <v>2022</v>
      </c>
      <c r="B43" s="7" t="n">
        <v>8.6</v>
      </c>
      <c r="C43" s="7" t="n">
        <v>15.4</v>
      </c>
      <c r="D43" s="7" t="n">
        <v>22.4</v>
      </c>
      <c r="E43" s="7" t="n">
        <v>39.6</v>
      </c>
      <c r="F43" s="7" t="n">
        <v>45.4</v>
      </c>
      <c r="G43" s="7" t="n">
        <v>58.8</v>
      </c>
      <c r="H43" s="7" t="n">
        <v>72.59999999999999</v>
      </c>
      <c r="I43" s="7" t="n">
        <v>116.4</v>
      </c>
      <c r="J43" s="7" t="n">
        <v>167.2</v>
      </c>
      <c r="K43" s="7" t="n">
        <v>173</v>
      </c>
    </row>
    <row r="46">
      <c r="A46" s="2" t="inlineStr">
        <is>
          <t>AMS AFTER gap filling (mm)  -  yellow = added or changed by gap filling</t>
        </is>
      </c>
    </row>
    <row r="47">
      <c r="A47" s="4" t="inlineStr">
        <is>
          <t>Water year</t>
        </is>
      </c>
      <c r="B47" s="5" t="inlineStr">
        <is>
          <t>5min</t>
        </is>
      </c>
      <c r="C47" s="5" t="inlineStr">
        <is>
          <t>10min</t>
        </is>
      </c>
      <c r="D47" s="5" t="inlineStr">
        <is>
          <t>15min</t>
        </is>
      </c>
      <c r="E47" s="5" t="inlineStr">
        <is>
          <t>30min</t>
        </is>
      </c>
      <c r="F47" s="5" t="inlineStr">
        <is>
          <t>1h</t>
        </is>
      </c>
      <c r="G47" s="5" t="inlineStr">
        <is>
          <t>2h</t>
        </is>
      </c>
      <c r="H47" s="5" t="inlineStr">
        <is>
          <t>3h</t>
        </is>
      </c>
      <c r="I47" s="5" t="inlineStr">
        <is>
          <t>6h</t>
        </is>
      </c>
      <c r="J47" s="5" t="inlineStr">
        <is>
          <t>12h</t>
        </is>
      </c>
      <c r="K47" s="5" t="inlineStr">
        <is>
          <t>24h</t>
        </is>
      </c>
    </row>
    <row r="48">
      <c r="A48" s="6" t="n">
        <v>1983</v>
      </c>
      <c r="B48" s="7" t="n"/>
      <c r="C48" s="7" t="n"/>
      <c r="D48" s="7" t="n"/>
      <c r="E48" s="7" t="n"/>
      <c r="F48" s="7" t="n"/>
      <c r="G48" s="7" t="n"/>
      <c r="H48" s="7" t="n"/>
      <c r="I48" s="7" t="n"/>
      <c r="J48" s="7" t="n"/>
      <c r="K48" s="7" t="n">
        <v>30</v>
      </c>
    </row>
    <row r="49">
      <c r="A49" s="6" t="n">
        <v>1984</v>
      </c>
      <c r="B49" s="7" t="n"/>
      <c r="C49" s="7" t="n"/>
      <c r="D49" s="7" t="n"/>
      <c r="E49" s="7" t="n"/>
      <c r="F49" s="7" t="n"/>
      <c r="G49" s="7" t="n"/>
      <c r="H49" s="7" t="n"/>
      <c r="I49" s="7" t="n"/>
      <c r="J49" s="7" t="n"/>
      <c r="K49" s="7" t="n">
        <v>1.5</v>
      </c>
    </row>
    <row r="50">
      <c r="A50" s="6" t="n">
        <v>1985</v>
      </c>
      <c r="B50" s="7" t="n"/>
      <c r="C50" s="7" t="n"/>
      <c r="D50" s="7" t="n"/>
      <c r="E50" s="7" t="n"/>
      <c r="F50" s="7" t="n"/>
      <c r="G50" s="7" t="n"/>
      <c r="H50" s="7" t="n"/>
      <c r="I50" s="7" t="n"/>
      <c r="J50" s="7" t="n"/>
      <c r="K50" s="7" t="n">
        <v>1</v>
      </c>
    </row>
    <row r="51">
      <c r="A51" s="6" t="n">
        <v>1987</v>
      </c>
      <c r="B51" s="7" t="n"/>
      <c r="C51" s="7" t="n"/>
      <c r="D51" s="7" t="n"/>
      <c r="E51" s="7" t="n"/>
      <c r="F51" s="7" t="n"/>
      <c r="G51" s="7" t="n"/>
      <c r="H51" s="7" t="n"/>
      <c r="I51" s="7" t="n"/>
      <c r="J51" s="7" t="n"/>
      <c r="K51" s="7" t="n">
        <v>54.8</v>
      </c>
    </row>
    <row r="52">
      <c r="A52" s="6" t="n">
        <v>1988</v>
      </c>
      <c r="B52" s="7" t="n"/>
      <c r="C52" s="7" t="n"/>
      <c r="D52" s="7" t="n"/>
      <c r="E52" s="7" t="n"/>
      <c r="F52" s="7" t="n"/>
      <c r="G52" s="7" t="n"/>
      <c r="H52" s="7" t="n"/>
      <c r="I52" s="7" t="n"/>
      <c r="J52" s="7" t="n"/>
      <c r="K52" s="7" t="n">
        <v>22.5</v>
      </c>
    </row>
    <row r="53">
      <c r="A53" s="6" t="n">
        <v>1989</v>
      </c>
      <c r="B53" s="7" t="n"/>
      <c r="C53" s="7" t="n"/>
      <c r="D53" s="7" t="n"/>
      <c r="E53" s="7" t="n"/>
      <c r="F53" s="7" t="n"/>
      <c r="G53" s="7" t="n"/>
      <c r="H53" s="7" t="n"/>
      <c r="I53" s="7" t="n"/>
      <c r="J53" s="7" t="n"/>
      <c r="K53" s="7" t="n">
        <v>47</v>
      </c>
    </row>
    <row r="54">
      <c r="A54" s="6" t="n">
        <v>1990</v>
      </c>
      <c r="B54" s="7" t="n"/>
      <c r="C54" s="7" t="n"/>
      <c r="D54" s="7" t="n"/>
      <c r="E54" s="7" t="n"/>
      <c r="F54" s="7" t="n"/>
      <c r="G54" s="7" t="n"/>
      <c r="H54" s="7" t="n"/>
      <c r="I54" s="7" t="n"/>
      <c r="J54" s="7" t="n"/>
      <c r="K54" s="7" t="n">
        <v>41.4</v>
      </c>
    </row>
    <row r="55">
      <c r="A55" s="6" t="n">
        <v>1991</v>
      </c>
      <c r="B55" s="7" t="n"/>
      <c r="C55" s="7" t="n"/>
      <c r="D55" s="7" t="n"/>
      <c r="E55" s="7" t="n"/>
      <c r="F55" s="7" t="n"/>
      <c r="G55" s="7" t="n"/>
      <c r="H55" s="7" t="n"/>
      <c r="I55" s="7" t="n"/>
      <c r="J55" s="7" t="n"/>
      <c r="K55" s="7" t="n">
        <v>26.5</v>
      </c>
    </row>
    <row r="56">
      <c r="A56" s="6" t="n">
        <v>1992</v>
      </c>
      <c r="B56" s="7" t="n"/>
      <c r="C56" s="7" t="n"/>
      <c r="D56" s="7" t="n"/>
      <c r="E56" s="7" t="n"/>
      <c r="F56" s="7" t="n"/>
      <c r="G56" s="7" t="n"/>
      <c r="H56" s="7" t="n"/>
      <c r="I56" s="7" t="n"/>
      <c r="J56" s="7" t="n"/>
      <c r="K56" s="7" t="n">
        <v>69</v>
      </c>
    </row>
    <row r="57">
      <c r="A57" s="6" t="n">
        <v>1993</v>
      </c>
      <c r="B57" s="7" t="n">
        <v>5.6</v>
      </c>
      <c r="C57" s="7" t="n">
        <v>9.199999999999999</v>
      </c>
      <c r="D57" s="7" t="n">
        <v>9.6</v>
      </c>
      <c r="E57" s="7" t="n">
        <v>12.8</v>
      </c>
      <c r="F57" s="7" t="n">
        <v>17.3</v>
      </c>
      <c r="G57" s="7" t="n">
        <v>27</v>
      </c>
      <c r="H57" s="7" t="n">
        <v>28.4</v>
      </c>
      <c r="I57" s="7" t="n">
        <v>31.5</v>
      </c>
      <c r="J57" s="7" t="n">
        <v>34.7</v>
      </c>
      <c r="K57" s="7" t="n">
        <v>34.9</v>
      </c>
    </row>
    <row r="58">
      <c r="A58" s="6" t="n">
        <v>1994</v>
      </c>
      <c r="B58" s="7" t="n">
        <v>3.4</v>
      </c>
      <c r="C58" s="7" t="n">
        <v>5.3</v>
      </c>
      <c r="D58" s="7" t="n">
        <v>8</v>
      </c>
      <c r="E58" s="7" t="n">
        <v>9.199999999999999</v>
      </c>
      <c r="F58" s="7" t="n">
        <v>9.300000000000001</v>
      </c>
      <c r="G58" s="7" t="n">
        <v>9.4</v>
      </c>
      <c r="H58" s="7" t="n">
        <v>9.5</v>
      </c>
      <c r="I58" s="7" t="n">
        <v>9.9</v>
      </c>
      <c r="J58" s="7" t="n">
        <v>10.7</v>
      </c>
      <c r="K58" s="7" t="n">
        <v>12.2</v>
      </c>
    </row>
    <row r="59">
      <c r="A59" s="6" t="n">
        <v>1995</v>
      </c>
      <c r="B59" s="7" t="n">
        <v>6</v>
      </c>
      <c r="C59" s="7" t="n">
        <v>11</v>
      </c>
      <c r="D59" s="7" t="n">
        <v>16.4</v>
      </c>
      <c r="E59" s="7" t="n">
        <v>26.2</v>
      </c>
      <c r="F59" s="7" t="n">
        <v>34.8</v>
      </c>
      <c r="G59" s="7" t="n">
        <v>35.4</v>
      </c>
      <c r="H59" s="7" t="n">
        <v>43</v>
      </c>
      <c r="I59" s="7" t="n">
        <v>57.2</v>
      </c>
      <c r="J59" s="7" t="n">
        <v>94.40000000000001</v>
      </c>
      <c r="K59" s="7" t="n">
        <v>100.6</v>
      </c>
    </row>
    <row r="60">
      <c r="A60" s="6" t="n">
        <v>1996</v>
      </c>
      <c r="B60" s="7" t="n">
        <v>4.6</v>
      </c>
      <c r="C60" s="7" t="n">
        <v>7.8</v>
      </c>
      <c r="D60" s="7" t="n">
        <v>9.6</v>
      </c>
      <c r="E60" s="7" t="n">
        <v>15.4</v>
      </c>
      <c r="F60" s="7" t="n">
        <v>17.6</v>
      </c>
      <c r="G60" s="7" t="n">
        <v>18.2</v>
      </c>
      <c r="H60" s="7" t="n">
        <v>18.2</v>
      </c>
      <c r="I60" s="7" t="n">
        <v>18.3</v>
      </c>
      <c r="J60" s="7" t="n">
        <v>18.5</v>
      </c>
      <c r="K60" s="7" t="n">
        <v>19.6</v>
      </c>
    </row>
    <row r="61">
      <c r="A61" s="6" t="n">
        <v>1997</v>
      </c>
      <c r="B61" s="7" t="n">
        <v>5.8</v>
      </c>
      <c r="C61" s="7" t="n">
        <v>7.8</v>
      </c>
      <c r="D61" s="7" t="n">
        <v>8.800000000000001</v>
      </c>
      <c r="E61" s="7" t="n">
        <v>13.6</v>
      </c>
      <c r="F61" s="7" t="n">
        <v>16.8</v>
      </c>
      <c r="G61" s="7" t="n">
        <v>29.2</v>
      </c>
      <c r="H61" s="7" t="n">
        <v>31</v>
      </c>
      <c r="I61" s="7" t="n">
        <v>34.9</v>
      </c>
      <c r="J61" s="7" t="n">
        <v>42.7</v>
      </c>
      <c r="K61" s="7" t="n">
        <v>47.6</v>
      </c>
    </row>
    <row r="62">
      <c r="A62" s="6" t="n">
        <v>1998</v>
      </c>
      <c r="B62" s="7" t="n">
        <v>11.4</v>
      </c>
      <c r="C62" s="7" t="n">
        <v>19</v>
      </c>
      <c r="D62" s="7" t="n">
        <v>20.9</v>
      </c>
      <c r="E62" s="7" t="n">
        <v>25</v>
      </c>
      <c r="F62" s="7" t="n">
        <v>39</v>
      </c>
      <c r="G62" s="7" t="n">
        <v>44.4</v>
      </c>
      <c r="H62" s="7" t="n">
        <v>47.8</v>
      </c>
      <c r="I62" s="7" t="n">
        <v>48.3</v>
      </c>
      <c r="J62" s="7" t="n">
        <v>48.8</v>
      </c>
      <c r="K62" s="7" t="n">
        <v>49.7</v>
      </c>
    </row>
    <row r="63">
      <c r="A63" s="6" t="n">
        <v>1999</v>
      </c>
      <c r="B63" s="7" t="n">
        <v>2.4</v>
      </c>
      <c r="C63" s="7" t="n">
        <v>3.2</v>
      </c>
      <c r="D63" s="7" t="n">
        <v>3.6</v>
      </c>
      <c r="E63" s="7" t="n">
        <v>6.6</v>
      </c>
      <c r="F63" s="7" t="n">
        <v>7.6</v>
      </c>
      <c r="G63" s="7" t="n">
        <v>13</v>
      </c>
      <c r="H63" s="7" t="n">
        <v>15.2</v>
      </c>
      <c r="I63" s="7" t="n">
        <v>23.2</v>
      </c>
      <c r="J63" s="7" t="n">
        <v>24.4</v>
      </c>
      <c r="K63" s="7" t="n">
        <v>27.8</v>
      </c>
    </row>
    <row r="64">
      <c r="A64" s="6" t="n">
        <v>2000</v>
      </c>
      <c r="B64" s="7" t="n"/>
      <c r="C64" s="7" t="n"/>
      <c r="D64" s="7" t="n"/>
      <c r="E64" s="7" t="n"/>
      <c r="F64" s="7" t="n"/>
      <c r="G64" s="7" t="n"/>
      <c r="H64" s="7" t="n"/>
      <c r="I64" s="7" t="n"/>
      <c r="J64" s="7" t="n"/>
      <c r="K64" s="7" t="n">
        <v>1.6</v>
      </c>
    </row>
    <row r="65">
      <c r="A65" s="6" t="n">
        <v>2001</v>
      </c>
      <c r="B65" s="7" t="n">
        <v>4.2</v>
      </c>
      <c r="C65" s="7" t="n">
        <v>6.8</v>
      </c>
      <c r="D65" s="7" t="n">
        <v>6.8</v>
      </c>
      <c r="E65" s="7" t="n">
        <v>8.199999999999999</v>
      </c>
      <c r="F65" s="7" t="n">
        <v>9.300000000000001</v>
      </c>
      <c r="G65" s="7" t="n">
        <v>9.4</v>
      </c>
      <c r="H65" s="7" t="n">
        <v>9.4</v>
      </c>
      <c r="I65" s="7" t="n">
        <v>9.5</v>
      </c>
      <c r="J65" s="7" t="n">
        <v>15.4</v>
      </c>
      <c r="K65" s="7" t="n">
        <v>15.5</v>
      </c>
    </row>
    <row r="66">
      <c r="A66" s="6" t="n">
        <v>2002</v>
      </c>
      <c r="B66" s="7" t="n">
        <v>3</v>
      </c>
      <c r="C66" s="7" t="n">
        <v>5.8</v>
      </c>
      <c r="D66" s="7" t="n">
        <v>8.6</v>
      </c>
      <c r="E66" s="7" t="n">
        <v>13.4</v>
      </c>
      <c r="F66" s="7" t="n">
        <v>15</v>
      </c>
      <c r="G66" s="7" t="n">
        <v>16.1</v>
      </c>
      <c r="H66" s="7" t="n">
        <v>18.2</v>
      </c>
      <c r="I66" s="7" t="n">
        <v>28</v>
      </c>
      <c r="J66" s="7" t="n">
        <v>28.2</v>
      </c>
      <c r="K66" s="7" t="n">
        <v>28.3</v>
      </c>
    </row>
    <row r="67">
      <c r="A67" s="6" t="n">
        <v>2003</v>
      </c>
      <c r="B67" s="8" t="n">
        <v>3.8</v>
      </c>
      <c r="C67" s="8" t="n">
        <v>7.6</v>
      </c>
      <c r="D67" s="8" t="n">
        <v>9.6</v>
      </c>
      <c r="E67" s="8" t="n">
        <v>13.5</v>
      </c>
      <c r="F67" s="8" t="n">
        <v>14.3</v>
      </c>
      <c r="G67" s="8" t="n">
        <v>14.4</v>
      </c>
      <c r="H67" s="8" t="n">
        <v>14.4</v>
      </c>
      <c r="I67" s="8" t="n">
        <v>15.5</v>
      </c>
      <c r="J67" s="8" t="n">
        <v>20.7</v>
      </c>
      <c r="K67" s="8" t="n">
        <v>33.1</v>
      </c>
    </row>
    <row r="68">
      <c r="A68" s="6" t="n">
        <v>2004</v>
      </c>
      <c r="B68" s="7" t="n">
        <v>6.2</v>
      </c>
      <c r="C68" s="7" t="n">
        <v>12</v>
      </c>
      <c r="D68" s="7" t="n">
        <v>15.4</v>
      </c>
      <c r="E68" s="7" t="n">
        <v>22.2</v>
      </c>
      <c r="F68" s="7" t="n">
        <v>29.4</v>
      </c>
      <c r="G68" s="7" t="n">
        <v>43.3</v>
      </c>
      <c r="H68" s="7" t="n">
        <v>46.9</v>
      </c>
      <c r="I68" s="7" t="n">
        <v>55.3</v>
      </c>
      <c r="J68" s="7" t="n">
        <v>59.1</v>
      </c>
      <c r="K68" s="7" t="n">
        <v>62.2</v>
      </c>
    </row>
    <row r="69">
      <c r="A69" s="6" t="n">
        <v>2005</v>
      </c>
      <c r="B69" s="7" t="n">
        <v>7.4</v>
      </c>
      <c r="C69" s="7" t="n">
        <v>11.8</v>
      </c>
      <c r="D69" s="7" t="n">
        <v>12.2</v>
      </c>
      <c r="E69" s="7" t="n">
        <v>15.6</v>
      </c>
      <c r="F69" s="7" t="n">
        <v>22.1</v>
      </c>
      <c r="G69" s="7" t="n">
        <v>24.6</v>
      </c>
      <c r="H69" s="7" t="n">
        <v>27.2</v>
      </c>
      <c r="I69" s="7" t="n">
        <v>31.2</v>
      </c>
      <c r="J69" s="7" t="n">
        <v>44</v>
      </c>
      <c r="K69" s="7" t="n">
        <v>47.4</v>
      </c>
    </row>
    <row r="70">
      <c r="A70" s="6" t="n">
        <v>2006</v>
      </c>
      <c r="B70" s="7" t="n">
        <v>11.8</v>
      </c>
      <c r="C70" s="7" t="n">
        <v>18.8</v>
      </c>
      <c r="D70" s="7" t="n">
        <v>25.2</v>
      </c>
      <c r="E70" s="7" t="n">
        <v>31</v>
      </c>
      <c r="F70" s="7" t="n">
        <v>33.4</v>
      </c>
      <c r="G70" s="7" t="n">
        <v>35.9</v>
      </c>
      <c r="H70" s="7" t="n">
        <v>36</v>
      </c>
      <c r="I70" s="7" t="n">
        <v>36.2</v>
      </c>
      <c r="J70" s="7" t="n">
        <v>38.2</v>
      </c>
      <c r="K70" s="7" t="n">
        <v>45.7</v>
      </c>
    </row>
    <row r="71">
      <c r="A71" s="6" t="n">
        <v>2007</v>
      </c>
      <c r="B71" s="7" t="n">
        <v>10.2</v>
      </c>
      <c r="C71" s="7" t="n">
        <v>14</v>
      </c>
      <c r="D71" s="7" t="n">
        <v>15.6</v>
      </c>
      <c r="E71" s="7" t="n">
        <v>25.8</v>
      </c>
      <c r="F71" s="7" t="n">
        <v>28.6</v>
      </c>
      <c r="G71" s="7" t="n">
        <v>37.2</v>
      </c>
      <c r="H71" s="7" t="n">
        <v>52.4</v>
      </c>
      <c r="I71" s="7" t="n">
        <v>97.8</v>
      </c>
      <c r="J71" s="7" t="n">
        <v>162.2</v>
      </c>
      <c r="K71" s="7" t="n">
        <v>226.2</v>
      </c>
    </row>
    <row r="72">
      <c r="A72" s="6" t="n">
        <v>2008</v>
      </c>
      <c r="B72" s="7" t="n">
        <v>6.8</v>
      </c>
      <c r="C72" s="7" t="n">
        <v>8.4</v>
      </c>
      <c r="D72" s="7" t="n">
        <v>9.199999999999999</v>
      </c>
      <c r="E72" s="7" t="n">
        <v>15.4</v>
      </c>
      <c r="F72" s="7" t="n">
        <v>20</v>
      </c>
      <c r="G72" s="7" t="n">
        <v>21.3</v>
      </c>
      <c r="H72" s="7" t="n">
        <v>21.9</v>
      </c>
      <c r="I72" s="7" t="n">
        <v>24.8</v>
      </c>
      <c r="J72" s="7" t="n">
        <v>35.3</v>
      </c>
      <c r="K72" s="7" t="n">
        <v>45.8</v>
      </c>
    </row>
    <row r="73">
      <c r="A73" s="6" t="n">
        <v>2009</v>
      </c>
      <c r="B73" s="7" t="n">
        <v>6.6</v>
      </c>
      <c r="C73" s="7" t="n">
        <v>11.2</v>
      </c>
      <c r="D73" s="7" t="n">
        <v>13.2</v>
      </c>
      <c r="E73" s="7" t="n">
        <v>16.6</v>
      </c>
      <c r="F73" s="7" t="n">
        <v>17</v>
      </c>
      <c r="G73" s="7" t="n">
        <v>17</v>
      </c>
      <c r="H73" s="7" t="n">
        <v>17.1</v>
      </c>
      <c r="I73" s="7" t="n">
        <v>22.1</v>
      </c>
      <c r="J73" s="7" t="n">
        <v>22.3</v>
      </c>
      <c r="K73" s="7" t="n">
        <v>31.7</v>
      </c>
    </row>
    <row r="74">
      <c r="A74" s="6" t="n">
        <v>2010</v>
      </c>
      <c r="B74" s="7" t="n">
        <v>5.4</v>
      </c>
      <c r="C74" s="7" t="n">
        <v>10.2</v>
      </c>
      <c r="D74" s="7" t="n">
        <v>11.8</v>
      </c>
      <c r="E74" s="7" t="n">
        <v>17.6</v>
      </c>
      <c r="F74" s="7" t="n">
        <v>18.6</v>
      </c>
      <c r="G74" s="7" t="n">
        <v>21.6</v>
      </c>
      <c r="H74" s="7" t="n">
        <v>29.8</v>
      </c>
      <c r="I74" s="7" t="n">
        <v>51.2</v>
      </c>
      <c r="J74" s="7" t="n">
        <v>80.5</v>
      </c>
      <c r="K74" s="7" t="n">
        <v>99.7</v>
      </c>
    </row>
    <row r="75">
      <c r="A75" s="6" t="n">
        <v>2011</v>
      </c>
      <c r="B75" s="7" t="n">
        <v>2.6</v>
      </c>
      <c r="C75" s="7" t="n">
        <v>5.2</v>
      </c>
      <c r="D75" s="7" t="n">
        <v>6</v>
      </c>
      <c r="E75" s="7" t="n">
        <v>7.8</v>
      </c>
      <c r="F75" s="7" t="n">
        <v>10.8</v>
      </c>
      <c r="G75" s="7" t="n">
        <v>11.9</v>
      </c>
      <c r="H75" s="7" t="n">
        <v>15.6</v>
      </c>
      <c r="I75" s="7" t="n">
        <v>18</v>
      </c>
      <c r="J75" s="7" t="n">
        <v>18.1</v>
      </c>
      <c r="K75" s="7" t="n">
        <v>19.7</v>
      </c>
    </row>
    <row r="76">
      <c r="A76" s="6" t="n">
        <v>2012</v>
      </c>
      <c r="B76" s="7" t="n">
        <v>4.4</v>
      </c>
      <c r="C76" s="7" t="n">
        <v>6.6</v>
      </c>
      <c r="D76" s="7" t="n">
        <v>8.800000000000001</v>
      </c>
      <c r="E76" s="7" t="n">
        <v>11.4</v>
      </c>
      <c r="F76" s="7" t="n">
        <v>18.8</v>
      </c>
      <c r="G76" s="7" t="n">
        <v>22</v>
      </c>
      <c r="H76" s="7" t="n">
        <v>22.3</v>
      </c>
      <c r="I76" s="7" t="n">
        <v>22.4</v>
      </c>
      <c r="J76" s="7" t="n">
        <v>22.5</v>
      </c>
      <c r="K76" s="7" t="n">
        <v>22.6</v>
      </c>
    </row>
    <row r="77">
      <c r="A77" s="6" t="n">
        <v>2013</v>
      </c>
      <c r="B77" s="7" t="n">
        <v>4.4</v>
      </c>
      <c r="C77" s="7" t="n">
        <v>8.4</v>
      </c>
      <c r="D77" s="7" t="n">
        <v>11.6</v>
      </c>
      <c r="E77" s="7" t="n">
        <v>16.4</v>
      </c>
      <c r="F77" s="7" t="n">
        <v>17.9</v>
      </c>
      <c r="G77" s="7" t="n">
        <v>20.1</v>
      </c>
      <c r="H77" s="7" t="n">
        <v>20.6</v>
      </c>
      <c r="I77" s="7" t="n">
        <v>25.7</v>
      </c>
      <c r="J77" s="7" t="n">
        <v>26.2</v>
      </c>
      <c r="K77" s="7" t="n">
        <v>26.4</v>
      </c>
    </row>
    <row r="78">
      <c r="A78" s="6" t="n">
        <v>2014</v>
      </c>
      <c r="B78" s="7" t="n">
        <v>17.2</v>
      </c>
      <c r="C78" s="7" t="n">
        <v>25.8</v>
      </c>
      <c r="D78" s="7" t="n">
        <v>31.4</v>
      </c>
      <c r="E78" s="7" t="n">
        <v>31.4</v>
      </c>
      <c r="F78" s="7" t="n">
        <v>31.4</v>
      </c>
      <c r="G78" s="7" t="n">
        <v>31.5</v>
      </c>
      <c r="H78" s="7" t="n">
        <v>31.6</v>
      </c>
      <c r="I78" s="7" t="n">
        <v>42.5</v>
      </c>
      <c r="J78" s="7" t="n">
        <v>48.4</v>
      </c>
      <c r="K78" s="7" t="n">
        <v>56.8</v>
      </c>
    </row>
    <row r="79">
      <c r="A79" s="6" t="n">
        <v>2015</v>
      </c>
      <c r="B79" s="7" t="n">
        <v>9</v>
      </c>
      <c r="C79" s="7" t="n">
        <v>15.2</v>
      </c>
      <c r="D79" s="7" t="n">
        <v>21.8</v>
      </c>
      <c r="E79" s="7" t="n">
        <v>35.2</v>
      </c>
      <c r="F79" s="7" t="n">
        <v>49</v>
      </c>
      <c r="G79" s="7" t="n">
        <v>51.9</v>
      </c>
      <c r="H79" s="7" t="n">
        <v>52.9</v>
      </c>
      <c r="I79" s="7" t="n">
        <v>66.3</v>
      </c>
      <c r="J79" s="7" t="n">
        <v>66.8</v>
      </c>
      <c r="K79" s="7" t="n">
        <v>66.90000000000001</v>
      </c>
    </row>
    <row r="80">
      <c r="A80" s="6" t="n">
        <v>2016</v>
      </c>
      <c r="B80" s="7" t="n">
        <v>7</v>
      </c>
      <c r="C80" s="7" t="n">
        <v>11.2</v>
      </c>
      <c r="D80" s="7" t="n">
        <v>14</v>
      </c>
      <c r="E80" s="7" t="n">
        <v>15.4</v>
      </c>
      <c r="F80" s="7" t="n">
        <v>16.7</v>
      </c>
      <c r="G80" s="7" t="n">
        <v>16.8</v>
      </c>
      <c r="H80" s="7" t="n">
        <v>18.1</v>
      </c>
      <c r="I80" s="7" t="n">
        <v>20.1</v>
      </c>
      <c r="J80" s="7" t="n">
        <v>20.9</v>
      </c>
      <c r="K80" s="7" t="n">
        <v>32.8</v>
      </c>
    </row>
    <row r="81">
      <c r="A81" s="6" t="n">
        <v>2017</v>
      </c>
      <c r="B81" s="7" t="n">
        <v>5.4</v>
      </c>
      <c r="C81" s="7" t="n">
        <v>9.199999999999999</v>
      </c>
      <c r="D81" s="7" t="n">
        <v>9.199999999999999</v>
      </c>
      <c r="E81" s="7" t="n">
        <v>9.800000000000001</v>
      </c>
      <c r="F81" s="7" t="n">
        <v>10.2</v>
      </c>
      <c r="G81" s="7" t="n">
        <v>10.3</v>
      </c>
      <c r="H81" s="7" t="n">
        <v>10.5</v>
      </c>
      <c r="I81" s="7" t="n">
        <v>12.2</v>
      </c>
      <c r="J81" s="7" t="n">
        <v>15.6</v>
      </c>
      <c r="K81" s="7" t="n">
        <v>16.2</v>
      </c>
    </row>
    <row r="82">
      <c r="A82" s="6" t="n">
        <v>2018</v>
      </c>
      <c r="B82" s="7" t="n">
        <v>4.8</v>
      </c>
      <c r="C82" s="7" t="n">
        <v>6.8</v>
      </c>
      <c r="D82" s="7" t="n">
        <v>8.199999999999999</v>
      </c>
      <c r="E82" s="7" t="n">
        <v>9.5</v>
      </c>
      <c r="F82" s="7" t="n">
        <v>10.6</v>
      </c>
      <c r="G82" s="7" t="n">
        <v>10.6</v>
      </c>
      <c r="H82" s="7" t="n">
        <v>10.7</v>
      </c>
      <c r="I82" s="7" t="n">
        <v>10.8</v>
      </c>
      <c r="J82" s="7" t="n">
        <v>11.4</v>
      </c>
      <c r="K82" s="7" t="n">
        <v>16.5</v>
      </c>
    </row>
    <row r="83">
      <c r="A83" s="6" t="n">
        <v>2019</v>
      </c>
      <c r="B83" s="7" t="n">
        <v>5.6</v>
      </c>
      <c r="C83" s="7" t="n">
        <v>11</v>
      </c>
      <c r="D83" s="7" t="n">
        <v>13.2</v>
      </c>
      <c r="E83" s="7" t="n">
        <v>20</v>
      </c>
      <c r="F83" s="7" t="n">
        <v>32.4</v>
      </c>
      <c r="G83" s="7" t="n">
        <v>33.6</v>
      </c>
      <c r="H83" s="7" t="n">
        <v>33.6</v>
      </c>
      <c r="I83" s="7" t="n">
        <v>33.6</v>
      </c>
      <c r="J83" s="7" t="n">
        <v>33.6</v>
      </c>
      <c r="K83" s="7" t="n">
        <v>40</v>
      </c>
    </row>
    <row r="84">
      <c r="A84" s="6" t="n">
        <v>2020</v>
      </c>
      <c r="B84" s="7" t="n">
        <v>7</v>
      </c>
      <c r="C84" s="7" t="n">
        <v>14</v>
      </c>
      <c r="D84" s="7" t="n">
        <v>18.7</v>
      </c>
      <c r="E84" s="7" t="n">
        <v>25.8</v>
      </c>
      <c r="F84" s="7" t="n">
        <v>34.2</v>
      </c>
      <c r="G84" s="7" t="n">
        <v>37</v>
      </c>
      <c r="H84" s="7" t="n">
        <v>37.2</v>
      </c>
      <c r="I84" s="7" t="n">
        <v>40</v>
      </c>
      <c r="J84" s="7" t="n">
        <v>40</v>
      </c>
      <c r="K84" s="7" t="n">
        <v>54.8</v>
      </c>
    </row>
    <row r="85">
      <c r="A85" s="6" t="n">
        <v>2021</v>
      </c>
      <c r="B85" s="7" t="n">
        <v>5.6</v>
      </c>
      <c r="C85" s="7" t="n">
        <v>9.4</v>
      </c>
      <c r="D85" s="7" t="n">
        <v>12</v>
      </c>
      <c r="E85" s="7" t="n">
        <v>15</v>
      </c>
      <c r="F85" s="7" t="n">
        <v>17.8</v>
      </c>
      <c r="G85" s="7" t="n">
        <v>18.8</v>
      </c>
      <c r="H85" s="7" t="n">
        <v>18.8</v>
      </c>
      <c r="I85" s="7" t="n">
        <v>18.9</v>
      </c>
      <c r="J85" s="7" t="n">
        <v>19</v>
      </c>
      <c r="K85" s="7" t="n">
        <v>19.1</v>
      </c>
    </row>
    <row r="86">
      <c r="A86" s="6" t="n">
        <v>2022</v>
      </c>
      <c r="B86" s="7" t="n">
        <v>8.6</v>
      </c>
      <c r="C86" s="7" t="n">
        <v>15.4</v>
      </c>
      <c r="D86" s="7" t="n">
        <v>22.4</v>
      </c>
      <c r="E86" s="7" t="n">
        <v>39.6</v>
      </c>
      <c r="F86" s="7" t="n">
        <v>45.4</v>
      </c>
      <c r="G86" s="7" t="n">
        <v>58.8</v>
      </c>
      <c r="H86" s="7" t="n">
        <v>72.59999999999999</v>
      </c>
      <c r="I86" s="7" t="n">
        <v>116.4</v>
      </c>
      <c r="J86" s="7" t="n">
        <v>167.2</v>
      </c>
      <c r="K86" s="7" t="n">
        <v>173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11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</cols>
  <sheetData>
    <row r="1">
      <c r="A1" s="1" t="inlineStr">
        <is>
          <t>Gauge 7  |  FM612285BF  |  MUSCAT NR MUSCAT</t>
        </is>
      </c>
    </row>
    <row r="3">
      <c r="A3" s="2" t="inlineStr">
        <is>
          <t>AMS BEFORE gap filling (observed only, mm)</t>
        </is>
      </c>
      <c r="M3" s="3" t="inlineStr">
        <is>
          <t>IDF - design rainfall DEPTH (mm)</t>
        </is>
      </c>
    </row>
    <row r="4">
      <c r="A4" s="4" t="inlineStr">
        <is>
          <t>Water year</t>
        </is>
      </c>
      <c r="B4" s="5" t="inlineStr">
        <is>
          <t>5min</t>
        </is>
      </c>
      <c r="C4" s="5" t="inlineStr">
        <is>
          <t>10min</t>
        </is>
      </c>
      <c r="D4" s="5" t="inlineStr">
        <is>
          <t>15min</t>
        </is>
      </c>
      <c r="E4" s="5" t="inlineStr">
        <is>
          <t>30min</t>
        </is>
      </c>
      <c r="F4" s="5" t="inlineStr">
        <is>
          <t>1h</t>
        </is>
      </c>
      <c r="G4" s="5" t="inlineStr">
        <is>
          <t>2h</t>
        </is>
      </c>
      <c r="H4" s="5" t="inlineStr">
        <is>
          <t>3h</t>
        </is>
      </c>
      <c r="I4" s="5" t="inlineStr">
        <is>
          <t>6h</t>
        </is>
      </c>
      <c r="J4" s="5" t="inlineStr">
        <is>
          <t>12h</t>
        </is>
      </c>
      <c r="K4" s="5" t="inlineStr">
        <is>
          <t>24h</t>
        </is>
      </c>
      <c r="M4" s="4" t="inlineStr">
        <is>
          <t>Duration \ RP</t>
        </is>
      </c>
      <c r="N4" s="4" t="n">
        <v>2</v>
      </c>
      <c r="O4" s="4" t="n">
        <v>5</v>
      </c>
      <c r="P4" s="4" t="n">
        <v>10</v>
      </c>
      <c r="Q4" s="4" t="n">
        <v>25</v>
      </c>
      <c r="R4" s="4" t="n">
        <v>50</v>
      </c>
      <c r="S4" s="4" t="n">
        <v>100</v>
      </c>
      <c r="T4" s="4" t="n">
        <v>200</v>
      </c>
      <c r="U4" s="4" t="n">
        <v>500</v>
      </c>
      <c r="V4" s="4" t="n">
        <v>1000</v>
      </c>
      <c r="W4" s="4" t="n">
        <v>2000</v>
      </c>
      <c r="X4" s="4" t="n">
        <v>5000</v>
      </c>
      <c r="Y4" s="4" t="n">
        <v>10000</v>
      </c>
    </row>
    <row r="5">
      <c r="A5" s="6" t="n">
        <v>1952</v>
      </c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>
        <v>31.8</v>
      </c>
      <c r="M5" s="6" t="inlineStr">
        <is>
          <t>5min</t>
        </is>
      </c>
      <c r="N5" s="6" t="n">
        <v>4.1</v>
      </c>
      <c r="O5" s="6" t="n">
        <v>6.8</v>
      </c>
      <c r="P5" s="6" t="n">
        <v>8.699999999999999</v>
      </c>
      <c r="Q5" s="6" t="n">
        <v>11.2</v>
      </c>
      <c r="R5" s="6" t="n">
        <v>13.3</v>
      </c>
      <c r="S5" s="6" t="n">
        <v>15.4</v>
      </c>
      <c r="T5" s="6" t="n">
        <v>17.7</v>
      </c>
      <c r="U5" s="6" t="n">
        <v>20.9</v>
      </c>
      <c r="V5" s="6" t="n">
        <v>23.5</v>
      </c>
      <c r="W5" s="6" t="n">
        <v>26.3</v>
      </c>
      <c r="X5" s="6" t="n">
        <v>30.1</v>
      </c>
      <c r="Y5" s="6" t="n">
        <v>33.3</v>
      </c>
    </row>
    <row r="6">
      <c r="A6" s="6" t="n">
        <v>1953</v>
      </c>
      <c r="B6" s="7" t="n"/>
      <c r="C6" s="7" t="n"/>
      <c r="D6" s="7" t="n"/>
      <c r="E6" s="7" t="n"/>
      <c r="F6" s="7" t="n"/>
      <c r="G6" s="7" t="n"/>
      <c r="H6" s="7" t="n"/>
      <c r="I6" s="7" t="n"/>
      <c r="J6" s="7" t="n"/>
      <c r="K6" s="7" t="n">
        <v>15.5</v>
      </c>
      <c r="M6" s="6" t="inlineStr">
        <is>
          <t>10min</t>
        </is>
      </c>
      <c r="N6" s="6" t="n">
        <v>6.5</v>
      </c>
      <c r="O6" s="6" t="n">
        <v>10.8</v>
      </c>
      <c r="P6" s="6" t="n">
        <v>14</v>
      </c>
      <c r="Q6" s="6" t="n">
        <v>18.3</v>
      </c>
      <c r="R6" s="6" t="n">
        <v>21.8</v>
      </c>
      <c r="S6" s="6" t="n">
        <v>25.5</v>
      </c>
      <c r="T6" s="6" t="n">
        <v>29.5</v>
      </c>
      <c r="U6" s="6" t="n">
        <v>35.1</v>
      </c>
      <c r="V6" s="6" t="n">
        <v>39.8</v>
      </c>
      <c r="W6" s="6" t="n">
        <v>44.8</v>
      </c>
      <c r="X6" s="6" t="n">
        <v>52</v>
      </c>
      <c r="Y6" s="6" t="n">
        <v>57.9</v>
      </c>
    </row>
    <row r="7">
      <c r="A7" s="6" t="n">
        <v>1954</v>
      </c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>
        <v>13.7</v>
      </c>
      <c r="M7" s="6" t="inlineStr">
        <is>
          <t>15min</t>
        </is>
      </c>
      <c r="N7" s="6" t="n">
        <v>8.1</v>
      </c>
      <c r="O7" s="6" t="n">
        <v>13.7</v>
      </c>
      <c r="P7" s="6" t="n">
        <v>17.9</v>
      </c>
      <c r="Q7" s="6" t="n">
        <v>23.8</v>
      </c>
      <c r="R7" s="6" t="n">
        <v>28.7</v>
      </c>
      <c r="S7" s="6" t="n">
        <v>34</v>
      </c>
      <c r="T7" s="6" t="n">
        <v>39.7</v>
      </c>
      <c r="U7" s="6" t="n">
        <v>48.1</v>
      </c>
      <c r="V7" s="6" t="n">
        <v>55.1</v>
      </c>
      <c r="W7" s="6" t="n">
        <v>62.7</v>
      </c>
      <c r="X7" s="6" t="n">
        <v>73.90000000000001</v>
      </c>
      <c r="Y7" s="6" t="n">
        <v>83.3</v>
      </c>
    </row>
    <row r="8">
      <c r="A8" s="6" t="n">
        <v>1955</v>
      </c>
      <c r="B8" s="7" t="n"/>
      <c r="C8" s="7" t="n"/>
      <c r="D8" s="7" t="n"/>
      <c r="E8" s="7" t="n"/>
      <c r="F8" s="7" t="n"/>
      <c r="G8" s="7" t="n"/>
      <c r="H8" s="7" t="n"/>
      <c r="I8" s="7" t="n"/>
      <c r="J8" s="7" t="n"/>
      <c r="K8" s="7" t="n">
        <v>41.9</v>
      </c>
      <c r="M8" s="6" t="inlineStr">
        <is>
          <t>30min</t>
        </is>
      </c>
      <c r="N8" s="6" t="n">
        <v>10.8</v>
      </c>
      <c r="O8" s="6" t="n">
        <v>18.7</v>
      </c>
      <c r="P8" s="6" t="n">
        <v>24.5</v>
      </c>
      <c r="Q8" s="6" t="n">
        <v>32.5</v>
      </c>
      <c r="R8" s="6" t="n">
        <v>39</v>
      </c>
      <c r="S8" s="6" t="n">
        <v>46</v>
      </c>
      <c r="T8" s="6" t="n">
        <v>53.5</v>
      </c>
      <c r="U8" s="6" t="n">
        <v>64.3</v>
      </c>
      <c r="V8" s="6" t="n">
        <v>73.2</v>
      </c>
      <c r="W8" s="6" t="n">
        <v>82.8</v>
      </c>
      <c r="X8" s="6" t="n">
        <v>96.59999999999999</v>
      </c>
      <c r="Y8" s="6" t="n">
        <v>108</v>
      </c>
    </row>
    <row r="9">
      <c r="A9" s="6" t="n">
        <v>1956</v>
      </c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>
        <v>12.4</v>
      </c>
      <c r="M9" s="6" t="inlineStr">
        <is>
          <t>1h</t>
        </is>
      </c>
      <c r="N9" s="6" t="n">
        <v>13.3</v>
      </c>
      <c r="O9" s="6" t="n">
        <v>23.1</v>
      </c>
      <c r="P9" s="6" t="n">
        <v>30.4</v>
      </c>
      <c r="Q9" s="6" t="n">
        <v>40.6</v>
      </c>
      <c r="R9" s="6" t="n">
        <v>49.1</v>
      </c>
      <c r="S9" s="6" t="n">
        <v>58.2</v>
      </c>
      <c r="T9" s="6" t="n">
        <v>68.09999999999999</v>
      </c>
      <c r="U9" s="6" t="n">
        <v>82.5</v>
      </c>
      <c r="V9" s="6" t="n">
        <v>94.59999999999999</v>
      </c>
      <c r="W9" s="6" t="n">
        <v>107.7</v>
      </c>
      <c r="X9" s="6" t="n">
        <v>127</v>
      </c>
      <c r="Y9" s="6" t="n">
        <v>143</v>
      </c>
    </row>
    <row r="10">
      <c r="A10" s="6" t="n">
        <v>1968</v>
      </c>
      <c r="B10" s="7" t="n"/>
      <c r="C10" s="7" t="n"/>
      <c r="D10" s="7" t="n"/>
      <c r="E10" s="7" t="n"/>
      <c r="F10" s="7" t="n"/>
      <c r="G10" s="7" t="n"/>
      <c r="H10" s="7" t="n"/>
      <c r="I10" s="7" t="n"/>
      <c r="J10" s="7" t="n"/>
      <c r="K10" s="7" t="n">
        <v>67</v>
      </c>
      <c r="M10" s="6" t="inlineStr">
        <is>
          <t>2h</t>
        </is>
      </c>
      <c r="N10" s="6" t="n">
        <v>15.2</v>
      </c>
      <c r="O10" s="6" t="n">
        <v>26.9</v>
      </c>
      <c r="P10" s="6" t="n">
        <v>36</v>
      </c>
      <c r="Q10" s="6" t="n">
        <v>49.2</v>
      </c>
      <c r="R10" s="6" t="n">
        <v>60.5</v>
      </c>
      <c r="S10" s="6" t="n">
        <v>73.09999999999999</v>
      </c>
      <c r="T10" s="6" t="n">
        <v>87.3</v>
      </c>
      <c r="U10" s="6" t="n">
        <v>108.7</v>
      </c>
      <c r="V10" s="6" t="n">
        <v>127.2</v>
      </c>
      <c r="W10" s="6" t="n">
        <v>148</v>
      </c>
      <c r="X10" s="6" t="n">
        <v>179.6</v>
      </c>
      <c r="Y10" s="6" t="n">
        <v>206.9</v>
      </c>
    </row>
    <row r="11">
      <c r="A11" s="6" t="n">
        <v>1969</v>
      </c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>
        <v>29.2</v>
      </c>
      <c r="M11" s="6" t="inlineStr">
        <is>
          <t>3h</t>
        </is>
      </c>
      <c r="N11" s="6" t="n">
        <v>16.3</v>
      </c>
      <c r="O11" s="6" t="n">
        <v>29.2</v>
      </c>
      <c r="P11" s="6" t="n">
        <v>39.6</v>
      </c>
      <c r="Q11" s="6" t="n">
        <v>55.4</v>
      </c>
      <c r="R11" s="6" t="n">
        <v>69.40000000000001</v>
      </c>
      <c r="S11" s="6" t="n">
        <v>85.59999999999999</v>
      </c>
      <c r="T11" s="6" t="n">
        <v>104.4</v>
      </c>
      <c r="U11" s="6" t="n">
        <v>134</v>
      </c>
      <c r="V11" s="6" t="n">
        <v>160.6</v>
      </c>
      <c r="W11" s="6" t="n">
        <v>191.6</v>
      </c>
      <c r="X11" s="6" t="n">
        <v>240.3</v>
      </c>
      <c r="Y11" s="6" t="n">
        <v>284.2</v>
      </c>
    </row>
    <row r="12">
      <c r="A12" s="6" t="n">
        <v>1970</v>
      </c>
      <c r="B12" s="7" t="n"/>
      <c r="C12" s="7" t="n"/>
      <c r="D12" s="7" t="n"/>
      <c r="E12" s="7" t="n"/>
      <c r="F12" s="7" t="n"/>
      <c r="G12" s="7" t="n"/>
      <c r="H12" s="7" t="n"/>
      <c r="I12" s="7" t="n"/>
      <c r="J12" s="7" t="n"/>
      <c r="K12" s="7" t="n">
        <v>110</v>
      </c>
      <c r="M12" s="6" t="inlineStr">
        <is>
          <t>6h</t>
        </is>
      </c>
      <c r="N12" s="6" t="n">
        <v>18.8</v>
      </c>
      <c r="O12" s="6" t="n">
        <v>34.1</v>
      </c>
      <c r="P12" s="6" t="n">
        <v>47.4</v>
      </c>
      <c r="Q12" s="6" t="n">
        <v>68.90000000000001</v>
      </c>
      <c r="R12" s="6" t="n">
        <v>89.2</v>
      </c>
      <c r="S12" s="6" t="n">
        <v>113.8</v>
      </c>
      <c r="T12" s="6" t="n">
        <v>143.9</v>
      </c>
      <c r="U12" s="6" t="n">
        <v>194.2</v>
      </c>
      <c r="V12" s="6" t="n">
        <v>242.1</v>
      </c>
      <c r="W12" s="6" t="n">
        <v>300.8</v>
      </c>
      <c r="X12" s="6" t="n">
        <v>398.8</v>
      </c>
      <c r="Y12" s="6" t="n">
        <v>492.4</v>
      </c>
    </row>
    <row r="13">
      <c r="A13" s="6" t="n">
        <v>1971</v>
      </c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>
        <v>15.2</v>
      </c>
      <c r="M13" s="6" t="inlineStr">
        <is>
          <t>12h</t>
        </is>
      </c>
      <c r="N13" s="6" t="n">
        <v>21.3</v>
      </c>
      <c r="O13" s="6" t="n">
        <v>39</v>
      </c>
      <c r="P13" s="6" t="n">
        <v>54.9</v>
      </c>
      <c r="Q13" s="6" t="n">
        <v>81.8</v>
      </c>
      <c r="R13" s="6" t="n">
        <v>108.1</v>
      </c>
      <c r="S13" s="6" t="n">
        <v>141</v>
      </c>
      <c r="T13" s="6" t="n">
        <v>182.5</v>
      </c>
      <c r="U13" s="6" t="n">
        <v>254.4</v>
      </c>
      <c r="V13" s="6" t="n">
        <v>325.5</v>
      </c>
      <c r="W13" s="6" t="n">
        <v>415.2</v>
      </c>
      <c r="X13" s="6" t="n">
        <v>570.7</v>
      </c>
      <c r="Y13" s="6" t="n">
        <v>724.6</v>
      </c>
    </row>
    <row r="14">
      <c r="A14" s="6" t="n">
        <v>1972</v>
      </c>
      <c r="B14" s="7" t="n"/>
      <c r="C14" s="7" t="n"/>
      <c r="D14" s="7" t="n"/>
      <c r="E14" s="7" t="n"/>
      <c r="F14" s="7" t="n"/>
      <c r="G14" s="7" t="n"/>
      <c r="H14" s="7" t="n"/>
      <c r="I14" s="7" t="n"/>
      <c r="J14" s="7" t="n"/>
      <c r="K14" s="7" t="n">
        <v>53.3</v>
      </c>
      <c r="M14" s="6" t="inlineStr">
        <is>
          <t>24h</t>
        </is>
      </c>
      <c r="N14" s="6" t="n">
        <v>28</v>
      </c>
      <c r="O14" s="6" t="n">
        <v>53.5</v>
      </c>
      <c r="P14" s="6" t="n">
        <v>76.5</v>
      </c>
      <c r="Q14" s="6" t="n">
        <v>115.1</v>
      </c>
      <c r="R14" s="6" t="n">
        <v>152.6</v>
      </c>
      <c r="S14" s="6" t="n">
        <v>199.6</v>
      </c>
      <c r="T14" s="6" t="n">
        <v>258.5</v>
      </c>
      <c r="U14" s="6" t="n">
        <v>360.2</v>
      </c>
      <c r="V14" s="6" t="n">
        <v>460.3</v>
      </c>
      <c r="W14" s="6" t="n">
        <v>586.3</v>
      </c>
      <c r="X14" s="6" t="n">
        <v>804</v>
      </c>
      <c r="Y14" s="6" t="n">
        <v>1018.5</v>
      </c>
    </row>
    <row r="15">
      <c r="A15" s="6" t="n">
        <v>1973</v>
      </c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>
        <v>30.7</v>
      </c>
    </row>
    <row r="16">
      <c r="A16" s="6" t="n">
        <v>1975</v>
      </c>
      <c r="B16" s="7" t="n"/>
      <c r="C16" s="7" t="n"/>
      <c r="D16" s="7" t="n"/>
      <c r="E16" s="7" t="n"/>
      <c r="F16" s="7" t="n"/>
      <c r="G16" s="7" t="n"/>
      <c r="H16" s="7" t="n"/>
      <c r="I16" s="7" t="n"/>
      <c r="J16" s="7" t="n"/>
      <c r="K16" s="7" t="n">
        <v>57</v>
      </c>
      <c r="M16" s="3" t="inlineStr">
        <is>
          <t>IDF - intensity (mm/hr) [x=duration(min)]</t>
        </is>
      </c>
    </row>
    <row r="17">
      <c r="A17" s="6" t="n">
        <v>1976</v>
      </c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>
        <v>36</v>
      </c>
      <c r="M17" t="inlineStr">
        <is>
          <t>Duration(min)</t>
        </is>
      </c>
      <c r="N17" t="inlineStr">
        <is>
          <t>2 yr</t>
        </is>
      </c>
      <c r="O17" t="inlineStr">
        <is>
          <t>5 yr</t>
        </is>
      </c>
      <c r="P17" t="inlineStr">
        <is>
          <t>10 yr</t>
        </is>
      </c>
      <c r="Q17" t="inlineStr">
        <is>
          <t>25 yr</t>
        </is>
      </c>
      <c r="R17" t="inlineStr">
        <is>
          <t>50 yr</t>
        </is>
      </c>
      <c r="S17" t="inlineStr">
        <is>
          <t>100 yr</t>
        </is>
      </c>
      <c r="T17" t="inlineStr">
        <is>
          <t>200 yr</t>
        </is>
      </c>
      <c r="U17" t="inlineStr">
        <is>
          <t>500 yr</t>
        </is>
      </c>
      <c r="V17" t="inlineStr">
        <is>
          <t>1000 yr</t>
        </is>
      </c>
      <c r="W17" t="inlineStr">
        <is>
          <t>2000 yr</t>
        </is>
      </c>
      <c r="X17" t="inlineStr">
        <is>
          <t>5000 yr</t>
        </is>
      </c>
      <c r="Y17" t="inlineStr">
        <is>
          <t>10000 yr</t>
        </is>
      </c>
    </row>
    <row r="18">
      <c r="A18" s="6" t="n">
        <v>1977</v>
      </c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  <c r="K18" s="7" t="n">
        <v>39</v>
      </c>
      <c r="M18" t="n">
        <v>5</v>
      </c>
      <c r="N18" t="n">
        <v>49.4</v>
      </c>
      <c r="O18" t="n">
        <v>81.2</v>
      </c>
      <c r="P18" t="n">
        <v>104</v>
      </c>
      <c r="Q18" t="n">
        <v>134.8</v>
      </c>
      <c r="R18" t="n">
        <v>159.4</v>
      </c>
      <c r="S18" t="n">
        <v>185.2</v>
      </c>
      <c r="T18" t="n">
        <v>212.5</v>
      </c>
      <c r="U18" t="n">
        <v>251</v>
      </c>
      <c r="V18" t="n">
        <v>282.2</v>
      </c>
      <c r="W18" t="n">
        <v>315.2</v>
      </c>
      <c r="X18" t="n">
        <v>361.8</v>
      </c>
      <c r="Y18" t="n">
        <v>399.5</v>
      </c>
    </row>
    <row r="19">
      <c r="A19" s="6" t="n">
        <v>1978</v>
      </c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>
        <v>47.2</v>
      </c>
      <c r="M19" t="n">
        <v>10</v>
      </c>
      <c r="N19" t="n">
        <v>39.2</v>
      </c>
      <c r="O19" t="n">
        <v>65</v>
      </c>
      <c r="P19" t="n">
        <v>83.8</v>
      </c>
      <c r="Q19" t="n">
        <v>109.7</v>
      </c>
      <c r="R19" t="n">
        <v>130.6</v>
      </c>
      <c r="S19" t="n">
        <v>152.9</v>
      </c>
      <c r="T19" t="n">
        <v>176.7</v>
      </c>
      <c r="U19" t="n">
        <v>210.9</v>
      </c>
      <c r="V19" t="n">
        <v>238.9</v>
      </c>
      <c r="W19" t="n">
        <v>268.9</v>
      </c>
      <c r="X19" t="n">
        <v>312</v>
      </c>
      <c r="Y19" t="n">
        <v>347.4</v>
      </c>
    </row>
    <row r="20">
      <c r="A20" s="6" t="n">
        <v>1979</v>
      </c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>
        <v>1.5</v>
      </c>
      <c r="M20" t="n">
        <v>15</v>
      </c>
      <c r="N20" t="n">
        <v>32.2</v>
      </c>
      <c r="O20" t="n">
        <v>54.8</v>
      </c>
      <c r="P20" t="n">
        <v>71.59999999999999</v>
      </c>
      <c r="Q20" t="n">
        <v>95.3</v>
      </c>
      <c r="R20" t="n">
        <v>114.8</v>
      </c>
      <c r="S20" t="n">
        <v>135.9</v>
      </c>
      <c r="T20" t="n">
        <v>158.8</v>
      </c>
      <c r="U20" t="n">
        <v>192.4</v>
      </c>
      <c r="V20" t="n">
        <v>220.4</v>
      </c>
      <c r="W20" t="n">
        <v>251</v>
      </c>
      <c r="X20" t="n">
        <v>295.7</v>
      </c>
      <c r="Y20" t="n">
        <v>333.2</v>
      </c>
    </row>
    <row r="21">
      <c r="A21" s="6" t="n">
        <v>1980</v>
      </c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>
        <v>11</v>
      </c>
      <c r="M21" t="n">
        <v>30</v>
      </c>
      <c r="N21" t="n">
        <v>21.5</v>
      </c>
      <c r="O21" t="n">
        <v>37.4</v>
      </c>
      <c r="P21" t="n">
        <v>49</v>
      </c>
      <c r="Q21" t="n">
        <v>65</v>
      </c>
      <c r="R21" t="n">
        <v>78.09999999999999</v>
      </c>
      <c r="S21" t="n">
        <v>92</v>
      </c>
      <c r="T21" t="n">
        <v>107</v>
      </c>
      <c r="U21" t="n">
        <v>128.6</v>
      </c>
      <c r="V21" t="n">
        <v>146.4</v>
      </c>
      <c r="W21" t="n">
        <v>165.5</v>
      </c>
      <c r="X21" t="n">
        <v>193.2</v>
      </c>
      <c r="Y21" t="n">
        <v>216</v>
      </c>
    </row>
    <row r="22">
      <c r="A22" s="6" t="n">
        <v>1982</v>
      </c>
      <c r="B22" s="7" t="n"/>
      <c r="C22" s="7" t="n"/>
      <c r="D22" s="7" t="n"/>
      <c r="E22" s="7" t="n"/>
      <c r="F22" s="7" t="n"/>
      <c r="G22" s="7" t="n"/>
      <c r="H22" s="7" t="n"/>
      <c r="I22" s="7" t="n"/>
      <c r="J22" s="7" t="n"/>
      <c r="K22" s="7" t="n">
        <v>52</v>
      </c>
      <c r="M22" t="n">
        <v>60</v>
      </c>
      <c r="N22" t="n">
        <v>13.3</v>
      </c>
      <c r="O22" t="n">
        <v>23.1</v>
      </c>
      <c r="P22" t="n">
        <v>30.4</v>
      </c>
      <c r="Q22" t="n">
        <v>40.6</v>
      </c>
      <c r="R22" t="n">
        <v>49.1</v>
      </c>
      <c r="S22" t="n">
        <v>58.2</v>
      </c>
      <c r="T22" t="n">
        <v>68.09999999999999</v>
      </c>
      <c r="U22" t="n">
        <v>82.5</v>
      </c>
      <c r="V22" t="n">
        <v>94.59999999999999</v>
      </c>
      <c r="W22" t="n">
        <v>107.7</v>
      </c>
      <c r="X22" t="n">
        <v>127</v>
      </c>
      <c r="Y22" t="n">
        <v>143</v>
      </c>
    </row>
    <row r="23">
      <c r="A23" s="6" t="n">
        <v>1983</v>
      </c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  <c r="K23" s="7" t="n">
        <v>10.4</v>
      </c>
      <c r="M23" t="n">
        <v>120</v>
      </c>
      <c r="N23" t="n">
        <v>7.6</v>
      </c>
      <c r="O23" t="n">
        <v>13.4</v>
      </c>
      <c r="P23" t="n">
        <v>18</v>
      </c>
      <c r="Q23" t="n">
        <v>24.6</v>
      </c>
      <c r="R23" t="n">
        <v>30.2</v>
      </c>
      <c r="S23" t="n">
        <v>36.6</v>
      </c>
      <c r="T23" t="n">
        <v>43.6</v>
      </c>
      <c r="U23" t="n">
        <v>54.3</v>
      </c>
      <c r="V23" t="n">
        <v>63.6</v>
      </c>
      <c r="W23" t="n">
        <v>74</v>
      </c>
      <c r="X23" t="n">
        <v>89.8</v>
      </c>
      <c r="Y23" t="n">
        <v>103.5</v>
      </c>
    </row>
    <row r="24">
      <c r="A24" s="6" t="n">
        <v>1987</v>
      </c>
      <c r="B24" s="7" t="n"/>
      <c r="C24" s="7" t="n"/>
      <c r="D24" s="7" t="n"/>
      <c r="E24" s="7" t="n"/>
      <c r="F24" s="7" t="n"/>
      <c r="G24" s="7" t="n"/>
      <c r="H24" s="7" t="n"/>
      <c r="I24" s="7" t="n"/>
      <c r="J24" s="7" t="n"/>
      <c r="K24" s="7" t="n"/>
      <c r="M24" t="n">
        <v>180</v>
      </c>
      <c r="N24" t="n">
        <v>5.4</v>
      </c>
      <c r="O24" t="n">
        <v>9.699999999999999</v>
      </c>
      <c r="P24" t="n">
        <v>13.2</v>
      </c>
      <c r="Q24" t="n">
        <v>18.5</v>
      </c>
      <c r="R24" t="n">
        <v>23.1</v>
      </c>
      <c r="S24" t="n">
        <v>28.5</v>
      </c>
      <c r="T24" t="n">
        <v>34.8</v>
      </c>
      <c r="U24" t="n">
        <v>44.7</v>
      </c>
      <c r="V24" t="n">
        <v>53.5</v>
      </c>
      <c r="W24" t="n">
        <v>63.9</v>
      </c>
      <c r="X24" t="n">
        <v>80.09999999999999</v>
      </c>
      <c r="Y24" t="n">
        <v>94.7</v>
      </c>
    </row>
    <row r="25">
      <c r="A25" s="6" t="n">
        <v>1988</v>
      </c>
      <c r="B25" s="7" t="n"/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  <c r="M25" t="n">
        <v>360</v>
      </c>
      <c r="N25" t="n">
        <v>3.1</v>
      </c>
      <c r="O25" t="n">
        <v>5.7</v>
      </c>
      <c r="P25" t="n">
        <v>7.9</v>
      </c>
      <c r="Q25" t="n">
        <v>11.5</v>
      </c>
      <c r="R25" t="n">
        <v>14.9</v>
      </c>
      <c r="S25" t="n">
        <v>19</v>
      </c>
      <c r="T25" t="n">
        <v>24</v>
      </c>
      <c r="U25" t="n">
        <v>32.4</v>
      </c>
      <c r="V25" t="n">
        <v>40.4</v>
      </c>
      <c r="W25" t="n">
        <v>50.1</v>
      </c>
      <c r="X25" t="n">
        <v>66.5</v>
      </c>
      <c r="Y25" t="n">
        <v>82.09999999999999</v>
      </c>
    </row>
    <row r="26">
      <c r="A26" s="6" t="n">
        <v>1989</v>
      </c>
      <c r="B26" s="7" t="n"/>
      <c r="C26" s="7" t="n"/>
      <c r="D26" s="7" t="n"/>
      <c r="E26" s="7" t="n"/>
      <c r="F26" s="7" t="n"/>
      <c r="G26" s="7" t="n"/>
      <c r="H26" s="7" t="n"/>
      <c r="I26" s="7" t="n"/>
      <c r="J26" s="7" t="n"/>
      <c r="K26" s="7" t="n"/>
      <c r="M26" t="n">
        <v>720</v>
      </c>
      <c r="N26" t="n">
        <v>1.8</v>
      </c>
      <c r="O26" t="n">
        <v>3.2</v>
      </c>
      <c r="P26" t="n">
        <v>4.6</v>
      </c>
      <c r="Q26" t="n">
        <v>6.8</v>
      </c>
      <c r="R26" t="n">
        <v>9</v>
      </c>
      <c r="S26" t="n">
        <v>11.8</v>
      </c>
      <c r="T26" t="n">
        <v>15.2</v>
      </c>
      <c r="U26" t="n">
        <v>21.2</v>
      </c>
      <c r="V26" t="n">
        <v>27.1</v>
      </c>
      <c r="W26" t="n">
        <v>34.6</v>
      </c>
      <c r="X26" t="n">
        <v>47.6</v>
      </c>
      <c r="Y26" t="n">
        <v>60.4</v>
      </c>
    </row>
    <row r="27">
      <c r="A27" s="6" t="n">
        <v>1990</v>
      </c>
      <c r="B27" s="7" t="n"/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  <c r="M27" t="n">
        <v>1440</v>
      </c>
      <c r="N27" t="n">
        <v>1.2</v>
      </c>
      <c r="O27" t="n">
        <v>2.2</v>
      </c>
      <c r="P27" t="n">
        <v>3.2</v>
      </c>
      <c r="Q27" t="n">
        <v>4.8</v>
      </c>
      <c r="R27" t="n">
        <v>6.4</v>
      </c>
      <c r="S27" t="n">
        <v>8.300000000000001</v>
      </c>
      <c r="T27" t="n">
        <v>10.8</v>
      </c>
      <c r="U27" t="n">
        <v>15</v>
      </c>
      <c r="V27" t="n">
        <v>19.2</v>
      </c>
      <c r="W27" t="n">
        <v>24.4</v>
      </c>
      <c r="X27" t="n">
        <v>33.5</v>
      </c>
      <c r="Y27" t="n">
        <v>42.4</v>
      </c>
    </row>
    <row r="28">
      <c r="A28" s="6" t="n">
        <v>1991</v>
      </c>
      <c r="B28" s="7" t="n"/>
      <c r="C28" s="7" t="n"/>
      <c r="D28" s="7" t="n"/>
      <c r="E28" s="7" t="n"/>
      <c r="F28" s="7" t="n"/>
      <c r="G28" s="7" t="n"/>
      <c r="H28" s="7" t="n"/>
      <c r="I28" s="7" t="n"/>
      <c r="J28" s="7" t="n"/>
      <c r="K28" s="7" t="n"/>
    </row>
    <row r="29">
      <c r="A29" s="6" t="n">
        <v>1992</v>
      </c>
      <c r="B29" s="7" t="n"/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</row>
    <row r="30">
      <c r="A30" s="6" t="n">
        <v>1993</v>
      </c>
      <c r="B30" s="7" t="n"/>
      <c r="C30" s="7" t="n"/>
      <c r="D30" s="7" t="n"/>
      <c r="E30" s="7" t="n"/>
      <c r="F30" s="7" t="n"/>
      <c r="G30" s="7" t="n"/>
      <c r="H30" s="7" t="n"/>
      <c r="I30" s="7" t="n"/>
      <c r="J30" s="7" t="n"/>
      <c r="K30" s="7" t="n"/>
    </row>
    <row r="31">
      <c r="A31" s="6" t="n">
        <v>1995</v>
      </c>
      <c r="B31" s="7" t="n"/>
      <c r="C31" s="7" t="n"/>
      <c r="D31" s="7" t="n"/>
      <c r="E31" s="7" t="n"/>
      <c r="F31" s="7" t="n"/>
      <c r="G31" s="7" t="n"/>
      <c r="H31" s="7" t="n"/>
      <c r="I31" s="7" t="n"/>
      <c r="J31" s="7" t="n"/>
      <c r="K31" s="7" t="n">
        <v>61</v>
      </c>
    </row>
    <row r="32">
      <c r="A32" s="6" t="n">
        <v>1996</v>
      </c>
      <c r="B32" s="7" t="n"/>
      <c r="C32" s="7" t="n"/>
      <c r="D32" s="7" t="n"/>
      <c r="E32" s="7" t="n"/>
      <c r="F32" s="7" t="n"/>
      <c r="G32" s="7" t="n"/>
      <c r="H32" s="7" t="n"/>
      <c r="I32" s="7" t="n"/>
      <c r="J32" s="7" t="n"/>
      <c r="K32" s="7" t="n">
        <v>37.4</v>
      </c>
    </row>
    <row r="33">
      <c r="A33" s="6" t="n">
        <v>1997</v>
      </c>
      <c r="B33" s="7" t="n"/>
      <c r="C33" s="7" t="n"/>
      <c r="D33" s="7" t="n"/>
      <c r="E33" s="7" t="n"/>
      <c r="F33" s="7" t="n"/>
      <c r="G33" s="7" t="n"/>
      <c r="H33" s="7" t="n"/>
      <c r="I33" s="7" t="n"/>
      <c r="J33" s="7" t="n"/>
      <c r="K33" s="7" t="n">
        <v>25</v>
      </c>
    </row>
    <row r="34">
      <c r="A34" s="6" t="n">
        <v>1998</v>
      </c>
      <c r="B34" s="7" t="n"/>
      <c r="C34" s="7" t="n"/>
      <c r="D34" s="7" t="n"/>
      <c r="E34" s="7" t="n"/>
      <c r="F34" s="7" t="n"/>
      <c r="G34" s="7" t="n"/>
      <c r="H34" s="7" t="n"/>
      <c r="I34" s="7" t="n"/>
      <c r="J34" s="7" t="n"/>
      <c r="K34" s="7" t="n">
        <v>50</v>
      </c>
    </row>
    <row r="35">
      <c r="A35" s="6" t="n">
        <v>1999</v>
      </c>
      <c r="B35" s="7" t="n">
        <v>4.2</v>
      </c>
      <c r="C35" s="7" t="n">
        <v>7.8</v>
      </c>
      <c r="D35" s="7" t="n">
        <v>10.4</v>
      </c>
      <c r="E35" s="7" t="n">
        <v>11</v>
      </c>
      <c r="F35" s="7" t="n">
        <v>12</v>
      </c>
      <c r="G35" s="7" t="n">
        <v>21.8</v>
      </c>
      <c r="H35" s="7" t="n">
        <v>23.3</v>
      </c>
      <c r="I35" s="7" t="n">
        <v>30.8</v>
      </c>
      <c r="J35" s="7" t="n">
        <v>34.6</v>
      </c>
      <c r="K35" s="7" t="n">
        <v>35</v>
      </c>
    </row>
    <row r="36">
      <c r="A36" s="6" t="n">
        <v>2000</v>
      </c>
      <c r="B36" s="7" t="n">
        <v>2.4</v>
      </c>
      <c r="C36" s="7" t="n">
        <v>3.2</v>
      </c>
      <c r="D36" s="7" t="n">
        <v>3.2</v>
      </c>
      <c r="E36" s="7" t="n">
        <v>3.6</v>
      </c>
      <c r="F36" s="7" t="n">
        <v>3.8</v>
      </c>
      <c r="G36" s="7" t="n">
        <v>3.9</v>
      </c>
      <c r="H36" s="7" t="n">
        <v>4</v>
      </c>
      <c r="I36" s="7" t="n">
        <v>4</v>
      </c>
      <c r="J36" s="7" t="n">
        <v>4.6</v>
      </c>
      <c r="K36" s="7" t="n">
        <v>5</v>
      </c>
    </row>
    <row r="37">
      <c r="A37" s="6" t="n">
        <v>2001</v>
      </c>
      <c r="B37" s="7" t="n">
        <v>2.6</v>
      </c>
      <c r="C37" s="7" t="n">
        <v>3.8</v>
      </c>
      <c r="D37" s="7" t="n">
        <v>4.7</v>
      </c>
      <c r="E37" s="7" t="n">
        <v>7.3</v>
      </c>
      <c r="F37" s="7" t="n">
        <v>8</v>
      </c>
      <c r="G37" s="7" t="n">
        <v>8.4</v>
      </c>
      <c r="H37" s="7" t="n">
        <v>8.9</v>
      </c>
      <c r="I37" s="7" t="n">
        <v>9.800000000000001</v>
      </c>
      <c r="J37" s="7" t="n">
        <v>10.6</v>
      </c>
      <c r="K37" s="7" t="n">
        <v>10.9</v>
      </c>
    </row>
    <row r="38">
      <c r="A38" s="6" t="n">
        <v>2002</v>
      </c>
      <c r="B38" s="7" t="n">
        <v>3.4</v>
      </c>
      <c r="C38" s="7" t="n">
        <v>5.8</v>
      </c>
      <c r="D38" s="7" t="n">
        <v>6</v>
      </c>
      <c r="E38" s="7" t="n">
        <v>7.5</v>
      </c>
      <c r="F38" s="7" t="n">
        <v>9.4</v>
      </c>
      <c r="G38" s="7" t="n">
        <v>14.3</v>
      </c>
      <c r="H38" s="7" t="n">
        <v>20.6</v>
      </c>
      <c r="I38" s="7" t="n">
        <v>27.4</v>
      </c>
      <c r="J38" s="7" t="n">
        <v>27.5</v>
      </c>
      <c r="K38" s="7" t="n">
        <v>27.7</v>
      </c>
    </row>
    <row r="39">
      <c r="A39" s="6" t="n">
        <v>2003</v>
      </c>
      <c r="B39" s="7" t="n">
        <v>1</v>
      </c>
      <c r="C39" s="7" t="n">
        <v>1.8</v>
      </c>
      <c r="D39" s="7" t="n">
        <v>2.2</v>
      </c>
      <c r="E39" s="7" t="n">
        <v>2.9</v>
      </c>
      <c r="F39" s="7" t="n">
        <v>3.2</v>
      </c>
      <c r="G39" s="7" t="n">
        <v>3.4</v>
      </c>
      <c r="H39" s="7" t="n">
        <v>4.2</v>
      </c>
      <c r="I39" s="7" t="n">
        <v>8.300000000000001</v>
      </c>
      <c r="J39" s="7" t="n">
        <v>16.7</v>
      </c>
      <c r="K39" s="7" t="n">
        <v>33.4</v>
      </c>
    </row>
    <row r="40">
      <c r="A40" s="6" t="n">
        <v>2004</v>
      </c>
      <c r="B40" s="7" t="n">
        <v>2</v>
      </c>
      <c r="C40" s="7" t="n">
        <v>3.4</v>
      </c>
      <c r="D40" s="7" t="n">
        <v>3.6</v>
      </c>
      <c r="E40" s="7" t="n">
        <v>4.2</v>
      </c>
      <c r="F40" s="7" t="n">
        <v>4.2</v>
      </c>
      <c r="G40" s="7" t="n">
        <v>4.2</v>
      </c>
      <c r="H40" s="7" t="n">
        <v>4.2</v>
      </c>
      <c r="I40" s="7" t="n">
        <v>4.2</v>
      </c>
      <c r="J40" s="7" t="n">
        <v>4.3</v>
      </c>
      <c r="K40" s="7" t="n">
        <v>4.4</v>
      </c>
    </row>
    <row r="41">
      <c r="A41" s="6" t="n">
        <v>2005</v>
      </c>
      <c r="B41" s="7" t="n">
        <v>3.6</v>
      </c>
      <c r="C41" s="7" t="n">
        <v>7.2</v>
      </c>
      <c r="D41" s="7" t="n">
        <v>9.800000000000001</v>
      </c>
      <c r="E41" s="7" t="n">
        <v>13</v>
      </c>
      <c r="F41" s="7" t="n">
        <v>13.7</v>
      </c>
      <c r="G41" s="7" t="n">
        <v>16</v>
      </c>
      <c r="H41" s="7" t="n">
        <v>16.1</v>
      </c>
      <c r="I41" s="7" t="n">
        <v>18.2</v>
      </c>
      <c r="J41" s="7" t="n">
        <v>31.6</v>
      </c>
      <c r="K41" s="7" t="n">
        <v>33.9</v>
      </c>
    </row>
    <row r="42">
      <c r="A42" s="6" t="n">
        <v>2006</v>
      </c>
      <c r="B42" s="7" t="n">
        <v>5.8</v>
      </c>
      <c r="C42" s="7" t="n">
        <v>11.6</v>
      </c>
      <c r="D42" s="7" t="n">
        <v>15.8</v>
      </c>
      <c r="E42" s="7" t="n">
        <v>20.3</v>
      </c>
      <c r="F42" s="7" t="n">
        <v>21.7</v>
      </c>
      <c r="G42" s="7" t="n">
        <v>22.9</v>
      </c>
      <c r="H42" s="7" t="n">
        <v>23</v>
      </c>
      <c r="I42" s="7" t="n">
        <v>23.2</v>
      </c>
      <c r="J42" s="7" t="n">
        <v>24.6</v>
      </c>
      <c r="K42" s="7" t="n">
        <v>30.5</v>
      </c>
    </row>
    <row r="43">
      <c r="A43" s="6" t="n">
        <v>2007</v>
      </c>
      <c r="B43" s="7" t="n">
        <v>7.4</v>
      </c>
      <c r="C43" s="7" t="n">
        <v>11.2</v>
      </c>
      <c r="D43" s="7" t="n">
        <v>15.4</v>
      </c>
      <c r="E43" s="7" t="n">
        <v>22.2</v>
      </c>
      <c r="F43" s="7" t="n">
        <v>25.2</v>
      </c>
      <c r="G43" s="7" t="n">
        <v>29</v>
      </c>
      <c r="H43" s="7" t="n">
        <v>37.4</v>
      </c>
      <c r="I43" s="7" t="n">
        <v>67.2</v>
      </c>
      <c r="J43" s="7" t="n">
        <v>105.6</v>
      </c>
      <c r="K43" s="7" t="n">
        <v>139.6</v>
      </c>
    </row>
    <row r="44">
      <c r="A44" s="6" t="n">
        <v>2008</v>
      </c>
      <c r="B44" s="7" t="n">
        <v>6.8</v>
      </c>
      <c r="C44" s="7" t="n">
        <v>8.4</v>
      </c>
      <c r="D44" s="7" t="n">
        <v>9.199999999999999</v>
      </c>
      <c r="E44" s="7" t="n">
        <v>15.8</v>
      </c>
      <c r="F44" s="7" t="n">
        <v>20.4</v>
      </c>
      <c r="G44" s="7" t="n">
        <v>21.7</v>
      </c>
      <c r="H44" s="7" t="n">
        <v>22.1</v>
      </c>
      <c r="I44" s="7" t="n">
        <v>22.2</v>
      </c>
      <c r="J44" s="7" t="n">
        <v>22.3</v>
      </c>
      <c r="K44" s="7" t="n">
        <v>35</v>
      </c>
    </row>
    <row r="45">
      <c r="A45" s="6" t="n">
        <v>2009</v>
      </c>
      <c r="B45" s="7" t="n">
        <v>9.199999999999999</v>
      </c>
      <c r="C45" s="7" t="n">
        <v>18.4</v>
      </c>
      <c r="D45" s="7" t="n">
        <v>24.4</v>
      </c>
      <c r="E45" s="7" t="n">
        <v>27.6</v>
      </c>
      <c r="F45" s="7" t="n">
        <v>27.6</v>
      </c>
      <c r="G45" s="7" t="n">
        <v>27.6</v>
      </c>
      <c r="H45" s="7" t="n">
        <v>27.7</v>
      </c>
      <c r="I45" s="7" t="n">
        <v>27.7</v>
      </c>
      <c r="J45" s="7" t="n">
        <v>28.1</v>
      </c>
      <c r="K45" s="7" t="n">
        <v>36.3</v>
      </c>
    </row>
    <row r="46">
      <c r="A46" s="6" t="n">
        <v>2010</v>
      </c>
      <c r="B46" s="7" t="n"/>
      <c r="C46" s="7" t="n"/>
      <c r="D46" s="7" t="n"/>
      <c r="E46" s="7" t="n"/>
      <c r="F46" s="7" t="n"/>
      <c r="G46" s="7" t="n"/>
      <c r="H46" s="7" t="n"/>
      <c r="I46" s="7" t="n"/>
      <c r="J46" s="7" t="n"/>
      <c r="K46" s="7" t="n">
        <v>1.8</v>
      </c>
    </row>
    <row r="47">
      <c r="A47" s="6" t="n">
        <v>2011</v>
      </c>
      <c r="B47" s="7" t="n">
        <v>1.8</v>
      </c>
      <c r="C47" s="7" t="n">
        <v>3</v>
      </c>
      <c r="D47" s="7" t="n">
        <v>4</v>
      </c>
      <c r="E47" s="7" t="n">
        <v>6.8</v>
      </c>
      <c r="F47" s="7" t="n">
        <v>8.699999999999999</v>
      </c>
      <c r="G47" s="7" t="n">
        <v>9.800000000000001</v>
      </c>
      <c r="H47" s="7" t="n">
        <v>14</v>
      </c>
      <c r="I47" s="7" t="n">
        <v>16.3</v>
      </c>
      <c r="J47" s="7" t="n">
        <v>17.9</v>
      </c>
      <c r="K47" s="7" t="n">
        <v>18.1</v>
      </c>
    </row>
    <row r="48">
      <c r="A48" s="6" t="n">
        <v>2012</v>
      </c>
      <c r="B48" s="7" t="n"/>
      <c r="C48" s="7" t="n"/>
      <c r="D48" s="7" t="n">
        <v>0.5</v>
      </c>
      <c r="E48" s="7" t="n">
        <v>0.6</v>
      </c>
      <c r="F48" s="7" t="n">
        <v>0.6</v>
      </c>
      <c r="G48" s="7" t="n">
        <v>0.7</v>
      </c>
      <c r="H48" s="7" t="n">
        <v>0.7</v>
      </c>
      <c r="I48" s="7" t="n">
        <v>1.1</v>
      </c>
      <c r="J48" s="7" t="n">
        <v>2.1</v>
      </c>
      <c r="K48" s="7" t="n">
        <v>4.2</v>
      </c>
    </row>
    <row r="49">
      <c r="A49" s="6" t="n">
        <v>2013</v>
      </c>
      <c r="B49" s="7" t="n">
        <v>0.7</v>
      </c>
      <c r="C49" s="7" t="n">
        <v>1.5</v>
      </c>
      <c r="D49" s="7" t="n">
        <v>2.2</v>
      </c>
      <c r="E49" s="7" t="n">
        <v>3.2</v>
      </c>
      <c r="F49" s="7" t="n">
        <v>4.8</v>
      </c>
      <c r="G49" s="7" t="n">
        <v>4.9</v>
      </c>
      <c r="H49" s="7" t="n">
        <v>5</v>
      </c>
      <c r="I49" s="7" t="n">
        <v>5.2</v>
      </c>
      <c r="J49" s="7" t="n">
        <v>6.4</v>
      </c>
      <c r="K49" s="7" t="n">
        <v>6.5</v>
      </c>
    </row>
    <row r="50">
      <c r="A50" s="6" t="n">
        <v>2014</v>
      </c>
      <c r="B50" s="7" t="n"/>
      <c r="C50" s="7" t="n"/>
      <c r="D50" s="7" t="n"/>
      <c r="E50" s="7" t="n"/>
      <c r="F50" s="7" t="n"/>
      <c r="G50" s="7" t="n"/>
      <c r="H50" s="7" t="n"/>
      <c r="I50" s="7" t="n"/>
      <c r="J50" s="7" t="n"/>
      <c r="K50" s="7" t="n"/>
    </row>
    <row r="51">
      <c r="A51" s="6" t="n">
        <v>2015</v>
      </c>
      <c r="B51" s="7" t="n"/>
      <c r="C51" s="7" t="n"/>
      <c r="D51" s="7" t="n"/>
      <c r="E51" s="7" t="n"/>
      <c r="F51" s="7" t="n"/>
      <c r="G51" s="7" t="n"/>
      <c r="H51" s="7" t="n"/>
      <c r="I51" s="7" t="n"/>
      <c r="J51" s="7" t="n"/>
      <c r="K51" s="7" t="n"/>
    </row>
    <row r="52">
      <c r="A52" s="6" t="n">
        <v>2016</v>
      </c>
      <c r="B52" s="7" t="n">
        <v>5.8</v>
      </c>
      <c r="C52" s="7" t="n">
        <v>9.4</v>
      </c>
      <c r="D52" s="7" t="n">
        <v>10.4</v>
      </c>
      <c r="E52" s="7" t="n">
        <v>11.8</v>
      </c>
      <c r="F52" s="7" t="n">
        <v>12.8</v>
      </c>
      <c r="G52" s="7" t="n">
        <v>13.2</v>
      </c>
      <c r="H52" s="7" t="n">
        <v>13.2</v>
      </c>
      <c r="I52" s="7" t="n">
        <v>15</v>
      </c>
      <c r="J52" s="7" t="n">
        <v>15.9</v>
      </c>
      <c r="K52" s="7" t="n">
        <v>25</v>
      </c>
    </row>
    <row r="53">
      <c r="A53" s="6" t="n">
        <v>2017</v>
      </c>
      <c r="B53" s="7" t="n">
        <v>8</v>
      </c>
      <c r="C53" s="7" t="n">
        <v>9</v>
      </c>
      <c r="D53" s="7" t="n">
        <v>13.2</v>
      </c>
      <c r="E53" s="7" t="n">
        <v>15.2</v>
      </c>
      <c r="F53" s="7" t="n">
        <v>15.6</v>
      </c>
      <c r="G53" s="7" t="n">
        <v>15.7</v>
      </c>
      <c r="H53" s="7" t="n">
        <v>15.8</v>
      </c>
      <c r="I53" s="7" t="n">
        <v>17.6</v>
      </c>
      <c r="J53" s="7" t="n">
        <v>19.4</v>
      </c>
      <c r="K53" s="7" t="n">
        <v>20.7</v>
      </c>
    </row>
    <row r="54">
      <c r="A54" s="6" t="n">
        <v>2018</v>
      </c>
      <c r="B54" s="7" t="n">
        <v>0.8</v>
      </c>
      <c r="C54" s="7" t="n">
        <v>1.4</v>
      </c>
      <c r="D54" s="7" t="n">
        <v>2</v>
      </c>
      <c r="E54" s="7" t="n">
        <v>3.2</v>
      </c>
      <c r="F54" s="7" t="n">
        <v>5</v>
      </c>
      <c r="G54" s="7" t="n">
        <v>5.7</v>
      </c>
      <c r="H54" s="7" t="n">
        <v>6.1</v>
      </c>
      <c r="I54" s="7" t="n">
        <v>6.3</v>
      </c>
      <c r="J54" s="7" t="n">
        <v>6.5</v>
      </c>
      <c r="K54" s="7" t="n">
        <v>7.3</v>
      </c>
    </row>
    <row r="55">
      <c r="A55" s="6" t="n">
        <v>2019</v>
      </c>
      <c r="B55" s="7" t="n">
        <v>5.1</v>
      </c>
      <c r="C55" s="7" t="n">
        <v>8.4</v>
      </c>
      <c r="D55" s="7" t="n">
        <v>10.6</v>
      </c>
      <c r="E55" s="7" t="n">
        <v>19.2</v>
      </c>
      <c r="F55" s="7" t="n">
        <v>29.8</v>
      </c>
      <c r="G55" s="7" t="n">
        <v>30.4</v>
      </c>
      <c r="H55" s="7" t="n">
        <v>30.4</v>
      </c>
      <c r="I55" s="7" t="n">
        <v>30.4</v>
      </c>
      <c r="J55" s="7" t="n">
        <v>42</v>
      </c>
      <c r="K55" s="7" t="n">
        <v>56.6</v>
      </c>
    </row>
    <row r="56">
      <c r="A56" s="6" t="n">
        <v>2020</v>
      </c>
      <c r="B56" s="7" t="n"/>
      <c r="C56" s="7" t="n"/>
      <c r="D56" s="7" t="n">
        <v>21.2</v>
      </c>
      <c r="E56" s="7" t="n">
        <v>32.6</v>
      </c>
      <c r="F56" s="7" t="n">
        <v>37.2</v>
      </c>
      <c r="G56" s="7" t="n">
        <v>39</v>
      </c>
      <c r="H56" s="7" t="n">
        <v>39</v>
      </c>
      <c r="I56" s="7" t="n">
        <v>41.8</v>
      </c>
      <c r="J56" s="7" t="n">
        <v>41.8</v>
      </c>
      <c r="K56" s="7" t="n">
        <v>54</v>
      </c>
    </row>
    <row r="57">
      <c r="A57" s="6" t="n">
        <v>2021</v>
      </c>
      <c r="B57" s="7" t="n">
        <v>7.6</v>
      </c>
      <c r="C57" s="7" t="n">
        <v>13</v>
      </c>
      <c r="D57" s="7" t="n">
        <v>17.2</v>
      </c>
      <c r="E57" s="7" t="n">
        <v>23.2</v>
      </c>
      <c r="F57" s="7" t="n">
        <v>27.2</v>
      </c>
      <c r="G57" s="7" t="n">
        <v>28.2</v>
      </c>
      <c r="H57" s="7" t="n">
        <v>28.2</v>
      </c>
      <c r="I57" s="7" t="n">
        <v>28.3</v>
      </c>
      <c r="J57" s="7" t="n">
        <v>28.6</v>
      </c>
      <c r="K57" s="7" t="n">
        <v>28.7</v>
      </c>
    </row>
    <row r="58">
      <c r="A58" s="6" t="n">
        <v>2022</v>
      </c>
      <c r="B58" s="7" t="n">
        <v>9.4</v>
      </c>
      <c r="C58" s="7" t="n">
        <v>14.6</v>
      </c>
      <c r="D58" s="7" t="n">
        <v>20.2</v>
      </c>
      <c r="E58" s="7" t="n">
        <v>38.2</v>
      </c>
      <c r="F58" s="7" t="n">
        <v>55.4</v>
      </c>
      <c r="G58" s="7" t="n">
        <v>61.7</v>
      </c>
      <c r="H58" s="7" t="n">
        <v>65</v>
      </c>
      <c r="I58" s="7" t="n">
        <v>68.40000000000001</v>
      </c>
      <c r="J58" s="7" t="n">
        <v>108.2</v>
      </c>
      <c r="K58" s="7" t="n">
        <v>111.3</v>
      </c>
    </row>
    <row r="61">
      <c r="A61" s="2" t="inlineStr">
        <is>
          <t>AMS AFTER gap filling (mm)  -  yellow = added or changed by gap filling</t>
        </is>
      </c>
    </row>
    <row r="62">
      <c r="A62" s="4" t="inlineStr">
        <is>
          <t>Water year</t>
        </is>
      </c>
      <c r="B62" s="5" t="inlineStr">
        <is>
          <t>5min</t>
        </is>
      </c>
      <c r="C62" s="5" t="inlineStr">
        <is>
          <t>10min</t>
        </is>
      </c>
      <c r="D62" s="5" t="inlineStr">
        <is>
          <t>15min</t>
        </is>
      </c>
      <c r="E62" s="5" t="inlineStr">
        <is>
          <t>30min</t>
        </is>
      </c>
      <c r="F62" s="5" t="inlineStr">
        <is>
          <t>1h</t>
        </is>
      </c>
      <c r="G62" s="5" t="inlineStr">
        <is>
          <t>2h</t>
        </is>
      </c>
      <c r="H62" s="5" t="inlineStr">
        <is>
          <t>3h</t>
        </is>
      </c>
      <c r="I62" s="5" t="inlineStr">
        <is>
          <t>6h</t>
        </is>
      </c>
      <c r="J62" s="5" t="inlineStr">
        <is>
          <t>12h</t>
        </is>
      </c>
      <c r="K62" s="5" t="inlineStr">
        <is>
          <t>24h</t>
        </is>
      </c>
    </row>
    <row r="63">
      <c r="A63" s="6" t="n">
        <v>1952</v>
      </c>
      <c r="B63" s="7" t="n"/>
      <c r="C63" s="7" t="n"/>
      <c r="D63" s="7" t="n"/>
      <c r="E63" s="7" t="n"/>
      <c r="F63" s="7" t="n"/>
      <c r="G63" s="7" t="n"/>
      <c r="H63" s="7" t="n"/>
      <c r="I63" s="7" t="n"/>
      <c r="J63" s="7" t="n"/>
      <c r="K63" s="7" t="n">
        <v>31.8</v>
      </c>
    </row>
    <row r="64">
      <c r="A64" s="6" t="n">
        <v>1953</v>
      </c>
      <c r="B64" s="7" t="n"/>
      <c r="C64" s="7" t="n"/>
      <c r="D64" s="7" t="n"/>
      <c r="E64" s="7" t="n"/>
      <c r="F64" s="7" t="n"/>
      <c r="G64" s="7" t="n"/>
      <c r="H64" s="7" t="n"/>
      <c r="I64" s="7" t="n"/>
      <c r="J64" s="7" t="n"/>
      <c r="K64" s="7" t="n">
        <v>15.5</v>
      </c>
    </row>
    <row r="65">
      <c r="A65" s="6" t="n">
        <v>1954</v>
      </c>
      <c r="B65" s="7" t="n"/>
      <c r="C65" s="7" t="n"/>
      <c r="D65" s="7" t="n"/>
      <c r="E65" s="7" t="n"/>
      <c r="F65" s="7" t="n"/>
      <c r="G65" s="7" t="n"/>
      <c r="H65" s="7" t="n"/>
      <c r="I65" s="7" t="n"/>
      <c r="J65" s="7" t="n"/>
      <c r="K65" s="7" t="n">
        <v>13.7</v>
      </c>
    </row>
    <row r="66">
      <c r="A66" s="6" t="n">
        <v>1955</v>
      </c>
      <c r="B66" s="7" t="n"/>
      <c r="C66" s="7" t="n"/>
      <c r="D66" s="7" t="n"/>
      <c r="E66" s="7" t="n"/>
      <c r="F66" s="7" t="n"/>
      <c r="G66" s="7" t="n"/>
      <c r="H66" s="7" t="n"/>
      <c r="I66" s="7" t="n"/>
      <c r="J66" s="7" t="n"/>
      <c r="K66" s="7" t="n">
        <v>41.9</v>
      </c>
    </row>
    <row r="67">
      <c r="A67" s="6" t="n">
        <v>1956</v>
      </c>
      <c r="B67" s="7" t="n"/>
      <c r="C67" s="7" t="n"/>
      <c r="D67" s="7" t="n"/>
      <c r="E67" s="7" t="n"/>
      <c r="F67" s="7" t="n"/>
      <c r="G67" s="7" t="n"/>
      <c r="H67" s="7" t="n"/>
      <c r="I67" s="7" t="n"/>
      <c r="J67" s="7" t="n"/>
      <c r="K67" s="7" t="n">
        <v>12.4</v>
      </c>
    </row>
    <row r="68">
      <c r="A68" s="6" t="n">
        <v>1968</v>
      </c>
      <c r="B68" s="7" t="n"/>
      <c r="C68" s="7" t="n"/>
      <c r="D68" s="7" t="n"/>
      <c r="E68" s="7" t="n"/>
      <c r="F68" s="7" t="n"/>
      <c r="G68" s="7" t="n"/>
      <c r="H68" s="7" t="n"/>
      <c r="I68" s="7" t="n"/>
      <c r="J68" s="7" t="n"/>
      <c r="K68" s="7" t="n">
        <v>67</v>
      </c>
    </row>
    <row r="69">
      <c r="A69" s="6" t="n">
        <v>1969</v>
      </c>
      <c r="B69" s="7" t="n"/>
      <c r="C69" s="7" t="n"/>
      <c r="D69" s="7" t="n"/>
      <c r="E69" s="7" t="n"/>
      <c r="F69" s="7" t="n"/>
      <c r="G69" s="7" t="n"/>
      <c r="H69" s="7" t="n"/>
      <c r="I69" s="7" t="n"/>
      <c r="J69" s="7" t="n"/>
      <c r="K69" s="7" t="n">
        <v>29.2</v>
      </c>
    </row>
    <row r="70">
      <c r="A70" s="6" t="n">
        <v>1970</v>
      </c>
      <c r="B70" s="7" t="n"/>
      <c r="C70" s="7" t="n"/>
      <c r="D70" s="7" t="n"/>
      <c r="E70" s="7" t="n"/>
      <c r="F70" s="7" t="n"/>
      <c r="G70" s="7" t="n"/>
      <c r="H70" s="7" t="n"/>
      <c r="I70" s="7" t="n"/>
      <c r="J70" s="7" t="n"/>
      <c r="K70" s="7" t="n">
        <v>110</v>
      </c>
    </row>
    <row r="71">
      <c r="A71" s="6" t="n">
        <v>1971</v>
      </c>
      <c r="B71" s="7" t="n"/>
      <c r="C71" s="7" t="n"/>
      <c r="D71" s="7" t="n"/>
      <c r="E71" s="7" t="n"/>
      <c r="F71" s="7" t="n"/>
      <c r="G71" s="7" t="n"/>
      <c r="H71" s="7" t="n"/>
      <c r="I71" s="7" t="n"/>
      <c r="J71" s="7" t="n"/>
      <c r="K71" s="7" t="n">
        <v>15.2</v>
      </c>
    </row>
    <row r="72">
      <c r="A72" s="6" t="n">
        <v>1972</v>
      </c>
      <c r="B72" s="7" t="n"/>
      <c r="C72" s="7" t="n"/>
      <c r="D72" s="7" t="n"/>
      <c r="E72" s="7" t="n"/>
      <c r="F72" s="7" t="n"/>
      <c r="G72" s="7" t="n"/>
      <c r="H72" s="7" t="n"/>
      <c r="I72" s="7" t="n"/>
      <c r="J72" s="7" t="n"/>
      <c r="K72" s="7" t="n">
        <v>53.3</v>
      </c>
    </row>
    <row r="73">
      <c r="A73" s="6" t="n">
        <v>1973</v>
      </c>
      <c r="B73" s="7" t="n"/>
      <c r="C73" s="7" t="n"/>
      <c r="D73" s="7" t="n"/>
      <c r="E73" s="7" t="n"/>
      <c r="F73" s="7" t="n"/>
      <c r="G73" s="7" t="n"/>
      <c r="H73" s="7" t="n"/>
      <c r="I73" s="7" t="n"/>
      <c r="J73" s="7" t="n"/>
      <c r="K73" s="7" t="n">
        <v>30.7</v>
      </c>
    </row>
    <row r="74">
      <c r="A74" s="6" t="n">
        <v>1975</v>
      </c>
      <c r="B74" s="7" t="n"/>
      <c r="C74" s="7" t="n"/>
      <c r="D74" s="7" t="n"/>
      <c r="E74" s="7" t="n"/>
      <c r="F74" s="7" t="n"/>
      <c r="G74" s="7" t="n"/>
      <c r="H74" s="7" t="n"/>
      <c r="I74" s="7" t="n"/>
      <c r="J74" s="7" t="n"/>
      <c r="K74" s="7" t="n">
        <v>57</v>
      </c>
    </row>
    <row r="75">
      <c r="A75" s="6" t="n">
        <v>1976</v>
      </c>
      <c r="B75" s="7" t="n"/>
      <c r="C75" s="7" t="n"/>
      <c r="D75" s="7" t="n"/>
      <c r="E75" s="7" t="n"/>
      <c r="F75" s="7" t="n"/>
      <c r="G75" s="7" t="n"/>
      <c r="H75" s="7" t="n"/>
      <c r="I75" s="7" t="n"/>
      <c r="J75" s="7" t="n"/>
      <c r="K75" s="7" t="n">
        <v>36</v>
      </c>
    </row>
    <row r="76">
      <c r="A76" s="6" t="n">
        <v>1977</v>
      </c>
      <c r="B76" s="7" t="n"/>
      <c r="C76" s="7" t="n"/>
      <c r="D76" s="7" t="n"/>
      <c r="E76" s="7" t="n"/>
      <c r="F76" s="7" t="n"/>
      <c r="G76" s="7" t="n"/>
      <c r="H76" s="7" t="n"/>
      <c r="I76" s="7" t="n"/>
      <c r="J76" s="7" t="n"/>
      <c r="K76" s="7" t="n">
        <v>39</v>
      </c>
    </row>
    <row r="77">
      <c r="A77" s="6" t="n">
        <v>1978</v>
      </c>
      <c r="B77" s="7" t="n"/>
      <c r="C77" s="7" t="n"/>
      <c r="D77" s="7" t="n"/>
      <c r="E77" s="7" t="n"/>
      <c r="F77" s="7" t="n"/>
      <c r="G77" s="7" t="n"/>
      <c r="H77" s="7" t="n"/>
      <c r="I77" s="7" t="n"/>
      <c r="J77" s="7" t="n"/>
      <c r="K77" s="7" t="n">
        <v>47.2</v>
      </c>
    </row>
    <row r="78">
      <c r="A78" s="6" t="n">
        <v>1979</v>
      </c>
      <c r="B78" s="7" t="n"/>
      <c r="C78" s="7" t="n"/>
      <c r="D78" s="7" t="n"/>
      <c r="E78" s="7" t="n"/>
      <c r="F78" s="7" t="n"/>
      <c r="G78" s="7" t="n"/>
      <c r="H78" s="7" t="n"/>
      <c r="I78" s="7" t="n"/>
      <c r="J78" s="7" t="n"/>
      <c r="K78" s="7" t="n">
        <v>1.5</v>
      </c>
    </row>
    <row r="79">
      <c r="A79" s="6" t="n">
        <v>1980</v>
      </c>
      <c r="B79" s="7" t="n"/>
      <c r="C79" s="7" t="n"/>
      <c r="D79" s="7" t="n"/>
      <c r="E79" s="7" t="n"/>
      <c r="F79" s="7" t="n"/>
      <c r="G79" s="7" t="n"/>
      <c r="H79" s="7" t="n"/>
      <c r="I79" s="7" t="n"/>
      <c r="J79" s="7" t="n"/>
      <c r="K79" s="7" t="n">
        <v>11</v>
      </c>
    </row>
    <row r="80">
      <c r="A80" s="6" t="n">
        <v>1982</v>
      </c>
      <c r="B80" s="7" t="n"/>
      <c r="C80" s="7" t="n"/>
      <c r="D80" s="7" t="n"/>
      <c r="E80" s="7" t="n"/>
      <c r="F80" s="7" t="n"/>
      <c r="G80" s="7" t="n"/>
      <c r="H80" s="7" t="n"/>
      <c r="I80" s="7" t="n"/>
      <c r="J80" s="7" t="n"/>
      <c r="K80" s="7" t="n">
        <v>52</v>
      </c>
    </row>
    <row r="81">
      <c r="A81" s="6" t="n">
        <v>1983</v>
      </c>
      <c r="B81" s="7" t="n"/>
      <c r="C81" s="7" t="n"/>
      <c r="D81" s="7" t="n"/>
      <c r="E81" s="7" t="n"/>
      <c r="F81" s="7" t="n"/>
      <c r="G81" s="7" t="n"/>
      <c r="H81" s="7" t="n"/>
      <c r="I81" s="7" t="n"/>
      <c r="J81" s="7" t="n"/>
      <c r="K81" s="7" t="n">
        <v>10.4</v>
      </c>
    </row>
    <row r="82">
      <c r="A82" s="6" t="n">
        <v>1987</v>
      </c>
      <c r="B82" s="7" t="n"/>
      <c r="C82" s="7" t="n"/>
      <c r="D82" s="7" t="n"/>
      <c r="E82" s="8" t="n">
        <v>1</v>
      </c>
      <c r="F82" s="8" t="n">
        <v>1.9</v>
      </c>
      <c r="G82" s="8" t="n">
        <v>3.9</v>
      </c>
      <c r="H82" s="8" t="n">
        <v>5.8</v>
      </c>
      <c r="I82" s="8" t="n">
        <v>11.6</v>
      </c>
      <c r="J82" s="8" t="n">
        <v>23.1</v>
      </c>
      <c r="K82" s="8" t="n">
        <v>46.1</v>
      </c>
    </row>
    <row r="83">
      <c r="A83" s="6" t="n">
        <v>1988</v>
      </c>
      <c r="B83" s="7" t="n"/>
      <c r="C83" s="7" t="n"/>
      <c r="D83" s="7" t="n"/>
      <c r="E83" s="7" t="n"/>
      <c r="F83" s="8" t="n">
        <v>0.5</v>
      </c>
      <c r="G83" s="8" t="n">
        <v>1</v>
      </c>
      <c r="H83" s="8" t="n">
        <v>1.6</v>
      </c>
      <c r="I83" s="8" t="n">
        <v>3.1</v>
      </c>
      <c r="J83" s="8" t="n">
        <v>6.2</v>
      </c>
      <c r="K83" s="8" t="n">
        <v>12.4</v>
      </c>
    </row>
    <row r="84">
      <c r="A84" s="6" t="n">
        <v>1989</v>
      </c>
      <c r="B84" s="7" t="n"/>
      <c r="C84" s="7" t="n"/>
      <c r="D84" s="7" t="n"/>
      <c r="E84" s="8" t="n">
        <v>0.8</v>
      </c>
      <c r="F84" s="8" t="n">
        <v>1.6</v>
      </c>
      <c r="G84" s="8" t="n">
        <v>3.3</v>
      </c>
      <c r="H84" s="8" t="n">
        <v>4.9</v>
      </c>
      <c r="I84" s="8" t="n">
        <v>9.800000000000001</v>
      </c>
      <c r="J84" s="8" t="n">
        <v>19.6</v>
      </c>
      <c r="K84" s="8" t="n">
        <v>39.2</v>
      </c>
    </row>
    <row r="85">
      <c r="A85" s="6" t="n">
        <v>1990</v>
      </c>
      <c r="B85" s="7" t="n"/>
      <c r="C85" s="7" t="n"/>
      <c r="D85" s="7" t="n"/>
      <c r="E85" s="8" t="n">
        <v>0.7</v>
      </c>
      <c r="F85" s="8" t="n">
        <v>1.4</v>
      </c>
      <c r="G85" s="8" t="n">
        <v>2.9</v>
      </c>
      <c r="H85" s="8" t="n">
        <v>4.3</v>
      </c>
      <c r="I85" s="8" t="n">
        <v>8.6</v>
      </c>
      <c r="J85" s="8" t="n">
        <v>17.2</v>
      </c>
      <c r="K85" s="8" t="n">
        <v>34.4</v>
      </c>
    </row>
    <row r="86">
      <c r="A86" s="6" t="n">
        <v>1991</v>
      </c>
      <c r="B86" s="7" t="n"/>
      <c r="C86" s="7" t="n"/>
      <c r="D86" s="7" t="n"/>
      <c r="E86" s="7" t="n"/>
      <c r="F86" s="8" t="n">
        <v>1</v>
      </c>
      <c r="G86" s="8" t="n">
        <v>2</v>
      </c>
      <c r="H86" s="8" t="n">
        <v>3</v>
      </c>
      <c r="I86" s="8" t="n">
        <v>6</v>
      </c>
      <c r="J86" s="8" t="n">
        <v>11.9</v>
      </c>
      <c r="K86" s="8" t="n">
        <v>23.9</v>
      </c>
    </row>
    <row r="87">
      <c r="A87" s="6" t="n">
        <v>1992</v>
      </c>
      <c r="B87" s="7" t="n"/>
      <c r="C87" s="7" t="n"/>
      <c r="D87" s="8" t="n">
        <v>0.5</v>
      </c>
      <c r="E87" s="8" t="n">
        <v>1.1</v>
      </c>
      <c r="F87" s="8" t="n">
        <v>2.1</v>
      </c>
      <c r="G87" s="8" t="n">
        <v>4.3</v>
      </c>
      <c r="H87" s="8" t="n">
        <v>6.4</v>
      </c>
      <c r="I87" s="8" t="n">
        <v>12.9</v>
      </c>
      <c r="J87" s="8" t="n">
        <v>25.8</v>
      </c>
      <c r="K87" s="8" t="n">
        <v>51.4</v>
      </c>
    </row>
    <row r="88">
      <c r="A88" s="6" t="n">
        <v>1993</v>
      </c>
      <c r="B88" s="8" t="n">
        <v>4.9</v>
      </c>
      <c r="C88" s="8" t="n">
        <v>8</v>
      </c>
      <c r="D88" s="8" t="n">
        <v>8.4</v>
      </c>
      <c r="E88" s="8" t="n">
        <v>9.6</v>
      </c>
      <c r="F88" s="8" t="n">
        <v>10.4</v>
      </c>
      <c r="G88" s="8" t="n">
        <v>10.6</v>
      </c>
      <c r="H88" s="8" t="n">
        <v>10.6</v>
      </c>
      <c r="I88" s="8" t="n">
        <v>10.8</v>
      </c>
      <c r="J88" s="8" t="n">
        <v>11.2</v>
      </c>
      <c r="K88" s="8" t="n">
        <v>11.7</v>
      </c>
    </row>
    <row r="89">
      <c r="A89" s="6" t="n">
        <v>1995</v>
      </c>
      <c r="B89" s="7" t="n"/>
      <c r="C89" s="7" t="n"/>
      <c r="D89" s="7" t="n"/>
      <c r="E89" s="7" t="n"/>
      <c r="F89" s="7" t="n"/>
      <c r="G89" s="7" t="n"/>
      <c r="H89" s="7" t="n"/>
      <c r="I89" s="7" t="n"/>
      <c r="J89" s="7" t="n"/>
      <c r="K89" s="7" t="n">
        <v>61</v>
      </c>
    </row>
    <row r="90">
      <c r="A90" s="6" t="n">
        <v>1996</v>
      </c>
      <c r="B90" s="7" t="n"/>
      <c r="C90" s="7" t="n"/>
      <c r="D90" s="7" t="n"/>
      <c r="E90" s="7" t="n"/>
      <c r="F90" s="7" t="n"/>
      <c r="G90" s="7" t="n"/>
      <c r="H90" s="7" t="n"/>
      <c r="I90" s="7" t="n"/>
      <c r="J90" s="7" t="n"/>
      <c r="K90" s="7" t="n">
        <v>37.4</v>
      </c>
    </row>
    <row r="91">
      <c r="A91" s="6" t="n">
        <v>1997</v>
      </c>
      <c r="B91" s="7" t="n"/>
      <c r="C91" s="7" t="n"/>
      <c r="D91" s="7" t="n"/>
      <c r="E91" s="7" t="n"/>
      <c r="F91" s="7" t="n"/>
      <c r="G91" s="7" t="n"/>
      <c r="H91" s="7" t="n"/>
      <c r="I91" s="7" t="n"/>
      <c r="J91" s="7" t="n"/>
      <c r="K91" s="7" t="n">
        <v>25</v>
      </c>
    </row>
    <row r="92">
      <c r="A92" s="6" t="n">
        <v>1998</v>
      </c>
      <c r="B92" s="7" t="n"/>
      <c r="C92" s="7" t="n"/>
      <c r="D92" s="7" t="n"/>
      <c r="E92" s="7" t="n"/>
      <c r="F92" s="7" t="n"/>
      <c r="G92" s="7" t="n"/>
      <c r="H92" s="7" t="n"/>
      <c r="I92" s="7" t="n"/>
      <c r="J92" s="7" t="n"/>
      <c r="K92" s="7" t="n">
        <v>50</v>
      </c>
    </row>
    <row r="93">
      <c r="A93" s="6" t="n">
        <v>1999</v>
      </c>
      <c r="B93" s="7" t="n">
        <v>4.2</v>
      </c>
      <c r="C93" s="7" t="n">
        <v>7.8</v>
      </c>
      <c r="D93" s="7" t="n">
        <v>10.4</v>
      </c>
      <c r="E93" s="7" t="n">
        <v>11</v>
      </c>
      <c r="F93" s="7" t="n">
        <v>12</v>
      </c>
      <c r="G93" s="7" t="n">
        <v>21.8</v>
      </c>
      <c r="H93" s="7" t="n">
        <v>23.3</v>
      </c>
      <c r="I93" s="7" t="n">
        <v>30.8</v>
      </c>
      <c r="J93" s="7" t="n">
        <v>34.6</v>
      </c>
      <c r="K93" s="7" t="n">
        <v>35</v>
      </c>
    </row>
    <row r="94">
      <c r="A94" s="6" t="n">
        <v>2000</v>
      </c>
      <c r="B94" s="7" t="n">
        <v>2.4</v>
      </c>
      <c r="C94" s="7" t="n">
        <v>3.2</v>
      </c>
      <c r="D94" s="7" t="n">
        <v>3.2</v>
      </c>
      <c r="E94" s="7" t="n">
        <v>3.6</v>
      </c>
      <c r="F94" s="7" t="n">
        <v>3.8</v>
      </c>
      <c r="G94" s="7" t="n">
        <v>3.9</v>
      </c>
      <c r="H94" s="7" t="n">
        <v>4</v>
      </c>
      <c r="I94" s="7" t="n">
        <v>4</v>
      </c>
      <c r="J94" s="7" t="n">
        <v>4.6</v>
      </c>
      <c r="K94" s="7" t="n">
        <v>5</v>
      </c>
    </row>
    <row r="95">
      <c r="A95" s="6" t="n">
        <v>2001</v>
      </c>
      <c r="B95" s="7" t="n">
        <v>2.6</v>
      </c>
      <c r="C95" s="7" t="n">
        <v>3.8</v>
      </c>
      <c r="D95" s="7" t="n">
        <v>4.7</v>
      </c>
      <c r="E95" s="7" t="n">
        <v>7.3</v>
      </c>
      <c r="F95" s="7" t="n">
        <v>8</v>
      </c>
      <c r="G95" s="7" t="n">
        <v>8.4</v>
      </c>
      <c r="H95" s="7" t="n">
        <v>8.9</v>
      </c>
      <c r="I95" s="7" t="n">
        <v>9.800000000000001</v>
      </c>
      <c r="J95" s="7" t="n">
        <v>10.6</v>
      </c>
      <c r="K95" s="7" t="n">
        <v>10.9</v>
      </c>
    </row>
    <row r="96">
      <c r="A96" s="6" t="n">
        <v>2002</v>
      </c>
      <c r="B96" s="7" t="n">
        <v>3.4</v>
      </c>
      <c r="C96" s="7" t="n">
        <v>5.8</v>
      </c>
      <c r="D96" s="7" t="n">
        <v>6</v>
      </c>
      <c r="E96" s="7" t="n">
        <v>7.5</v>
      </c>
      <c r="F96" s="7" t="n">
        <v>9.4</v>
      </c>
      <c r="G96" s="7" t="n">
        <v>14.3</v>
      </c>
      <c r="H96" s="7" t="n">
        <v>20.6</v>
      </c>
      <c r="I96" s="7" t="n">
        <v>27.4</v>
      </c>
      <c r="J96" s="7" t="n">
        <v>27.5</v>
      </c>
      <c r="K96" s="7" t="n">
        <v>27.7</v>
      </c>
    </row>
    <row r="97">
      <c r="A97" s="6" t="n">
        <v>2003</v>
      </c>
      <c r="B97" s="7" t="n">
        <v>1</v>
      </c>
      <c r="C97" s="7" t="n">
        <v>1.8</v>
      </c>
      <c r="D97" s="7" t="n">
        <v>2.2</v>
      </c>
      <c r="E97" s="7" t="n">
        <v>2.9</v>
      </c>
      <c r="F97" s="7" t="n">
        <v>3.2</v>
      </c>
      <c r="G97" s="7" t="n">
        <v>3.4</v>
      </c>
      <c r="H97" s="7" t="n">
        <v>4.2</v>
      </c>
      <c r="I97" s="7" t="n">
        <v>8.300000000000001</v>
      </c>
      <c r="J97" s="7" t="n">
        <v>16.7</v>
      </c>
      <c r="K97" s="7" t="n">
        <v>33.4</v>
      </c>
    </row>
    <row r="98">
      <c r="A98" s="6" t="n">
        <v>2004</v>
      </c>
      <c r="B98" s="7" t="n">
        <v>2</v>
      </c>
      <c r="C98" s="7" t="n">
        <v>3.4</v>
      </c>
      <c r="D98" s="7" t="n">
        <v>3.6</v>
      </c>
      <c r="E98" s="7" t="n">
        <v>4.2</v>
      </c>
      <c r="F98" s="7" t="n">
        <v>4.2</v>
      </c>
      <c r="G98" s="7" t="n">
        <v>4.2</v>
      </c>
      <c r="H98" s="7" t="n">
        <v>4.2</v>
      </c>
      <c r="I98" s="7" t="n">
        <v>4.2</v>
      </c>
      <c r="J98" s="7" t="n">
        <v>4.3</v>
      </c>
      <c r="K98" s="7" t="n">
        <v>4.4</v>
      </c>
    </row>
    <row r="99">
      <c r="A99" s="6" t="n">
        <v>2005</v>
      </c>
      <c r="B99" s="8" t="n">
        <v>5.2</v>
      </c>
      <c r="C99" s="8" t="n">
        <v>8.300000000000001</v>
      </c>
      <c r="D99" s="7" t="n">
        <v>9.800000000000001</v>
      </c>
      <c r="E99" s="7" t="n">
        <v>13</v>
      </c>
      <c r="F99" s="8" t="n">
        <v>15.5</v>
      </c>
      <c r="G99" s="8" t="n">
        <v>16.1</v>
      </c>
      <c r="H99" s="8" t="n">
        <v>19.4</v>
      </c>
      <c r="I99" s="8" t="n">
        <v>22.5</v>
      </c>
      <c r="J99" s="7" t="n">
        <v>31.6</v>
      </c>
      <c r="K99" s="7" t="n">
        <v>33.9</v>
      </c>
    </row>
    <row r="100">
      <c r="A100" s="6" t="n">
        <v>2006</v>
      </c>
      <c r="B100" s="7" t="n">
        <v>5.8</v>
      </c>
      <c r="C100" s="7" t="n">
        <v>11.6</v>
      </c>
      <c r="D100" s="7" t="n">
        <v>15.8</v>
      </c>
      <c r="E100" s="7" t="n">
        <v>20.3</v>
      </c>
      <c r="F100" s="7" t="n">
        <v>21.7</v>
      </c>
      <c r="G100" s="7" t="n">
        <v>22.9</v>
      </c>
      <c r="H100" s="7" t="n">
        <v>23</v>
      </c>
      <c r="I100" s="7" t="n">
        <v>23.2</v>
      </c>
      <c r="J100" s="7" t="n">
        <v>24.6</v>
      </c>
      <c r="K100" s="7" t="n">
        <v>30.5</v>
      </c>
    </row>
    <row r="101">
      <c r="A101" s="6" t="n">
        <v>2007</v>
      </c>
      <c r="B101" s="7" t="n">
        <v>7.4</v>
      </c>
      <c r="C101" s="7" t="n">
        <v>11.2</v>
      </c>
      <c r="D101" s="7" t="n">
        <v>15.4</v>
      </c>
      <c r="E101" s="7" t="n">
        <v>22.2</v>
      </c>
      <c r="F101" s="7" t="n">
        <v>25.2</v>
      </c>
      <c r="G101" s="7" t="n">
        <v>29</v>
      </c>
      <c r="H101" s="7" t="n">
        <v>37.4</v>
      </c>
      <c r="I101" s="7" t="n">
        <v>67.2</v>
      </c>
      <c r="J101" s="7" t="n">
        <v>105.6</v>
      </c>
      <c r="K101" s="7" t="n">
        <v>139.6</v>
      </c>
    </row>
    <row r="102">
      <c r="A102" s="6" t="n">
        <v>2008</v>
      </c>
      <c r="B102" s="7" t="n">
        <v>6.8</v>
      </c>
      <c r="C102" s="7" t="n">
        <v>8.4</v>
      </c>
      <c r="D102" s="7" t="n">
        <v>9.199999999999999</v>
      </c>
      <c r="E102" s="7" t="n">
        <v>15.8</v>
      </c>
      <c r="F102" s="7" t="n">
        <v>20.4</v>
      </c>
      <c r="G102" s="7" t="n">
        <v>21.7</v>
      </c>
      <c r="H102" s="7" t="n">
        <v>22.1</v>
      </c>
      <c r="I102" s="7" t="n">
        <v>22.2</v>
      </c>
      <c r="J102" s="7" t="n">
        <v>22.3</v>
      </c>
      <c r="K102" s="7" t="n">
        <v>35</v>
      </c>
    </row>
    <row r="103">
      <c r="A103" s="6" t="n">
        <v>2009</v>
      </c>
      <c r="B103" s="7" t="n">
        <v>9.199999999999999</v>
      </c>
      <c r="C103" s="7" t="n">
        <v>18.4</v>
      </c>
      <c r="D103" s="7" t="n">
        <v>24.4</v>
      </c>
      <c r="E103" s="7" t="n">
        <v>27.6</v>
      </c>
      <c r="F103" s="7" t="n">
        <v>27.6</v>
      </c>
      <c r="G103" s="7" t="n">
        <v>27.6</v>
      </c>
      <c r="H103" s="7" t="n">
        <v>27.7</v>
      </c>
      <c r="I103" s="7" t="n">
        <v>27.7</v>
      </c>
      <c r="J103" s="7" t="n">
        <v>28.1</v>
      </c>
      <c r="K103" s="7" t="n">
        <v>36.3</v>
      </c>
    </row>
    <row r="104">
      <c r="A104" s="6" t="n">
        <v>2010</v>
      </c>
      <c r="B104" s="7" t="n"/>
      <c r="C104" s="7" t="n"/>
      <c r="D104" s="7" t="n"/>
      <c r="E104" s="7" t="n"/>
      <c r="F104" s="7" t="n"/>
      <c r="G104" s="7" t="n"/>
      <c r="H104" s="7" t="n"/>
      <c r="I104" s="7" t="n"/>
      <c r="J104" s="7" t="n"/>
      <c r="K104" s="8" t="n">
        <v>39.9</v>
      </c>
    </row>
    <row r="105">
      <c r="A105" s="6" t="n">
        <v>2011</v>
      </c>
      <c r="B105" s="7" t="n">
        <v>1.8</v>
      </c>
      <c r="C105" s="7" t="n">
        <v>3</v>
      </c>
      <c r="D105" s="7" t="n">
        <v>4</v>
      </c>
      <c r="E105" s="7" t="n">
        <v>6.8</v>
      </c>
      <c r="F105" s="7" t="n">
        <v>8.699999999999999</v>
      </c>
      <c r="G105" s="7" t="n">
        <v>9.800000000000001</v>
      </c>
      <c r="H105" s="7" t="n">
        <v>14</v>
      </c>
      <c r="I105" s="7" t="n">
        <v>16.3</v>
      </c>
      <c r="J105" s="7" t="n">
        <v>17.9</v>
      </c>
      <c r="K105" s="7" t="n">
        <v>18.1</v>
      </c>
    </row>
    <row r="106">
      <c r="A106" s="6" t="n">
        <v>2012</v>
      </c>
      <c r="B106" s="7" t="n"/>
      <c r="C106" s="7" t="n"/>
      <c r="D106" s="7" t="n">
        <v>0.5</v>
      </c>
      <c r="E106" s="7" t="n">
        <v>0.6</v>
      </c>
      <c r="F106" s="7" t="n">
        <v>0.6</v>
      </c>
      <c r="G106" s="7" t="n">
        <v>0.7</v>
      </c>
      <c r="H106" s="7" t="n">
        <v>0.7</v>
      </c>
      <c r="I106" s="7" t="n">
        <v>1.1</v>
      </c>
      <c r="J106" s="7" t="n">
        <v>2.1</v>
      </c>
      <c r="K106" s="7" t="n">
        <v>4.2</v>
      </c>
    </row>
    <row r="107">
      <c r="A107" s="6" t="n">
        <v>2013</v>
      </c>
      <c r="B107" s="8" t="n">
        <v>3.1</v>
      </c>
      <c r="C107" s="8" t="n">
        <v>5.3</v>
      </c>
      <c r="D107" s="8" t="n">
        <v>6</v>
      </c>
      <c r="E107" s="8" t="n">
        <v>7.6</v>
      </c>
      <c r="F107" s="8" t="n">
        <v>10.7</v>
      </c>
      <c r="G107" s="8" t="n">
        <v>13.4</v>
      </c>
      <c r="H107" s="8" t="n">
        <v>14.3</v>
      </c>
      <c r="I107" s="8" t="n">
        <v>17.5</v>
      </c>
      <c r="J107" s="8" t="n">
        <v>17.8</v>
      </c>
      <c r="K107" s="8" t="n">
        <v>17.8</v>
      </c>
    </row>
    <row r="108">
      <c r="A108" s="6" t="n">
        <v>2014</v>
      </c>
      <c r="B108" s="8" t="n">
        <v>3.9</v>
      </c>
      <c r="C108" s="8" t="n">
        <v>6</v>
      </c>
      <c r="D108" s="8" t="n">
        <v>6.9</v>
      </c>
      <c r="E108" s="8" t="n">
        <v>7.5</v>
      </c>
      <c r="F108" s="8" t="n">
        <v>8.4</v>
      </c>
      <c r="G108" s="8" t="n">
        <v>10.1</v>
      </c>
      <c r="H108" s="8" t="n">
        <v>11.3</v>
      </c>
      <c r="I108" s="8" t="n">
        <v>15.5</v>
      </c>
      <c r="J108" s="8" t="n">
        <v>18.8</v>
      </c>
      <c r="K108" s="8" t="n">
        <v>18.8</v>
      </c>
    </row>
    <row r="109">
      <c r="A109" s="6" t="n">
        <v>2015</v>
      </c>
      <c r="B109" s="8" t="n">
        <v>6.9</v>
      </c>
      <c r="C109" s="8" t="n">
        <v>12.8</v>
      </c>
      <c r="D109" s="8" t="n">
        <v>18.3</v>
      </c>
      <c r="E109" s="8" t="n">
        <v>29.6</v>
      </c>
      <c r="F109" s="8" t="n">
        <v>41.3</v>
      </c>
      <c r="G109" s="8" t="n">
        <v>44.2</v>
      </c>
      <c r="H109" s="8" t="n">
        <v>45.5</v>
      </c>
      <c r="I109" s="8" t="n">
        <v>52.8</v>
      </c>
      <c r="J109" s="8" t="n">
        <v>54.7</v>
      </c>
      <c r="K109" s="8" t="n">
        <v>54.9</v>
      </c>
    </row>
    <row r="110">
      <c r="A110" s="6" t="n">
        <v>2016</v>
      </c>
      <c r="B110" s="7" t="n">
        <v>5.8</v>
      </c>
      <c r="C110" s="7" t="n">
        <v>9.4</v>
      </c>
      <c r="D110" s="7" t="n">
        <v>10.4</v>
      </c>
      <c r="E110" s="7" t="n">
        <v>11.8</v>
      </c>
      <c r="F110" s="7" t="n">
        <v>12.8</v>
      </c>
      <c r="G110" s="7" t="n">
        <v>13.2</v>
      </c>
      <c r="H110" s="7" t="n">
        <v>13.2</v>
      </c>
      <c r="I110" s="7" t="n">
        <v>15</v>
      </c>
      <c r="J110" s="7" t="n">
        <v>15.9</v>
      </c>
      <c r="K110" s="7" t="n">
        <v>25</v>
      </c>
    </row>
    <row r="111">
      <c r="A111" s="6" t="n">
        <v>2017</v>
      </c>
      <c r="B111" s="7" t="n">
        <v>8</v>
      </c>
      <c r="C111" s="7" t="n">
        <v>9</v>
      </c>
      <c r="D111" s="7" t="n">
        <v>13.2</v>
      </c>
      <c r="E111" s="7" t="n">
        <v>15.2</v>
      </c>
      <c r="F111" s="7" t="n">
        <v>15.6</v>
      </c>
      <c r="G111" s="7" t="n">
        <v>15.7</v>
      </c>
      <c r="H111" s="7" t="n">
        <v>15.8</v>
      </c>
      <c r="I111" s="7" t="n">
        <v>17.6</v>
      </c>
      <c r="J111" s="7" t="n">
        <v>19.4</v>
      </c>
      <c r="K111" s="7" t="n">
        <v>20.7</v>
      </c>
    </row>
    <row r="112">
      <c r="A112" s="6" t="n">
        <v>2018</v>
      </c>
      <c r="B112" s="7" t="n">
        <v>0.8</v>
      </c>
      <c r="C112" s="7" t="n">
        <v>1.4</v>
      </c>
      <c r="D112" s="7" t="n">
        <v>2</v>
      </c>
      <c r="E112" s="7" t="n">
        <v>3.2</v>
      </c>
      <c r="F112" s="7" t="n">
        <v>5</v>
      </c>
      <c r="G112" s="7" t="n">
        <v>5.7</v>
      </c>
      <c r="H112" s="7" t="n">
        <v>6.1</v>
      </c>
      <c r="I112" s="7" t="n">
        <v>6.3</v>
      </c>
      <c r="J112" s="7" t="n">
        <v>6.5</v>
      </c>
      <c r="K112" s="7" t="n">
        <v>7.3</v>
      </c>
    </row>
    <row r="113">
      <c r="A113" s="6" t="n">
        <v>2019</v>
      </c>
      <c r="B113" s="7" t="n">
        <v>5.1</v>
      </c>
      <c r="C113" s="7" t="n">
        <v>8.4</v>
      </c>
      <c r="D113" s="7" t="n">
        <v>10.6</v>
      </c>
      <c r="E113" s="7" t="n">
        <v>19.2</v>
      </c>
      <c r="F113" s="7" t="n">
        <v>29.8</v>
      </c>
      <c r="G113" s="7" t="n">
        <v>30.4</v>
      </c>
      <c r="H113" s="7" t="n">
        <v>30.4</v>
      </c>
      <c r="I113" s="7" t="n">
        <v>30.4</v>
      </c>
      <c r="J113" s="7" t="n">
        <v>42</v>
      </c>
      <c r="K113" s="7" t="n">
        <v>56.6</v>
      </c>
    </row>
    <row r="114">
      <c r="A114" s="6" t="n">
        <v>2020</v>
      </c>
      <c r="B114" s="7" t="n"/>
      <c r="C114" s="7" t="n"/>
      <c r="D114" s="7" t="n">
        <v>21.2</v>
      </c>
      <c r="E114" s="7" t="n">
        <v>32.6</v>
      </c>
      <c r="F114" s="7" t="n">
        <v>37.2</v>
      </c>
      <c r="G114" s="7" t="n">
        <v>39</v>
      </c>
      <c r="H114" s="7" t="n">
        <v>39</v>
      </c>
      <c r="I114" s="7" t="n">
        <v>41.8</v>
      </c>
      <c r="J114" s="7" t="n">
        <v>41.8</v>
      </c>
      <c r="K114" s="7" t="n">
        <v>54</v>
      </c>
    </row>
    <row r="115">
      <c r="A115" s="6" t="n">
        <v>2021</v>
      </c>
      <c r="B115" s="7" t="n">
        <v>7.6</v>
      </c>
      <c r="C115" s="7" t="n">
        <v>13</v>
      </c>
      <c r="D115" s="7" t="n">
        <v>17.2</v>
      </c>
      <c r="E115" s="7" t="n">
        <v>23.2</v>
      </c>
      <c r="F115" s="7" t="n">
        <v>27.2</v>
      </c>
      <c r="G115" s="7" t="n">
        <v>28.2</v>
      </c>
      <c r="H115" s="7" t="n">
        <v>28.2</v>
      </c>
      <c r="I115" s="7" t="n">
        <v>28.3</v>
      </c>
      <c r="J115" s="7" t="n">
        <v>28.6</v>
      </c>
      <c r="K115" s="7" t="n">
        <v>28.7</v>
      </c>
    </row>
    <row r="116">
      <c r="A116" s="6" t="n">
        <v>2022</v>
      </c>
      <c r="B116" s="7" t="n">
        <v>9.4</v>
      </c>
      <c r="C116" s="7" t="n">
        <v>14.6</v>
      </c>
      <c r="D116" s="7" t="n">
        <v>20.2</v>
      </c>
      <c r="E116" s="7" t="n">
        <v>38.2</v>
      </c>
      <c r="F116" s="7" t="n">
        <v>55.4</v>
      </c>
      <c r="G116" s="7" t="n">
        <v>61.7</v>
      </c>
      <c r="H116" s="7" t="n">
        <v>65</v>
      </c>
      <c r="I116" s="7" t="n">
        <v>68.40000000000001</v>
      </c>
      <c r="J116" s="7" t="n">
        <v>108.2</v>
      </c>
      <c r="K116" s="7" t="n">
        <v>111.3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27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</cols>
  <sheetData>
    <row r="1">
      <c r="A1" s="1" t="inlineStr">
        <is>
          <t>Gauge 12  |  FM201534AF  |  Al Gafnein near Rusail Industry Area</t>
        </is>
      </c>
    </row>
    <row r="3">
      <c r="A3" s="2" t="inlineStr">
        <is>
          <t>AMS BEFORE gap filling (observed only, mm)</t>
        </is>
      </c>
      <c r="M3" s="3" t="inlineStr">
        <is>
          <t>IDF - design rainfall DEPTH (mm)</t>
        </is>
      </c>
    </row>
    <row r="4">
      <c r="A4" s="4" t="inlineStr">
        <is>
          <t>Water year</t>
        </is>
      </c>
      <c r="B4" s="5" t="inlineStr">
        <is>
          <t>5min</t>
        </is>
      </c>
      <c r="C4" s="5" t="inlineStr">
        <is>
          <t>10min</t>
        </is>
      </c>
      <c r="D4" s="5" t="inlineStr">
        <is>
          <t>15min</t>
        </is>
      </c>
      <c r="E4" s="5" t="inlineStr">
        <is>
          <t>30min</t>
        </is>
      </c>
      <c r="F4" s="5" t="inlineStr">
        <is>
          <t>1h</t>
        </is>
      </c>
      <c r="G4" s="5" t="inlineStr">
        <is>
          <t>2h</t>
        </is>
      </c>
      <c r="H4" s="5" t="inlineStr">
        <is>
          <t>3h</t>
        </is>
      </c>
      <c r="I4" s="5" t="inlineStr">
        <is>
          <t>6h</t>
        </is>
      </c>
      <c r="J4" s="5" t="inlineStr">
        <is>
          <t>12h</t>
        </is>
      </c>
      <c r="K4" s="5" t="inlineStr">
        <is>
          <t>24h</t>
        </is>
      </c>
      <c r="M4" s="4" t="inlineStr">
        <is>
          <t>Duration \ RP</t>
        </is>
      </c>
      <c r="N4" s="4" t="n">
        <v>2</v>
      </c>
      <c r="O4" s="4" t="n">
        <v>5</v>
      </c>
      <c r="P4" s="4" t="n">
        <v>10</v>
      </c>
      <c r="Q4" s="4" t="n">
        <v>25</v>
      </c>
      <c r="R4" s="4" t="n">
        <v>50</v>
      </c>
      <c r="S4" s="4" t="n">
        <v>100</v>
      </c>
      <c r="T4" s="4" t="n">
        <v>200</v>
      </c>
      <c r="U4" s="4" t="n">
        <v>500</v>
      </c>
      <c r="V4" s="4" t="n">
        <v>1000</v>
      </c>
      <c r="W4" s="4" t="n">
        <v>2000</v>
      </c>
      <c r="X4" s="4" t="n">
        <v>5000</v>
      </c>
      <c r="Y4" s="4" t="n">
        <v>10000</v>
      </c>
    </row>
    <row r="5">
      <c r="A5" s="6" t="n">
        <v>2016</v>
      </c>
      <c r="B5" s="7" t="n">
        <v>1.4</v>
      </c>
      <c r="C5" s="7" t="n">
        <v>2.4</v>
      </c>
      <c r="D5" s="7" t="n">
        <v>2.4</v>
      </c>
      <c r="E5" s="7" t="n">
        <v>2.4</v>
      </c>
      <c r="F5" s="7" t="n">
        <v>2.4</v>
      </c>
      <c r="G5" s="7" t="n">
        <v>2.4</v>
      </c>
      <c r="H5" s="7" t="n">
        <v>2.4</v>
      </c>
      <c r="I5" s="7" t="n">
        <v>2.4</v>
      </c>
      <c r="J5" s="7" t="n">
        <v>2.4</v>
      </c>
      <c r="K5" s="7" t="n">
        <v>2.4</v>
      </c>
      <c r="M5" s="6" t="inlineStr">
        <is>
          <t>5min</t>
        </is>
      </c>
      <c r="N5" s="6" t="n">
        <v>4.2</v>
      </c>
      <c r="O5" s="6" t="n">
        <v>7.2</v>
      </c>
      <c r="P5" s="6" t="n">
        <v>9.699999999999999</v>
      </c>
      <c r="Q5" s="6" t="n">
        <v>13.5</v>
      </c>
      <c r="R5" s="6" t="n">
        <v>16.9</v>
      </c>
      <c r="S5" s="6" t="n">
        <v>20.8</v>
      </c>
      <c r="T5" s="6" t="n">
        <v>25.5</v>
      </c>
      <c r="U5" s="6" t="n">
        <v>32.9</v>
      </c>
      <c r="V5" s="6" t="n">
        <v>39.6</v>
      </c>
      <c r="W5" s="6" t="n">
        <v>47.5</v>
      </c>
      <c r="X5" s="6" t="n">
        <v>60.1</v>
      </c>
      <c r="Y5" s="6" t="n">
        <v>71.59999999999999</v>
      </c>
    </row>
    <row r="6">
      <c r="A6" s="6" t="n">
        <v>2017</v>
      </c>
      <c r="B6" s="7" t="n">
        <v>7.8</v>
      </c>
      <c r="C6" s="7" t="n">
        <v>15.6</v>
      </c>
      <c r="D6" s="7" t="n">
        <v>18.2</v>
      </c>
      <c r="E6" s="7" t="n">
        <v>19.8</v>
      </c>
      <c r="F6" s="7" t="n">
        <v>20</v>
      </c>
      <c r="G6" s="7" t="n">
        <v>20.1</v>
      </c>
      <c r="H6" s="7" t="n">
        <v>20.2</v>
      </c>
      <c r="I6" s="7" t="n">
        <v>22.4</v>
      </c>
      <c r="J6" s="7" t="n">
        <v>22.6</v>
      </c>
      <c r="K6" s="7" t="n">
        <v>22.6</v>
      </c>
      <c r="M6" s="6" t="inlineStr">
        <is>
          <t>10min</t>
        </is>
      </c>
      <c r="N6" s="6" t="n">
        <v>6.8</v>
      </c>
      <c r="O6" s="6" t="n">
        <v>11.9</v>
      </c>
      <c r="P6" s="6" t="n">
        <v>16.2</v>
      </c>
      <c r="Q6" s="6" t="n">
        <v>22.8</v>
      </c>
      <c r="R6" s="6" t="n">
        <v>28.7</v>
      </c>
      <c r="S6" s="6" t="n">
        <v>35.8</v>
      </c>
      <c r="T6" s="6" t="n">
        <v>44.1</v>
      </c>
      <c r="U6" s="6" t="n">
        <v>57.4</v>
      </c>
      <c r="V6" s="6" t="n">
        <v>69.7</v>
      </c>
      <c r="W6" s="6" t="n">
        <v>84.2</v>
      </c>
      <c r="X6" s="6" t="n">
        <v>107.5</v>
      </c>
      <c r="Y6" s="6" t="n">
        <v>128.9</v>
      </c>
    </row>
    <row r="7">
      <c r="A7" s="6" t="n">
        <v>2019</v>
      </c>
      <c r="B7" s="7" t="n">
        <v>6.6</v>
      </c>
      <c r="C7" s="7" t="n">
        <v>6.6</v>
      </c>
      <c r="D7" s="7" t="n">
        <v>6.6</v>
      </c>
      <c r="E7" s="7" t="n">
        <v>6.6</v>
      </c>
      <c r="F7" s="7" t="n">
        <v>6.6</v>
      </c>
      <c r="G7" s="7" t="n">
        <v>6.6</v>
      </c>
      <c r="H7" s="7" t="n">
        <v>6.6</v>
      </c>
      <c r="I7" s="7" t="n">
        <v>6.6</v>
      </c>
      <c r="J7" s="7" t="n">
        <v>6.6</v>
      </c>
      <c r="K7" s="7" t="n">
        <v>6.6</v>
      </c>
      <c r="M7" s="6" t="inlineStr">
        <is>
          <t>15min</t>
        </is>
      </c>
      <c r="N7" s="6" t="n">
        <v>8.5</v>
      </c>
      <c r="O7" s="6" t="n">
        <v>15</v>
      </c>
      <c r="P7" s="6" t="n">
        <v>20.4</v>
      </c>
      <c r="Q7" s="6" t="n">
        <v>28.9</v>
      </c>
      <c r="R7" s="6" t="n">
        <v>36.7</v>
      </c>
      <c r="S7" s="6" t="n">
        <v>45.9</v>
      </c>
      <c r="T7" s="6" t="n">
        <v>56.9</v>
      </c>
      <c r="U7" s="6" t="n">
        <v>74.59999999999999</v>
      </c>
      <c r="V7" s="6" t="n">
        <v>91</v>
      </c>
      <c r="W7" s="6" t="n">
        <v>110.6</v>
      </c>
      <c r="X7" s="6" t="n">
        <v>142.2</v>
      </c>
      <c r="Y7" s="6" t="n">
        <v>171.6</v>
      </c>
    </row>
    <row r="8">
      <c r="A8" s="6" t="n">
        <v>2020</v>
      </c>
      <c r="B8" s="7" t="n">
        <v>3.6</v>
      </c>
      <c r="C8" s="7" t="n">
        <v>7</v>
      </c>
      <c r="D8" s="7" t="n">
        <v>9</v>
      </c>
      <c r="E8" s="7" t="n">
        <v>12.6</v>
      </c>
      <c r="F8" s="7" t="n">
        <v>14.5</v>
      </c>
      <c r="G8" s="7" t="n">
        <v>15.1</v>
      </c>
      <c r="H8" s="7" t="n">
        <v>16.3</v>
      </c>
      <c r="I8" s="7" t="n">
        <v>30.1</v>
      </c>
      <c r="J8" s="7" t="n">
        <v>35.6</v>
      </c>
      <c r="K8" s="7" t="n">
        <v>35.8</v>
      </c>
      <c r="M8" s="6" t="inlineStr">
        <is>
          <t>30min</t>
        </is>
      </c>
      <c r="N8" s="6" t="n">
        <v>11.7</v>
      </c>
      <c r="O8" s="6" t="n">
        <v>20.6</v>
      </c>
      <c r="P8" s="6" t="n">
        <v>27.8</v>
      </c>
      <c r="Q8" s="6" t="n">
        <v>38.6</v>
      </c>
      <c r="R8" s="6" t="n">
        <v>48.1</v>
      </c>
      <c r="S8" s="6" t="n">
        <v>59</v>
      </c>
      <c r="T8" s="6" t="n">
        <v>71.5</v>
      </c>
      <c r="U8" s="6" t="n">
        <v>90.90000000000001</v>
      </c>
      <c r="V8" s="6" t="n">
        <v>108.2</v>
      </c>
      <c r="W8" s="6" t="n">
        <v>128.1</v>
      </c>
      <c r="X8" s="6" t="n">
        <v>159.1</v>
      </c>
      <c r="Y8" s="6" t="n">
        <v>186.8</v>
      </c>
    </row>
    <row r="9">
      <c r="A9" s="6" t="n">
        <v>2021</v>
      </c>
      <c r="B9" s="7" t="n">
        <v>7.6</v>
      </c>
      <c r="C9" s="7" t="n">
        <v>9.800000000000001</v>
      </c>
      <c r="D9" s="7" t="n">
        <v>11.6</v>
      </c>
      <c r="E9" s="7" t="n">
        <v>13</v>
      </c>
      <c r="F9" s="7" t="n">
        <v>13</v>
      </c>
      <c r="G9" s="7" t="n">
        <v>13.1</v>
      </c>
      <c r="H9" s="7" t="n">
        <v>13.2</v>
      </c>
      <c r="I9" s="7" t="n">
        <v>13.3</v>
      </c>
      <c r="J9" s="7" t="n">
        <v>13.4</v>
      </c>
      <c r="K9" s="7" t="n">
        <v>13.5</v>
      </c>
      <c r="M9" s="6" t="inlineStr">
        <is>
          <t>1h</t>
        </is>
      </c>
      <c r="N9" s="6" t="n">
        <v>13.9</v>
      </c>
      <c r="O9" s="6" t="n">
        <v>24.3</v>
      </c>
      <c r="P9" s="6" t="n">
        <v>32.4</v>
      </c>
      <c r="Q9" s="6" t="n">
        <v>44.4</v>
      </c>
      <c r="R9" s="6" t="n">
        <v>54.7</v>
      </c>
      <c r="S9" s="6" t="n">
        <v>66.40000000000001</v>
      </c>
      <c r="T9" s="6" t="n">
        <v>79.5</v>
      </c>
      <c r="U9" s="6" t="n">
        <v>99.59999999999999</v>
      </c>
      <c r="V9" s="6" t="n">
        <v>117.2</v>
      </c>
      <c r="W9" s="6" t="n">
        <v>137.1</v>
      </c>
      <c r="X9" s="6" t="n">
        <v>167.6</v>
      </c>
      <c r="Y9" s="6" t="n">
        <v>194.2</v>
      </c>
    </row>
    <row r="10">
      <c r="A10" s="6" t="n">
        <v>2022</v>
      </c>
      <c r="B10" s="7" t="n">
        <v>4.6</v>
      </c>
      <c r="C10" s="7" t="n">
        <v>8.6</v>
      </c>
      <c r="D10" s="7" t="n">
        <v>10.2</v>
      </c>
      <c r="E10" s="7" t="n">
        <v>16.4</v>
      </c>
      <c r="F10" s="7" t="n">
        <v>28.8</v>
      </c>
      <c r="G10" s="7" t="n">
        <v>41.6</v>
      </c>
      <c r="H10" s="7" t="n">
        <v>52.8</v>
      </c>
      <c r="I10" s="7" t="n">
        <v>80</v>
      </c>
      <c r="J10" s="7" t="n">
        <v>125.6</v>
      </c>
      <c r="K10" s="7" t="n">
        <v>193.3</v>
      </c>
      <c r="M10" s="6" t="inlineStr">
        <is>
          <t>2h</t>
        </is>
      </c>
      <c r="N10" s="6" t="n">
        <v>16.9</v>
      </c>
      <c r="O10" s="6" t="n">
        <v>29.2</v>
      </c>
      <c r="P10" s="6" t="n">
        <v>38.6</v>
      </c>
      <c r="Q10" s="6" t="n">
        <v>52.1</v>
      </c>
      <c r="R10" s="6" t="n">
        <v>63.5</v>
      </c>
      <c r="S10" s="6" t="n">
        <v>76.09999999999999</v>
      </c>
      <c r="T10" s="6" t="n">
        <v>90</v>
      </c>
      <c r="U10" s="6" t="n">
        <v>110.7</v>
      </c>
      <c r="V10" s="6" t="n">
        <v>128.5</v>
      </c>
      <c r="W10" s="6" t="n">
        <v>148.1</v>
      </c>
      <c r="X10" s="6" t="n">
        <v>177.6</v>
      </c>
      <c r="Y10" s="6" t="n">
        <v>202.7</v>
      </c>
    </row>
    <row r="11">
      <c r="M11" s="6" t="inlineStr">
        <is>
          <t>3h</t>
        </is>
      </c>
      <c r="N11" s="6" t="n">
        <v>18.3</v>
      </c>
      <c r="O11" s="6" t="n">
        <v>31.8</v>
      </c>
      <c r="P11" s="6" t="n">
        <v>42.1</v>
      </c>
      <c r="Q11" s="6" t="n">
        <v>57</v>
      </c>
      <c r="R11" s="6" t="n">
        <v>69.5</v>
      </c>
      <c r="S11" s="6" t="n">
        <v>83.3</v>
      </c>
      <c r="T11" s="6" t="n">
        <v>98.59999999999999</v>
      </c>
      <c r="U11" s="6" t="n">
        <v>121.6</v>
      </c>
      <c r="V11" s="6" t="n">
        <v>141.2</v>
      </c>
      <c r="W11" s="6" t="n">
        <v>163</v>
      </c>
      <c r="X11" s="6" t="n">
        <v>195.6</v>
      </c>
      <c r="Y11" s="6" t="n">
        <v>223.5</v>
      </c>
    </row>
    <row r="12">
      <c r="M12" s="6" t="inlineStr">
        <is>
          <t>6h</t>
        </is>
      </c>
      <c r="N12" s="6" t="n">
        <v>21</v>
      </c>
      <c r="O12" s="6" t="n">
        <v>36.7</v>
      </c>
      <c r="P12" s="6" t="n">
        <v>49.1</v>
      </c>
      <c r="Q12" s="6" t="n">
        <v>67.3</v>
      </c>
      <c r="R12" s="6" t="n">
        <v>83</v>
      </c>
      <c r="S12" s="6" t="n">
        <v>100.7</v>
      </c>
      <c r="T12" s="6" t="n">
        <v>120.7</v>
      </c>
      <c r="U12" s="6" t="n">
        <v>151.4</v>
      </c>
      <c r="V12" s="6" t="n">
        <v>178.2</v>
      </c>
      <c r="W12" s="6" t="n">
        <v>208.6</v>
      </c>
      <c r="X12" s="6" t="n">
        <v>255.1</v>
      </c>
      <c r="Y12" s="6" t="n">
        <v>295.8</v>
      </c>
    </row>
    <row r="13">
      <c r="A13" s="2" t="inlineStr">
        <is>
          <t>AMS AFTER gap filling (mm)  -  yellow = added or changed by gap filling</t>
        </is>
      </c>
      <c r="M13" s="6" t="inlineStr">
        <is>
          <t>12h</t>
        </is>
      </c>
      <c r="N13" s="6" t="n">
        <v>23.9</v>
      </c>
      <c r="O13" s="6" t="n">
        <v>42.5</v>
      </c>
      <c r="P13" s="6" t="n">
        <v>57.3</v>
      </c>
      <c r="Q13" s="6" t="n">
        <v>79.5</v>
      </c>
      <c r="R13" s="6" t="n">
        <v>98.90000000000001</v>
      </c>
      <c r="S13" s="6" t="n">
        <v>121.1</v>
      </c>
      <c r="T13" s="6" t="n">
        <v>146.4</v>
      </c>
      <c r="U13" s="6" t="n">
        <v>185.8</v>
      </c>
      <c r="V13" s="6" t="n">
        <v>220.8</v>
      </c>
      <c r="W13" s="6" t="n">
        <v>260.9</v>
      </c>
      <c r="X13" s="6" t="n">
        <v>323.3</v>
      </c>
      <c r="Y13" s="6" t="n">
        <v>378.7</v>
      </c>
    </row>
    <row r="14">
      <c r="A14" s="4" t="inlineStr">
        <is>
          <t>Water year</t>
        </is>
      </c>
      <c r="B14" s="5" t="inlineStr">
        <is>
          <t>5min</t>
        </is>
      </c>
      <c r="C14" s="5" t="inlineStr">
        <is>
          <t>10min</t>
        </is>
      </c>
      <c r="D14" s="5" t="inlineStr">
        <is>
          <t>15min</t>
        </is>
      </c>
      <c r="E14" s="5" t="inlineStr">
        <is>
          <t>30min</t>
        </is>
      </c>
      <c r="F14" s="5" t="inlineStr">
        <is>
          <t>1h</t>
        </is>
      </c>
      <c r="G14" s="5" t="inlineStr">
        <is>
          <t>2h</t>
        </is>
      </c>
      <c r="H14" s="5" t="inlineStr">
        <is>
          <t>3h</t>
        </is>
      </c>
      <c r="I14" s="5" t="inlineStr">
        <is>
          <t>6h</t>
        </is>
      </c>
      <c r="J14" s="5" t="inlineStr">
        <is>
          <t>12h</t>
        </is>
      </c>
      <c r="K14" s="5" t="inlineStr">
        <is>
          <t>24h</t>
        </is>
      </c>
      <c r="M14" s="6" t="inlineStr">
        <is>
          <t>24h</t>
        </is>
      </c>
      <c r="N14" s="6" t="n">
        <v>27.7</v>
      </c>
      <c r="O14" s="6" t="n">
        <v>50</v>
      </c>
      <c r="P14" s="6" t="n">
        <v>68</v>
      </c>
      <c r="Q14" s="6" t="n">
        <v>95.40000000000001</v>
      </c>
      <c r="R14" s="6" t="n">
        <v>119.7</v>
      </c>
      <c r="S14" s="6" t="n">
        <v>147.7</v>
      </c>
      <c r="T14" s="6" t="n">
        <v>180.1</v>
      </c>
      <c r="U14" s="6" t="n">
        <v>231.1</v>
      </c>
      <c r="V14" s="6" t="n">
        <v>276.8</v>
      </c>
      <c r="W14" s="6" t="n">
        <v>329.9</v>
      </c>
      <c r="X14" s="6" t="n">
        <v>413.4</v>
      </c>
      <c r="Y14" s="6" t="n">
        <v>488.5</v>
      </c>
    </row>
    <row r="15">
      <c r="A15" s="6" t="n">
        <v>2016</v>
      </c>
      <c r="B15" s="7" t="n">
        <v>1.4</v>
      </c>
      <c r="C15" s="7" t="n">
        <v>2.4</v>
      </c>
      <c r="D15" s="7" t="n">
        <v>2.4</v>
      </c>
      <c r="E15" s="7" t="n">
        <v>2.4</v>
      </c>
      <c r="F15" s="7" t="n">
        <v>2.4</v>
      </c>
      <c r="G15" s="7" t="n">
        <v>2.4</v>
      </c>
      <c r="H15" s="7" t="n">
        <v>2.4</v>
      </c>
      <c r="I15" s="7" t="n">
        <v>2.4</v>
      </c>
      <c r="J15" s="7" t="n">
        <v>2.4</v>
      </c>
      <c r="K15" s="7" t="n">
        <v>2.4</v>
      </c>
    </row>
    <row r="16">
      <c r="A16" s="6" t="n">
        <v>2017</v>
      </c>
      <c r="B16" s="7" t="n">
        <v>7.8</v>
      </c>
      <c r="C16" s="7" t="n">
        <v>15.6</v>
      </c>
      <c r="D16" s="7" t="n">
        <v>18.2</v>
      </c>
      <c r="E16" s="7" t="n">
        <v>19.8</v>
      </c>
      <c r="F16" s="7" t="n">
        <v>20</v>
      </c>
      <c r="G16" s="7" t="n">
        <v>20.1</v>
      </c>
      <c r="H16" s="7" t="n">
        <v>20.2</v>
      </c>
      <c r="I16" s="7" t="n">
        <v>22.4</v>
      </c>
      <c r="J16" s="7" t="n">
        <v>22.6</v>
      </c>
      <c r="K16" s="7" t="n">
        <v>22.6</v>
      </c>
      <c r="M16" s="3" t="inlineStr">
        <is>
          <t>IDF - intensity (mm/hr) [x=duration(min)]</t>
        </is>
      </c>
    </row>
    <row r="17">
      <c r="A17" s="6" t="n">
        <v>2019</v>
      </c>
      <c r="B17" s="7" t="n">
        <v>6.6</v>
      </c>
      <c r="C17" s="7" t="n">
        <v>6.6</v>
      </c>
      <c r="D17" s="7" t="n">
        <v>6.6</v>
      </c>
      <c r="E17" s="7" t="n">
        <v>6.6</v>
      </c>
      <c r="F17" s="7" t="n">
        <v>6.6</v>
      </c>
      <c r="G17" s="7" t="n">
        <v>6.6</v>
      </c>
      <c r="H17" s="7" t="n">
        <v>6.6</v>
      </c>
      <c r="I17" s="7" t="n">
        <v>6.6</v>
      </c>
      <c r="J17" s="7" t="n">
        <v>6.6</v>
      </c>
      <c r="K17" s="7" t="n">
        <v>6.6</v>
      </c>
      <c r="M17" t="inlineStr">
        <is>
          <t>Duration(min)</t>
        </is>
      </c>
      <c r="N17" t="inlineStr">
        <is>
          <t>2 yr</t>
        </is>
      </c>
      <c r="O17" t="inlineStr">
        <is>
          <t>5 yr</t>
        </is>
      </c>
      <c r="P17" t="inlineStr">
        <is>
          <t>10 yr</t>
        </is>
      </c>
      <c r="Q17" t="inlineStr">
        <is>
          <t>25 yr</t>
        </is>
      </c>
      <c r="R17" t="inlineStr">
        <is>
          <t>50 yr</t>
        </is>
      </c>
      <c r="S17" t="inlineStr">
        <is>
          <t>100 yr</t>
        </is>
      </c>
      <c r="T17" t="inlineStr">
        <is>
          <t>200 yr</t>
        </is>
      </c>
      <c r="U17" t="inlineStr">
        <is>
          <t>500 yr</t>
        </is>
      </c>
      <c r="V17" t="inlineStr">
        <is>
          <t>1000 yr</t>
        </is>
      </c>
      <c r="W17" t="inlineStr">
        <is>
          <t>2000 yr</t>
        </is>
      </c>
      <c r="X17" t="inlineStr">
        <is>
          <t>5000 yr</t>
        </is>
      </c>
      <c r="Y17" t="inlineStr">
        <is>
          <t>10000 yr</t>
        </is>
      </c>
    </row>
    <row r="18">
      <c r="A18" s="6" t="n">
        <v>2020</v>
      </c>
      <c r="B18" s="7" t="n">
        <v>3.6</v>
      </c>
      <c r="C18" s="7" t="n">
        <v>7</v>
      </c>
      <c r="D18" s="7" t="n">
        <v>9</v>
      </c>
      <c r="E18" s="7" t="n">
        <v>12.6</v>
      </c>
      <c r="F18" s="7" t="n">
        <v>14.5</v>
      </c>
      <c r="G18" s="7" t="n">
        <v>15.1</v>
      </c>
      <c r="H18" s="7" t="n">
        <v>16.3</v>
      </c>
      <c r="I18" s="7" t="n">
        <v>30.1</v>
      </c>
      <c r="J18" s="7" t="n">
        <v>35.6</v>
      </c>
      <c r="K18" s="7" t="n">
        <v>35.8</v>
      </c>
      <c r="M18" t="n">
        <v>5</v>
      </c>
      <c r="N18" t="n">
        <v>50.7</v>
      </c>
      <c r="O18" t="n">
        <v>86.59999999999999</v>
      </c>
      <c r="P18" t="n">
        <v>116.1</v>
      </c>
      <c r="Q18" t="n">
        <v>161.5</v>
      </c>
      <c r="R18" t="n">
        <v>202.2</v>
      </c>
      <c r="S18" t="n">
        <v>249.8</v>
      </c>
      <c r="T18" t="n">
        <v>305.5</v>
      </c>
      <c r="U18" t="n">
        <v>394.3</v>
      </c>
      <c r="V18" t="n">
        <v>475</v>
      </c>
      <c r="W18" t="n">
        <v>569.9</v>
      </c>
      <c r="X18" t="n">
        <v>721</v>
      </c>
      <c r="Y18" t="n">
        <v>858.7</v>
      </c>
    </row>
    <row r="19">
      <c r="A19" s="6" t="n">
        <v>2021</v>
      </c>
      <c r="B19" s="7" t="n">
        <v>7.6</v>
      </c>
      <c r="C19" s="7" t="n">
        <v>9.800000000000001</v>
      </c>
      <c r="D19" s="7" t="n">
        <v>11.6</v>
      </c>
      <c r="E19" s="7" t="n">
        <v>13</v>
      </c>
      <c r="F19" s="7" t="n">
        <v>13</v>
      </c>
      <c r="G19" s="7" t="n">
        <v>13.1</v>
      </c>
      <c r="H19" s="7" t="n">
        <v>13.2</v>
      </c>
      <c r="I19" s="7" t="n">
        <v>13.3</v>
      </c>
      <c r="J19" s="7" t="n">
        <v>13.4</v>
      </c>
      <c r="K19" s="7" t="n">
        <v>13.5</v>
      </c>
      <c r="M19" t="n">
        <v>10</v>
      </c>
      <c r="N19" t="n">
        <v>40.9</v>
      </c>
      <c r="O19" t="n">
        <v>71.5</v>
      </c>
      <c r="P19" t="n">
        <v>97</v>
      </c>
      <c r="Q19" t="n">
        <v>136.6</v>
      </c>
      <c r="R19" t="n">
        <v>172.5</v>
      </c>
      <c r="S19" t="n">
        <v>214.7</v>
      </c>
      <c r="T19" t="n">
        <v>264.6</v>
      </c>
      <c r="U19" t="n">
        <v>344.6</v>
      </c>
      <c r="V19" t="n">
        <v>418.1</v>
      </c>
      <c r="W19" t="n">
        <v>505.1</v>
      </c>
      <c r="X19" t="n">
        <v>645</v>
      </c>
      <c r="Y19" t="n">
        <v>773.6</v>
      </c>
    </row>
    <row r="20">
      <c r="A20" s="6" t="n">
        <v>2022</v>
      </c>
      <c r="B20" s="7" t="n">
        <v>4.6</v>
      </c>
      <c r="C20" s="7" t="n">
        <v>8.6</v>
      </c>
      <c r="D20" s="7" t="n">
        <v>10.2</v>
      </c>
      <c r="E20" s="7" t="n">
        <v>16.4</v>
      </c>
      <c r="F20" s="7" t="n">
        <v>28.8</v>
      </c>
      <c r="G20" s="7" t="n">
        <v>41.6</v>
      </c>
      <c r="H20" s="7" t="n">
        <v>52.8</v>
      </c>
      <c r="I20" s="7" t="n">
        <v>80</v>
      </c>
      <c r="J20" s="7" t="n">
        <v>125.6</v>
      </c>
      <c r="K20" s="7" t="n">
        <v>193.3</v>
      </c>
      <c r="M20" t="n">
        <v>15</v>
      </c>
      <c r="N20" t="n">
        <v>34</v>
      </c>
      <c r="O20" t="n">
        <v>59.9</v>
      </c>
      <c r="P20" t="n">
        <v>81.7</v>
      </c>
      <c r="Q20" t="n">
        <v>115.8</v>
      </c>
      <c r="R20" t="n">
        <v>146.9</v>
      </c>
      <c r="S20" t="n">
        <v>183.7</v>
      </c>
      <c r="T20" t="n">
        <v>227.5</v>
      </c>
      <c r="U20" t="n">
        <v>298.4</v>
      </c>
      <c r="V20" t="n">
        <v>364.1</v>
      </c>
      <c r="W20" t="n">
        <v>442.2</v>
      </c>
      <c r="X20" t="n">
        <v>568.9</v>
      </c>
      <c r="Y20" t="n">
        <v>686.2</v>
      </c>
    </row>
    <row r="21">
      <c r="M21" t="n">
        <v>30</v>
      </c>
      <c r="N21" t="n">
        <v>23.3</v>
      </c>
      <c r="O21" t="n">
        <v>41.3</v>
      </c>
      <c r="P21" t="n">
        <v>55.7</v>
      </c>
      <c r="Q21" t="n">
        <v>77.3</v>
      </c>
      <c r="R21" t="n">
        <v>96.2</v>
      </c>
      <c r="S21" t="n">
        <v>118</v>
      </c>
      <c r="T21" t="n">
        <v>142.9</v>
      </c>
      <c r="U21" t="n">
        <v>181.8</v>
      </c>
      <c r="V21" t="n">
        <v>216.3</v>
      </c>
      <c r="W21" t="n">
        <v>256.2</v>
      </c>
      <c r="X21" t="n">
        <v>318.2</v>
      </c>
      <c r="Y21" t="n">
        <v>373.6</v>
      </c>
    </row>
    <row r="22">
      <c r="M22" t="n">
        <v>60</v>
      </c>
      <c r="N22" t="n">
        <v>13.9</v>
      </c>
      <c r="O22" t="n">
        <v>24.3</v>
      </c>
      <c r="P22" t="n">
        <v>32.4</v>
      </c>
      <c r="Q22" t="n">
        <v>44.4</v>
      </c>
      <c r="R22" t="n">
        <v>54.7</v>
      </c>
      <c r="S22" t="n">
        <v>66.40000000000001</v>
      </c>
      <c r="T22" t="n">
        <v>79.5</v>
      </c>
      <c r="U22" t="n">
        <v>99.59999999999999</v>
      </c>
      <c r="V22" t="n">
        <v>117.2</v>
      </c>
      <c r="W22" t="n">
        <v>137.1</v>
      </c>
      <c r="X22" t="n">
        <v>167.6</v>
      </c>
      <c r="Y22" t="n">
        <v>194.2</v>
      </c>
    </row>
    <row r="23">
      <c r="M23" t="n">
        <v>120</v>
      </c>
      <c r="N23" t="n">
        <v>8.4</v>
      </c>
      <c r="O23" t="n">
        <v>14.6</v>
      </c>
      <c r="P23" t="n">
        <v>19.3</v>
      </c>
      <c r="Q23" t="n">
        <v>26.1</v>
      </c>
      <c r="R23" t="n">
        <v>31.8</v>
      </c>
      <c r="S23" t="n">
        <v>38</v>
      </c>
      <c r="T23" t="n">
        <v>45</v>
      </c>
      <c r="U23" t="n">
        <v>55.4</v>
      </c>
      <c r="V23" t="n">
        <v>64.2</v>
      </c>
      <c r="W23" t="n">
        <v>74.09999999999999</v>
      </c>
      <c r="X23" t="n">
        <v>88.8</v>
      </c>
      <c r="Y23" t="n">
        <v>101.3</v>
      </c>
    </row>
    <row r="24">
      <c r="M24" t="n">
        <v>180</v>
      </c>
      <c r="N24" t="n">
        <v>6.1</v>
      </c>
      <c r="O24" t="n">
        <v>10.6</v>
      </c>
      <c r="P24" t="n">
        <v>14</v>
      </c>
      <c r="Q24" t="n">
        <v>19</v>
      </c>
      <c r="R24" t="n">
        <v>23.2</v>
      </c>
      <c r="S24" t="n">
        <v>27.8</v>
      </c>
      <c r="T24" t="n">
        <v>32.9</v>
      </c>
      <c r="U24" t="n">
        <v>40.5</v>
      </c>
      <c r="V24" t="n">
        <v>47.1</v>
      </c>
      <c r="W24" t="n">
        <v>54.3</v>
      </c>
      <c r="X24" t="n">
        <v>65.2</v>
      </c>
      <c r="Y24" t="n">
        <v>74.5</v>
      </c>
    </row>
    <row r="25">
      <c r="M25" t="n">
        <v>360</v>
      </c>
      <c r="N25" t="n">
        <v>3.5</v>
      </c>
      <c r="O25" t="n">
        <v>6.1</v>
      </c>
      <c r="P25" t="n">
        <v>8.199999999999999</v>
      </c>
      <c r="Q25" t="n">
        <v>11.2</v>
      </c>
      <c r="R25" t="n">
        <v>13.8</v>
      </c>
      <c r="S25" t="n">
        <v>16.8</v>
      </c>
      <c r="T25" t="n">
        <v>20.1</v>
      </c>
      <c r="U25" t="n">
        <v>25.2</v>
      </c>
      <c r="V25" t="n">
        <v>29.7</v>
      </c>
      <c r="W25" t="n">
        <v>34.8</v>
      </c>
      <c r="X25" t="n">
        <v>42.5</v>
      </c>
      <c r="Y25" t="n">
        <v>49.3</v>
      </c>
    </row>
    <row r="26">
      <c r="M26" t="n">
        <v>720</v>
      </c>
      <c r="N26" t="n">
        <v>2</v>
      </c>
      <c r="O26" t="n">
        <v>3.5</v>
      </c>
      <c r="P26" t="n">
        <v>4.8</v>
      </c>
      <c r="Q26" t="n">
        <v>6.6</v>
      </c>
      <c r="R26" t="n">
        <v>8.199999999999999</v>
      </c>
      <c r="S26" t="n">
        <v>10.1</v>
      </c>
      <c r="T26" t="n">
        <v>12.2</v>
      </c>
      <c r="U26" t="n">
        <v>15.5</v>
      </c>
      <c r="V26" t="n">
        <v>18.4</v>
      </c>
      <c r="W26" t="n">
        <v>21.7</v>
      </c>
      <c r="X26" t="n">
        <v>26.9</v>
      </c>
      <c r="Y26" t="n">
        <v>31.6</v>
      </c>
    </row>
    <row r="27">
      <c r="M27" t="n">
        <v>1440</v>
      </c>
      <c r="N27" t="n">
        <v>1.2</v>
      </c>
      <c r="O27" t="n">
        <v>2.1</v>
      </c>
      <c r="P27" t="n">
        <v>2.8</v>
      </c>
      <c r="Q27" t="n">
        <v>4</v>
      </c>
      <c r="R27" t="n">
        <v>5</v>
      </c>
      <c r="S27" t="n">
        <v>6.2</v>
      </c>
      <c r="T27" t="n">
        <v>7.5</v>
      </c>
      <c r="U27" t="n">
        <v>9.6</v>
      </c>
      <c r="V27" t="n">
        <v>11.5</v>
      </c>
      <c r="W27" t="n">
        <v>13.7</v>
      </c>
      <c r="X27" t="n">
        <v>17.2</v>
      </c>
      <c r="Y27" t="n">
        <v>20.4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Y27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</cols>
  <sheetData>
    <row r="1">
      <c r="A1" s="1" t="inlineStr">
        <is>
          <t>Gauge 13  |  FM405394AF  |  Al Amerat at Bowshar Highland</t>
        </is>
      </c>
    </row>
    <row r="3">
      <c r="A3" s="2" t="inlineStr">
        <is>
          <t>AMS BEFORE gap filling (observed only, mm)</t>
        </is>
      </c>
      <c r="M3" s="3" t="inlineStr">
        <is>
          <t>IDF - design rainfall DEPTH (mm)</t>
        </is>
      </c>
    </row>
    <row r="4">
      <c r="A4" s="4" t="inlineStr">
        <is>
          <t>Water year</t>
        </is>
      </c>
      <c r="B4" s="5" t="inlineStr">
        <is>
          <t>5min</t>
        </is>
      </c>
      <c r="C4" s="5" t="inlineStr">
        <is>
          <t>10min</t>
        </is>
      </c>
      <c r="D4" s="5" t="inlineStr">
        <is>
          <t>15min</t>
        </is>
      </c>
      <c r="E4" s="5" t="inlineStr">
        <is>
          <t>30min</t>
        </is>
      </c>
      <c r="F4" s="5" t="inlineStr">
        <is>
          <t>1h</t>
        </is>
      </c>
      <c r="G4" s="5" t="inlineStr">
        <is>
          <t>2h</t>
        </is>
      </c>
      <c r="H4" s="5" t="inlineStr">
        <is>
          <t>3h</t>
        </is>
      </c>
      <c r="I4" s="5" t="inlineStr">
        <is>
          <t>6h</t>
        </is>
      </c>
      <c r="J4" s="5" t="inlineStr">
        <is>
          <t>12h</t>
        </is>
      </c>
      <c r="K4" s="5" t="inlineStr">
        <is>
          <t>24h</t>
        </is>
      </c>
      <c r="M4" s="4" t="inlineStr">
        <is>
          <t>Duration \ RP</t>
        </is>
      </c>
      <c r="N4" s="4" t="n">
        <v>2</v>
      </c>
      <c r="O4" s="4" t="n">
        <v>5</v>
      </c>
      <c r="P4" s="4" t="n">
        <v>10</v>
      </c>
      <c r="Q4" s="4" t="n">
        <v>25</v>
      </c>
      <c r="R4" s="4" t="n">
        <v>50</v>
      </c>
      <c r="S4" s="4" t="n">
        <v>100</v>
      </c>
      <c r="T4" s="4" t="n">
        <v>200</v>
      </c>
      <c r="U4" s="4" t="n">
        <v>500</v>
      </c>
      <c r="V4" s="4" t="n">
        <v>1000</v>
      </c>
      <c r="W4" s="4" t="n">
        <v>2000</v>
      </c>
      <c r="X4" s="4" t="n">
        <v>5000</v>
      </c>
      <c r="Y4" s="4" t="n">
        <v>10000</v>
      </c>
    </row>
    <row r="5">
      <c r="A5" s="6" t="n">
        <v>2016</v>
      </c>
      <c r="B5" s="7" t="n">
        <v>4.8</v>
      </c>
      <c r="C5" s="7" t="n">
        <v>5.4</v>
      </c>
      <c r="D5" s="7" t="n">
        <v>8.4</v>
      </c>
      <c r="E5" s="7" t="n">
        <v>9.1</v>
      </c>
      <c r="F5" s="7" t="n">
        <v>9.5</v>
      </c>
      <c r="G5" s="7" t="n">
        <v>10.3</v>
      </c>
      <c r="H5" s="7" t="n">
        <v>11</v>
      </c>
      <c r="I5" s="7" t="n">
        <v>11.6</v>
      </c>
      <c r="J5" s="7" t="n">
        <v>11.6</v>
      </c>
      <c r="K5" s="7" t="n">
        <v>11.6</v>
      </c>
      <c r="M5" s="6" t="inlineStr">
        <is>
          <t>5min</t>
        </is>
      </c>
      <c r="N5" s="6" t="n">
        <v>4.1</v>
      </c>
      <c r="O5" s="6" t="n">
        <v>6.8</v>
      </c>
      <c r="P5" s="6" t="n">
        <v>8.9</v>
      </c>
      <c r="Q5" s="6" t="n">
        <v>11.8</v>
      </c>
      <c r="R5" s="6" t="n">
        <v>14.2</v>
      </c>
      <c r="S5" s="6" t="n">
        <v>16.8</v>
      </c>
      <c r="T5" s="6" t="n">
        <v>19.6</v>
      </c>
      <c r="U5" s="6" t="n">
        <v>23.8</v>
      </c>
      <c r="V5" s="6" t="n">
        <v>27.3</v>
      </c>
      <c r="W5" s="6" t="n">
        <v>31.2</v>
      </c>
      <c r="X5" s="6" t="n">
        <v>36.9</v>
      </c>
      <c r="Y5" s="6" t="n">
        <v>41.6</v>
      </c>
    </row>
    <row r="6">
      <c r="A6" s="6" t="n">
        <v>2017</v>
      </c>
      <c r="B6" s="7" t="n">
        <v>5.2</v>
      </c>
      <c r="C6" s="7" t="n">
        <v>8</v>
      </c>
      <c r="D6" s="7" t="n">
        <v>10.4</v>
      </c>
      <c r="E6" s="7" t="n">
        <v>12</v>
      </c>
      <c r="F6" s="7" t="n">
        <v>12.3</v>
      </c>
      <c r="G6" s="7" t="n">
        <v>16</v>
      </c>
      <c r="H6" s="7" t="n">
        <v>17</v>
      </c>
      <c r="I6" s="7" t="n">
        <v>17</v>
      </c>
      <c r="J6" s="7" t="n">
        <v>17.2</v>
      </c>
      <c r="K6" s="7" t="n">
        <v>17.2</v>
      </c>
      <c r="M6" s="6" t="inlineStr">
        <is>
          <t>10min</t>
        </is>
      </c>
      <c r="N6" s="6" t="n">
        <v>6.5</v>
      </c>
      <c r="O6" s="6" t="n">
        <v>10.9</v>
      </c>
      <c r="P6" s="6" t="n">
        <v>14.3</v>
      </c>
      <c r="Q6" s="6" t="n">
        <v>19.3</v>
      </c>
      <c r="R6" s="6" t="n">
        <v>23.4</v>
      </c>
      <c r="S6" s="6" t="n">
        <v>28</v>
      </c>
      <c r="T6" s="6" t="n">
        <v>33.1</v>
      </c>
      <c r="U6" s="6" t="n">
        <v>40.7</v>
      </c>
      <c r="V6" s="6" t="n">
        <v>47.2</v>
      </c>
      <c r="W6" s="6" t="n">
        <v>54.5</v>
      </c>
      <c r="X6" s="6" t="n">
        <v>65.3</v>
      </c>
      <c r="Y6" s="6" t="n">
        <v>74.59999999999999</v>
      </c>
    </row>
    <row r="7">
      <c r="A7" s="6" t="n">
        <v>2018</v>
      </c>
      <c r="B7" s="7" t="n">
        <v>3.6</v>
      </c>
      <c r="C7" s="7" t="n">
        <v>6.4</v>
      </c>
      <c r="D7" s="7" t="n">
        <v>8.6</v>
      </c>
      <c r="E7" s="7" t="n">
        <v>9</v>
      </c>
      <c r="F7" s="7" t="n">
        <v>9</v>
      </c>
      <c r="G7" s="7" t="n">
        <v>14</v>
      </c>
      <c r="H7" s="7" t="n">
        <v>15.2</v>
      </c>
      <c r="I7" s="7" t="n">
        <v>15.5</v>
      </c>
      <c r="J7" s="7" t="n">
        <v>18.4</v>
      </c>
      <c r="K7" s="7" t="n">
        <v>24.3</v>
      </c>
      <c r="M7" s="6" t="inlineStr">
        <is>
          <t>15min</t>
        </is>
      </c>
      <c r="N7" s="6" t="n">
        <v>8</v>
      </c>
      <c r="O7" s="6" t="n">
        <v>13.8</v>
      </c>
      <c r="P7" s="6" t="n">
        <v>18.3</v>
      </c>
      <c r="Q7" s="6" t="n">
        <v>25</v>
      </c>
      <c r="R7" s="6" t="n">
        <v>30.8</v>
      </c>
      <c r="S7" s="6" t="n">
        <v>37.3</v>
      </c>
      <c r="T7" s="6" t="n">
        <v>44.6</v>
      </c>
      <c r="U7" s="6" t="n">
        <v>55.8</v>
      </c>
      <c r="V7" s="6" t="n">
        <v>65.5</v>
      </c>
      <c r="W7" s="6" t="n">
        <v>76.59999999999999</v>
      </c>
      <c r="X7" s="6" t="n">
        <v>93.40000000000001</v>
      </c>
      <c r="Y7" s="6" t="n">
        <v>108.1</v>
      </c>
    </row>
    <row r="8">
      <c r="A8" s="6" t="n">
        <v>2019</v>
      </c>
      <c r="B8" s="7" t="n">
        <v>12.2</v>
      </c>
      <c r="C8" s="7" t="n">
        <v>22.6</v>
      </c>
      <c r="D8" s="7" t="n">
        <v>34.6</v>
      </c>
      <c r="E8" s="7" t="n">
        <v>58.2</v>
      </c>
      <c r="F8" s="7" t="n">
        <v>76.40000000000001</v>
      </c>
      <c r="G8" s="7" t="n">
        <v>77.8</v>
      </c>
      <c r="H8" s="7" t="n">
        <v>77.8</v>
      </c>
      <c r="I8" s="7" t="n">
        <v>77.90000000000001</v>
      </c>
      <c r="J8" s="7" t="n">
        <v>78</v>
      </c>
      <c r="K8" s="7" t="n">
        <v>78.2</v>
      </c>
      <c r="M8" s="6" t="inlineStr">
        <is>
          <t>30min</t>
        </is>
      </c>
      <c r="N8" s="6" t="n">
        <v>10.6</v>
      </c>
      <c r="O8" s="6" t="n">
        <v>18.7</v>
      </c>
      <c r="P8" s="6" t="n">
        <v>24.9</v>
      </c>
      <c r="Q8" s="6" t="n">
        <v>33.9</v>
      </c>
      <c r="R8" s="6" t="n">
        <v>41.5</v>
      </c>
      <c r="S8" s="6" t="n">
        <v>49.8</v>
      </c>
      <c r="T8" s="6" t="n">
        <v>59.1</v>
      </c>
      <c r="U8" s="6" t="n">
        <v>73</v>
      </c>
      <c r="V8" s="6" t="n">
        <v>84.90000000000001</v>
      </c>
      <c r="W8" s="6" t="n">
        <v>98.2</v>
      </c>
      <c r="X8" s="6" t="n">
        <v>118</v>
      </c>
      <c r="Y8" s="6" t="n">
        <v>135.1</v>
      </c>
    </row>
    <row r="9">
      <c r="A9" s="6" t="n">
        <v>2020</v>
      </c>
      <c r="B9" s="7" t="n"/>
      <c r="C9" s="7" t="n"/>
      <c r="D9" s="7" t="n">
        <v>13.5</v>
      </c>
      <c r="E9" s="7" t="n">
        <v>20.6</v>
      </c>
      <c r="F9" s="7" t="n">
        <v>29</v>
      </c>
      <c r="G9" s="7" t="n">
        <v>34</v>
      </c>
      <c r="H9" s="7" t="n">
        <v>36.2</v>
      </c>
      <c r="I9" s="7" t="n">
        <v>38</v>
      </c>
      <c r="J9" s="7" t="n">
        <v>40.4</v>
      </c>
      <c r="K9" s="7" t="n">
        <v>64.40000000000001</v>
      </c>
      <c r="M9" s="6" t="inlineStr">
        <is>
          <t>1h</t>
        </is>
      </c>
      <c r="N9" s="6" t="n">
        <v>13.2</v>
      </c>
      <c r="O9" s="6" t="n">
        <v>23.3</v>
      </c>
      <c r="P9" s="6" t="n">
        <v>31.1</v>
      </c>
      <c r="Q9" s="6" t="n">
        <v>42.3</v>
      </c>
      <c r="R9" s="6" t="n">
        <v>51.7</v>
      </c>
      <c r="S9" s="6" t="n">
        <v>62.2</v>
      </c>
      <c r="T9" s="6" t="n">
        <v>73.8</v>
      </c>
      <c r="U9" s="6" t="n">
        <v>91.2</v>
      </c>
      <c r="V9" s="6" t="n">
        <v>106.2</v>
      </c>
      <c r="W9" s="6" t="n">
        <v>122.8</v>
      </c>
      <c r="X9" s="6" t="n">
        <v>147.7</v>
      </c>
      <c r="Y9" s="6" t="n">
        <v>169.1</v>
      </c>
    </row>
    <row r="10">
      <c r="M10" s="6" t="inlineStr">
        <is>
          <t>2h</t>
        </is>
      </c>
      <c r="N10" s="6" t="n">
        <v>15.1</v>
      </c>
      <c r="O10" s="6" t="n">
        <v>27.3</v>
      </c>
      <c r="P10" s="6" t="n">
        <v>36.9</v>
      </c>
      <c r="Q10" s="6" t="n">
        <v>51.4</v>
      </c>
      <c r="R10" s="6" t="n">
        <v>63.9</v>
      </c>
      <c r="S10" s="6" t="n">
        <v>78.3</v>
      </c>
      <c r="T10" s="6" t="n">
        <v>94.7</v>
      </c>
      <c r="U10" s="6" t="n">
        <v>120.1</v>
      </c>
      <c r="V10" s="6" t="n">
        <v>142.6</v>
      </c>
      <c r="W10" s="6" t="n">
        <v>168.4</v>
      </c>
      <c r="X10" s="6" t="n">
        <v>208.3</v>
      </c>
      <c r="Y10" s="6" t="n">
        <v>243.7</v>
      </c>
    </row>
    <row r="11">
      <c r="M11" s="6" t="inlineStr">
        <is>
          <t>3h</t>
        </is>
      </c>
      <c r="N11" s="6" t="n">
        <v>16.3</v>
      </c>
      <c r="O11" s="6" t="n">
        <v>29.6</v>
      </c>
      <c r="P11" s="6" t="n">
        <v>40.7</v>
      </c>
      <c r="Q11" s="6" t="n">
        <v>57.9</v>
      </c>
      <c r="R11" s="6" t="n">
        <v>73.5</v>
      </c>
      <c r="S11" s="6" t="n">
        <v>91.8</v>
      </c>
      <c r="T11" s="6" t="n">
        <v>113.5</v>
      </c>
      <c r="U11" s="6" t="n">
        <v>148.3</v>
      </c>
      <c r="V11" s="6" t="n">
        <v>180.2</v>
      </c>
      <c r="W11" s="6" t="n">
        <v>217.9</v>
      </c>
      <c r="X11" s="6" t="n">
        <v>278.7</v>
      </c>
      <c r="Y11" s="6" t="n">
        <v>334.5</v>
      </c>
    </row>
    <row r="12">
      <c r="A12" s="2" t="inlineStr">
        <is>
          <t>AMS AFTER gap filling (mm)  -  yellow = added or changed by gap filling</t>
        </is>
      </c>
      <c r="M12" s="6" t="inlineStr">
        <is>
          <t>6h</t>
        </is>
      </c>
      <c r="N12" s="6" t="n">
        <v>18.8</v>
      </c>
      <c r="O12" s="6" t="n">
        <v>34.9</v>
      </c>
      <c r="P12" s="6" t="n">
        <v>49.1</v>
      </c>
      <c r="Q12" s="6" t="n">
        <v>72.3</v>
      </c>
      <c r="R12" s="6" t="n">
        <v>94.5</v>
      </c>
      <c r="S12" s="6" t="n">
        <v>121.8</v>
      </c>
      <c r="T12" s="6" t="n">
        <v>155.5</v>
      </c>
      <c r="U12" s="6" t="n">
        <v>212.6</v>
      </c>
      <c r="V12" s="6" t="n">
        <v>267.7</v>
      </c>
      <c r="W12" s="6" t="n">
        <v>336</v>
      </c>
      <c r="X12" s="6" t="n">
        <v>451.6</v>
      </c>
      <c r="Y12" s="6" t="n">
        <v>563.5</v>
      </c>
    </row>
    <row r="13">
      <c r="A13" s="4" t="inlineStr">
        <is>
          <t>Water year</t>
        </is>
      </c>
      <c r="B13" s="5" t="inlineStr">
        <is>
          <t>5min</t>
        </is>
      </c>
      <c r="C13" s="5" t="inlineStr">
        <is>
          <t>10min</t>
        </is>
      </c>
      <c r="D13" s="5" t="inlineStr">
        <is>
          <t>15min</t>
        </is>
      </c>
      <c r="E13" s="5" t="inlineStr">
        <is>
          <t>30min</t>
        </is>
      </c>
      <c r="F13" s="5" t="inlineStr">
        <is>
          <t>1h</t>
        </is>
      </c>
      <c r="G13" s="5" t="inlineStr">
        <is>
          <t>2h</t>
        </is>
      </c>
      <c r="H13" s="5" t="inlineStr">
        <is>
          <t>3h</t>
        </is>
      </c>
      <c r="I13" s="5" t="inlineStr">
        <is>
          <t>6h</t>
        </is>
      </c>
      <c r="J13" s="5" t="inlineStr">
        <is>
          <t>12h</t>
        </is>
      </c>
      <c r="K13" s="5" t="inlineStr">
        <is>
          <t>24h</t>
        </is>
      </c>
      <c r="M13" s="6" t="inlineStr">
        <is>
          <t>12h</t>
        </is>
      </c>
      <c r="N13" s="6" t="n">
        <v>21.5</v>
      </c>
      <c r="O13" s="6" t="n">
        <v>40.3</v>
      </c>
      <c r="P13" s="6" t="n">
        <v>57.4</v>
      </c>
      <c r="Q13" s="6" t="n">
        <v>86.5</v>
      </c>
      <c r="R13" s="6" t="n">
        <v>115.2</v>
      </c>
      <c r="S13" s="6" t="n">
        <v>151.5</v>
      </c>
      <c r="T13" s="6" t="n">
        <v>197.4</v>
      </c>
      <c r="U13" s="6" t="n">
        <v>277.7</v>
      </c>
      <c r="V13" s="6" t="n">
        <v>357.8</v>
      </c>
      <c r="W13" s="6" t="n">
        <v>459.5</v>
      </c>
      <c r="X13" s="6" t="n">
        <v>637.4</v>
      </c>
      <c r="Y13" s="6" t="n">
        <v>814.8</v>
      </c>
    </row>
    <row r="14">
      <c r="A14" s="6" t="n">
        <v>2016</v>
      </c>
      <c r="B14" s="7" t="n">
        <v>4.8</v>
      </c>
      <c r="C14" s="7" t="n">
        <v>5.4</v>
      </c>
      <c r="D14" s="7" t="n">
        <v>8.4</v>
      </c>
      <c r="E14" s="7" t="n">
        <v>9.1</v>
      </c>
      <c r="F14" s="7" t="n">
        <v>9.5</v>
      </c>
      <c r="G14" s="7" t="n">
        <v>10.3</v>
      </c>
      <c r="H14" s="7" t="n">
        <v>11</v>
      </c>
      <c r="I14" s="7" t="n">
        <v>11.6</v>
      </c>
      <c r="J14" s="7" t="n">
        <v>11.6</v>
      </c>
      <c r="K14" s="7" t="n">
        <v>11.6</v>
      </c>
      <c r="M14" s="6" t="inlineStr">
        <is>
          <t>24h</t>
        </is>
      </c>
      <c r="N14" s="6" t="n">
        <v>27.9</v>
      </c>
      <c r="O14" s="6" t="n">
        <v>53.9</v>
      </c>
      <c r="P14" s="6" t="n">
        <v>77.59999999999999</v>
      </c>
      <c r="Q14" s="6" t="n">
        <v>117.7</v>
      </c>
      <c r="R14" s="6" t="n">
        <v>157.1</v>
      </c>
      <c r="S14" s="6" t="n">
        <v>206.8</v>
      </c>
      <c r="T14" s="6" t="n">
        <v>269.6</v>
      </c>
      <c r="U14" s="6" t="n">
        <v>378.9</v>
      </c>
      <c r="V14" s="6" t="n">
        <v>487.6</v>
      </c>
      <c r="W14" s="6" t="n">
        <v>625.3</v>
      </c>
      <c r="X14" s="6" t="n">
        <v>865.4</v>
      </c>
      <c r="Y14" s="6" t="n">
        <v>1104.1</v>
      </c>
    </row>
    <row r="15">
      <c r="A15" s="6" t="n">
        <v>2017</v>
      </c>
      <c r="B15" s="7" t="n">
        <v>5.2</v>
      </c>
      <c r="C15" s="7" t="n">
        <v>8</v>
      </c>
      <c r="D15" s="7" t="n">
        <v>10.4</v>
      </c>
      <c r="E15" s="7" t="n">
        <v>12</v>
      </c>
      <c r="F15" s="7" t="n">
        <v>12.3</v>
      </c>
      <c r="G15" s="7" t="n">
        <v>16</v>
      </c>
      <c r="H15" s="7" t="n">
        <v>17</v>
      </c>
      <c r="I15" s="7" t="n">
        <v>17</v>
      </c>
      <c r="J15" s="7" t="n">
        <v>17.2</v>
      </c>
      <c r="K15" s="7" t="n">
        <v>17.2</v>
      </c>
    </row>
    <row r="16">
      <c r="A16" s="6" t="n">
        <v>2018</v>
      </c>
      <c r="B16" s="7" t="n">
        <v>3.6</v>
      </c>
      <c r="C16" s="7" t="n">
        <v>6.4</v>
      </c>
      <c r="D16" s="7" t="n">
        <v>8.6</v>
      </c>
      <c r="E16" s="7" t="n">
        <v>9</v>
      </c>
      <c r="F16" s="7" t="n">
        <v>9</v>
      </c>
      <c r="G16" s="7" t="n">
        <v>14</v>
      </c>
      <c r="H16" s="7" t="n">
        <v>15.2</v>
      </c>
      <c r="I16" s="7" t="n">
        <v>15.5</v>
      </c>
      <c r="J16" s="7" t="n">
        <v>18.4</v>
      </c>
      <c r="K16" s="7" t="n">
        <v>24.3</v>
      </c>
      <c r="M16" s="3" t="inlineStr">
        <is>
          <t>IDF - intensity (mm/hr) [x=duration(min)]</t>
        </is>
      </c>
    </row>
    <row r="17">
      <c r="A17" s="6" t="n">
        <v>2019</v>
      </c>
      <c r="B17" s="7" t="n">
        <v>12.2</v>
      </c>
      <c r="C17" s="7" t="n">
        <v>22.6</v>
      </c>
      <c r="D17" s="7" t="n">
        <v>34.6</v>
      </c>
      <c r="E17" s="7" t="n">
        <v>58.2</v>
      </c>
      <c r="F17" s="7" t="n">
        <v>76.40000000000001</v>
      </c>
      <c r="G17" s="7" t="n">
        <v>77.8</v>
      </c>
      <c r="H17" s="7" t="n">
        <v>77.8</v>
      </c>
      <c r="I17" s="7" t="n">
        <v>77.90000000000001</v>
      </c>
      <c r="J17" s="7" t="n">
        <v>78</v>
      </c>
      <c r="K17" s="7" t="n">
        <v>78.2</v>
      </c>
      <c r="M17" t="inlineStr">
        <is>
          <t>Duration(min)</t>
        </is>
      </c>
      <c r="N17" t="inlineStr">
        <is>
          <t>2 yr</t>
        </is>
      </c>
      <c r="O17" t="inlineStr">
        <is>
          <t>5 yr</t>
        </is>
      </c>
      <c r="P17" t="inlineStr">
        <is>
          <t>10 yr</t>
        </is>
      </c>
      <c r="Q17" t="inlineStr">
        <is>
          <t>25 yr</t>
        </is>
      </c>
      <c r="R17" t="inlineStr">
        <is>
          <t>50 yr</t>
        </is>
      </c>
      <c r="S17" t="inlineStr">
        <is>
          <t>100 yr</t>
        </is>
      </c>
      <c r="T17" t="inlineStr">
        <is>
          <t>200 yr</t>
        </is>
      </c>
      <c r="U17" t="inlineStr">
        <is>
          <t>500 yr</t>
        </is>
      </c>
      <c r="V17" t="inlineStr">
        <is>
          <t>1000 yr</t>
        </is>
      </c>
      <c r="W17" t="inlineStr">
        <is>
          <t>2000 yr</t>
        </is>
      </c>
      <c r="X17" t="inlineStr">
        <is>
          <t>5000 yr</t>
        </is>
      </c>
      <c r="Y17" t="inlineStr">
        <is>
          <t>10000 yr</t>
        </is>
      </c>
    </row>
    <row r="18">
      <c r="A18" s="6" t="n">
        <v>2020</v>
      </c>
      <c r="B18" s="7" t="n"/>
      <c r="C18" s="7" t="n"/>
      <c r="D18" s="7" t="n">
        <v>13.5</v>
      </c>
      <c r="E18" s="7" t="n">
        <v>20.6</v>
      </c>
      <c r="F18" s="7" t="n">
        <v>29</v>
      </c>
      <c r="G18" s="7" t="n">
        <v>34</v>
      </c>
      <c r="H18" s="7" t="n">
        <v>36.2</v>
      </c>
      <c r="I18" s="7" t="n">
        <v>38</v>
      </c>
      <c r="J18" s="7" t="n">
        <v>40.4</v>
      </c>
      <c r="K18" s="7" t="n">
        <v>64.40000000000001</v>
      </c>
      <c r="M18" t="n">
        <v>5</v>
      </c>
      <c r="N18" t="n">
        <v>49.1</v>
      </c>
      <c r="O18" t="n">
        <v>82</v>
      </c>
      <c r="P18" t="n">
        <v>106.6</v>
      </c>
      <c r="Q18" t="n">
        <v>141.3</v>
      </c>
      <c r="R18" t="n">
        <v>170.1</v>
      </c>
      <c r="S18" t="n">
        <v>201.4</v>
      </c>
      <c r="T18" t="n">
        <v>235.6</v>
      </c>
      <c r="U18" t="n">
        <v>285.8</v>
      </c>
      <c r="V18" t="n">
        <v>328</v>
      </c>
      <c r="W18" t="n">
        <v>374.3</v>
      </c>
      <c r="X18" t="n">
        <v>442.3</v>
      </c>
      <c r="Y18" t="n">
        <v>499.5</v>
      </c>
    </row>
    <row r="19">
      <c r="M19" t="n">
        <v>10</v>
      </c>
      <c r="N19" t="n">
        <v>38.8</v>
      </c>
      <c r="O19" t="n">
        <v>65.59999999999999</v>
      </c>
      <c r="P19" t="n">
        <v>86.09999999999999</v>
      </c>
      <c r="Q19" t="n">
        <v>115.6</v>
      </c>
      <c r="R19" t="n">
        <v>140.5</v>
      </c>
      <c r="S19" t="n">
        <v>168.1</v>
      </c>
      <c r="T19" t="n">
        <v>198.6</v>
      </c>
      <c r="U19" t="n">
        <v>244.3</v>
      </c>
      <c r="V19" t="n">
        <v>283.4</v>
      </c>
      <c r="W19" t="n">
        <v>326.9</v>
      </c>
      <c r="X19" t="n">
        <v>392</v>
      </c>
      <c r="Y19" t="n">
        <v>447.8</v>
      </c>
    </row>
    <row r="20">
      <c r="M20" t="n">
        <v>15</v>
      </c>
      <c r="N20" t="n">
        <v>31.8</v>
      </c>
      <c r="O20" t="n">
        <v>55.1</v>
      </c>
      <c r="P20" t="n">
        <v>73.3</v>
      </c>
      <c r="Q20" t="n">
        <v>100.2</v>
      </c>
      <c r="R20" t="n">
        <v>123.2</v>
      </c>
      <c r="S20" t="n">
        <v>149.2</v>
      </c>
      <c r="T20" t="n">
        <v>178.5</v>
      </c>
      <c r="U20" t="n">
        <v>223.1</v>
      </c>
      <c r="V20" t="n">
        <v>262.1</v>
      </c>
      <c r="W20" t="n">
        <v>306.2</v>
      </c>
      <c r="X20" t="n">
        <v>373.6</v>
      </c>
      <c r="Y20" t="n">
        <v>432.4</v>
      </c>
    </row>
    <row r="21">
      <c r="M21" t="n">
        <v>30</v>
      </c>
      <c r="N21" t="n">
        <v>21.2</v>
      </c>
      <c r="O21" t="n">
        <v>37.4</v>
      </c>
      <c r="P21" t="n">
        <v>49.9</v>
      </c>
      <c r="Q21" t="n">
        <v>67.8</v>
      </c>
      <c r="R21" t="n">
        <v>82.90000000000001</v>
      </c>
      <c r="S21" t="n">
        <v>99.59999999999999</v>
      </c>
      <c r="T21" t="n">
        <v>118.2</v>
      </c>
      <c r="U21" t="n">
        <v>146</v>
      </c>
      <c r="V21" t="n">
        <v>169.8</v>
      </c>
      <c r="W21" t="n">
        <v>196.3</v>
      </c>
      <c r="X21" t="n">
        <v>236.1</v>
      </c>
      <c r="Y21" t="n">
        <v>270.1</v>
      </c>
    </row>
    <row r="22">
      <c r="M22" t="n">
        <v>60</v>
      </c>
      <c r="N22" t="n">
        <v>13.2</v>
      </c>
      <c r="O22" t="n">
        <v>23.3</v>
      </c>
      <c r="P22" t="n">
        <v>31.1</v>
      </c>
      <c r="Q22" t="n">
        <v>42.3</v>
      </c>
      <c r="R22" t="n">
        <v>51.7</v>
      </c>
      <c r="S22" t="n">
        <v>62.2</v>
      </c>
      <c r="T22" t="n">
        <v>73.8</v>
      </c>
      <c r="U22" t="n">
        <v>91.2</v>
      </c>
      <c r="V22" t="n">
        <v>106.2</v>
      </c>
      <c r="W22" t="n">
        <v>122.8</v>
      </c>
      <c r="X22" t="n">
        <v>147.7</v>
      </c>
      <c r="Y22" t="n">
        <v>169.1</v>
      </c>
    </row>
    <row r="23">
      <c r="M23" t="n">
        <v>120</v>
      </c>
      <c r="N23" t="n">
        <v>7.6</v>
      </c>
      <c r="O23" t="n">
        <v>13.6</v>
      </c>
      <c r="P23" t="n">
        <v>18.5</v>
      </c>
      <c r="Q23" t="n">
        <v>25.7</v>
      </c>
      <c r="R23" t="n">
        <v>32</v>
      </c>
      <c r="S23" t="n">
        <v>39.2</v>
      </c>
      <c r="T23" t="n">
        <v>47.4</v>
      </c>
      <c r="U23" t="n">
        <v>60.1</v>
      </c>
      <c r="V23" t="n">
        <v>71.3</v>
      </c>
      <c r="W23" t="n">
        <v>84.2</v>
      </c>
      <c r="X23" t="n">
        <v>104.2</v>
      </c>
      <c r="Y23" t="n">
        <v>121.8</v>
      </c>
    </row>
    <row r="24">
      <c r="M24" t="n">
        <v>180</v>
      </c>
      <c r="N24" t="n">
        <v>5.4</v>
      </c>
      <c r="O24" t="n">
        <v>9.9</v>
      </c>
      <c r="P24" t="n">
        <v>13.6</v>
      </c>
      <c r="Q24" t="n">
        <v>19.3</v>
      </c>
      <c r="R24" t="n">
        <v>24.5</v>
      </c>
      <c r="S24" t="n">
        <v>30.6</v>
      </c>
      <c r="T24" t="n">
        <v>37.8</v>
      </c>
      <c r="U24" t="n">
        <v>49.4</v>
      </c>
      <c r="V24" t="n">
        <v>60.1</v>
      </c>
      <c r="W24" t="n">
        <v>72.59999999999999</v>
      </c>
      <c r="X24" t="n">
        <v>92.90000000000001</v>
      </c>
      <c r="Y24" t="n">
        <v>111.5</v>
      </c>
    </row>
    <row r="25">
      <c r="M25" t="n">
        <v>360</v>
      </c>
      <c r="N25" t="n">
        <v>3.1</v>
      </c>
      <c r="O25" t="n">
        <v>5.8</v>
      </c>
      <c r="P25" t="n">
        <v>8.199999999999999</v>
      </c>
      <c r="Q25" t="n">
        <v>12</v>
      </c>
      <c r="R25" t="n">
        <v>15.7</v>
      </c>
      <c r="S25" t="n">
        <v>20.3</v>
      </c>
      <c r="T25" t="n">
        <v>25.9</v>
      </c>
      <c r="U25" t="n">
        <v>35.4</v>
      </c>
      <c r="V25" t="n">
        <v>44.6</v>
      </c>
      <c r="W25" t="n">
        <v>56</v>
      </c>
      <c r="X25" t="n">
        <v>75.3</v>
      </c>
      <c r="Y25" t="n">
        <v>93.90000000000001</v>
      </c>
    </row>
    <row r="26">
      <c r="M26" t="n">
        <v>720</v>
      </c>
      <c r="N26" t="n">
        <v>1.8</v>
      </c>
      <c r="O26" t="n">
        <v>3.4</v>
      </c>
      <c r="P26" t="n">
        <v>4.8</v>
      </c>
      <c r="Q26" t="n">
        <v>7.2</v>
      </c>
      <c r="R26" t="n">
        <v>9.6</v>
      </c>
      <c r="S26" t="n">
        <v>12.6</v>
      </c>
      <c r="T26" t="n">
        <v>16.5</v>
      </c>
      <c r="U26" t="n">
        <v>23.1</v>
      </c>
      <c r="V26" t="n">
        <v>29.8</v>
      </c>
      <c r="W26" t="n">
        <v>38.3</v>
      </c>
      <c r="X26" t="n">
        <v>53.1</v>
      </c>
      <c r="Y26" t="n">
        <v>67.90000000000001</v>
      </c>
    </row>
    <row r="27">
      <c r="M27" t="n">
        <v>1440</v>
      </c>
      <c r="N27" t="n">
        <v>1.2</v>
      </c>
      <c r="O27" t="n">
        <v>2.2</v>
      </c>
      <c r="P27" t="n">
        <v>3.2</v>
      </c>
      <c r="Q27" t="n">
        <v>4.9</v>
      </c>
      <c r="R27" t="n">
        <v>6.5</v>
      </c>
      <c r="S27" t="n">
        <v>8.6</v>
      </c>
      <c r="T27" t="n">
        <v>11.2</v>
      </c>
      <c r="U27" t="n">
        <v>15.8</v>
      </c>
      <c r="V27" t="n">
        <v>20.3</v>
      </c>
      <c r="W27" t="n">
        <v>26.1</v>
      </c>
      <c r="X27" t="n">
        <v>36.1</v>
      </c>
      <c r="Y27" t="n">
        <v>46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70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</cols>
  <sheetData>
    <row r="1">
      <c r="A1" s="1" t="inlineStr">
        <is>
          <t>Gauge 14  |  FM505467AF  |  WADI ADAY NEAR BAJARIYAH</t>
        </is>
      </c>
    </row>
    <row r="3">
      <c r="A3" s="2" t="inlineStr">
        <is>
          <t>AMS BEFORE gap filling (observed only, mm)</t>
        </is>
      </c>
      <c r="M3" s="3" t="inlineStr">
        <is>
          <t>IDF - design rainfall DEPTH (mm)</t>
        </is>
      </c>
    </row>
    <row r="4">
      <c r="A4" s="4" t="inlineStr">
        <is>
          <t>Water year</t>
        </is>
      </c>
      <c r="B4" s="5" t="inlineStr">
        <is>
          <t>5min</t>
        </is>
      </c>
      <c r="C4" s="5" t="inlineStr">
        <is>
          <t>10min</t>
        </is>
      </c>
      <c r="D4" s="5" t="inlineStr">
        <is>
          <t>15min</t>
        </is>
      </c>
      <c r="E4" s="5" t="inlineStr">
        <is>
          <t>30min</t>
        </is>
      </c>
      <c r="F4" s="5" t="inlineStr">
        <is>
          <t>1h</t>
        </is>
      </c>
      <c r="G4" s="5" t="inlineStr">
        <is>
          <t>2h</t>
        </is>
      </c>
      <c r="H4" s="5" t="inlineStr">
        <is>
          <t>3h</t>
        </is>
      </c>
      <c r="I4" s="5" t="inlineStr">
        <is>
          <t>6h</t>
        </is>
      </c>
      <c r="J4" s="5" t="inlineStr">
        <is>
          <t>12h</t>
        </is>
      </c>
      <c r="K4" s="5" t="inlineStr">
        <is>
          <t>24h</t>
        </is>
      </c>
      <c r="M4" s="4" t="inlineStr">
        <is>
          <t>Duration \ RP</t>
        </is>
      </c>
      <c r="N4" s="4" t="n">
        <v>2</v>
      </c>
      <c r="O4" s="4" t="n">
        <v>5</v>
      </c>
      <c r="P4" s="4" t="n">
        <v>10</v>
      </c>
      <c r="Q4" s="4" t="n">
        <v>25</v>
      </c>
      <c r="R4" s="4" t="n">
        <v>50</v>
      </c>
      <c r="S4" s="4" t="n">
        <v>100</v>
      </c>
      <c r="T4" s="4" t="n">
        <v>200</v>
      </c>
      <c r="U4" s="4" t="n">
        <v>500</v>
      </c>
      <c r="V4" s="4" t="n">
        <v>1000</v>
      </c>
      <c r="W4" s="4" t="n">
        <v>2000</v>
      </c>
      <c r="X4" s="4" t="n">
        <v>5000</v>
      </c>
      <c r="Y4" s="4" t="n">
        <v>10000</v>
      </c>
    </row>
    <row r="5">
      <c r="A5" s="6" t="n">
        <v>1987</v>
      </c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>
        <v>41</v>
      </c>
      <c r="M5" s="6" t="inlineStr">
        <is>
          <t>5min</t>
        </is>
      </c>
      <c r="N5" s="6" t="n">
        <v>4</v>
      </c>
      <c r="O5" s="6" t="n">
        <v>6.6</v>
      </c>
      <c r="P5" s="6" t="n">
        <v>8.6</v>
      </c>
      <c r="Q5" s="6" t="n">
        <v>11.3</v>
      </c>
      <c r="R5" s="6" t="n">
        <v>13.4</v>
      </c>
      <c r="S5" s="6" t="n">
        <v>15.8</v>
      </c>
      <c r="T5" s="6" t="n">
        <v>18.3</v>
      </c>
      <c r="U5" s="6" t="n">
        <v>21.9</v>
      </c>
      <c r="V5" s="6" t="n">
        <v>24.9</v>
      </c>
      <c r="W5" s="6" t="n">
        <v>28.2</v>
      </c>
      <c r="X5" s="6" t="n">
        <v>32.8</v>
      </c>
      <c r="Y5" s="6" t="n">
        <v>36.7</v>
      </c>
    </row>
    <row r="6">
      <c r="A6" s="6" t="n">
        <v>1988</v>
      </c>
      <c r="B6" s="7" t="n"/>
      <c r="C6" s="7" t="n"/>
      <c r="D6" s="7" t="n"/>
      <c r="E6" s="7" t="n"/>
      <c r="F6" s="7" t="n"/>
      <c r="G6" s="7" t="n"/>
      <c r="H6" s="7" t="n"/>
      <c r="I6" s="7" t="n"/>
      <c r="J6" s="7" t="n"/>
      <c r="K6" s="7" t="n">
        <v>15</v>
      </c>
      <c r="M6" s="6" t="inlineStr">
        <is>
          <t>10min</t>
        </is>
      </c>
      <c r="N6" s="6" t="n">
        <v>6.4</v>
      </c>
      <c r="O6" s="6" t="n">
        <v>10.6</v>
      </c>
      <c r="P6" s="6" t="n">
        <v>13.8</v>
      </c>
      <c r="Q6" s="6" t="n">
        <v>18.3</v>
      </c>
      <c r="R6" s="6" t="n">
        <v>22</v>
      </c>
      <c r="S6" s="6" t="n">
        <v>26</v>
      </c>
      <c r="T6" s="6" t="n">
        <v>30.4</v>
      </c>
      <c r="U6" s="6" t="n">
        <v>36.9</v>
      </c>
      <c r="V6" s="6" t="n">
        <v>42.3</v>
      </c>
      <c r="W6" s="6" t="n">
        <v>48.2</v>
      </c>
      <c r="X6" s="6" t="n">
        <v>56.9</v>
      </c>
      <c r="Y6" s="6" t="n">
        <v>64.2</v>
      </c>
    </row>
    <row r="7">
      <c r="A7" s="6" t="n">
        <v>1989</v>
      </c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>
        <v>22.5</v>
      </c>
      <c r="M7" s="6" t="inlineStr">
        <is>
          <t>15min</t>
        </is>
      </c>
      <c r="N7" s="6" t="n">
        <v>7.9</v>
      </c>
      <c r="O7" s="6" t="n">
        <v>13.4</v>
      </c>
      <c r="P7" s="6" t="n">
        <v>17.7</v>
      </c>
      <c r="Q7" s="6" t="n">
        <v>24</v>
      </c>
      <c r="R7" s="6" t="n">
        <v>29.2</v>
      </c>
      <c r="S7" s="6" t="n">
        <v>35</v>
      </c>
      <c r="T7" s="6" t="n">
        <v>41.5</v>
      </c>
      <c r="U7" s="6" t="n">
        <v>51.2</v>
      </c>
      <c r="V7" s="6" t="n">
        <v>59.5</v>
      </c>
      <c r="W7" s="6" t="n">
        <v>68.8</v>
      </c>
      <c r="X7" s="6" t="n">
        <v>82.7</v>
      </c>
      <c r="Y7" s="6" t="n">
        <v>94.7</v>
      </c>
    </row>
    <row r="8">
      <c r="A8" s="6" t="n">
        <v>1990</v>
      </c>
      <c r="B8" s="7" t="n"/>
      <c r="C8" s="7" t="n"/>
      <c r="D8" s="7" t="n"/>
      <c r="E8" s="7" t="n"/>
      <c r="F8" s="7" t="n"/>
      <c r="G8" s="7" t="n"/>
      <c r="H8" s="7" t="n"/>
      <c r="I8" s="7" t="n"/>
      <c r="J8" s="7" t="n"/>
      <c r="K8" s="7" t="n">
        <v>26</v>
      </c>
      <c r="M8" s="6" t="inlineStr">
        <is>
          <t>30min</t>
        </is>
      </c>
      <c r="N8" s="6" t="n">
        <v>10.5</v>
      </c>
      <c r="O8" s="6" t="n">
        <v>18.4</v>
      </c>
      <c r="P8" s="6" t="n">
        <v>24.3</v>
      </c>
      <c r="Q8" s="6" t="n">
        <v>32.7</v>
      </c>
      <c r="R8" s="6" t="n">
        <v>39.6</v>
      </c>
      <c r="S8" s="6" t="n">
        <v>47.2</v>
      </c>
      <c r="T8" s="6" t="n">
        <v>55.6</v>
      </c>
      <c r="U8" s="6" t="n">
        <v>67.8</v>
      </c>
      <c r="V8" s="6" t="n">
        <v>78.09999999999999</v>
      </c>
      <c r="W8" s="6" t="n">
        <v>89.5</v>
      </c>
      <c r="X8" s="6" t="n">
        <v>106.2</v>
      </c>
      <c r="Y8" s="6" t="n">
        <v>120.3</v>
      </c>
    </row>
    <row r="9">
      <c r="A9" s="6" t="n">
        <v>1991</v>
      </c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>
        <v>22.5</v>
      </c>
      <c r="M9" s="6" t="inlineStr">
        <is>
          <t>1h</t>
        </is>
      </c>
      <c r="N9" s="6" t="n">
        <v>13.1</v>
      </c>
      <c r="O9" s="6" t="n">
        <v>23</v>
      </c>
      <c r="P9" s="6" t="n">
        <v>30.4</v>
      </c>
      <c r="Q9" s="6" t="n">
        <v>40.9</v>
      </c>
      <c r="R9" s="6" t="n">
        <v>49.7</v>
      </c>
      <c r="S9" s="6" t="n">
        <v>59.2</v>
      </c>
      <c r="T9" s="6" t="n">
        <v>69.7</v>
      </c>
      <c r="U9" s="6" t="n">
        <v>85.09999999999999</v>
      </c>
      <c r="V9" s="6" t="n">
        <v>98</v>
      </c>
      <c r="W9" s="6" t="n">
        <v>112.3</v>
      </c>
      <c r="X9" s="6" t="n">
        <v>133.4</v>
      </c>
      <c r="Y9" s="6" t="n">
        <v>151.1</v>
      </c>
    </row>
    <row r="10">
      <c r="A10" s="6" t="n">
        <v>1992</v>
      </c>
      <c r="B10" s="7" t="n"/>
      <c r="C10" s="7" t="n"/>
      <c r="D10" s="7" t="n"/>
      <c r="E10" s="7" t="n"/>
      <c r="F10" s="7" t="n"/>
      <c r="G10" s="7" t="n"/>
      <c r="H10" s="7" t="n"/>
      <c r="I10" s="7" t="n"/>
      <c r="J10" s="7" t="n"/>
      <c r="K10" s="7" t="n">
        <v>8</v>
      </c>
      <c r="M10" s="6" t="inlineStr">
        <is>
          <t>2h</t>
        </is>
      </c>
      <c r="N10" s="6" t="n">
        <v>15</v>
      </c>
      <c r="O10" s="6" t="n">
        <v>26.8</v>
      </c>
      <c r="P10" s="6" t="n">
        <v>36.1</v>
      </c>
      <c r="Q10" s="6" t="n">
        <v>49.8</v>
      </c>
      <c r="R10" s="6" t="n">
        <v>61.6</v>
      </c>
      <c r="S10" s="6" t="n">
        <v>74.90000000000001</v>
      </c>
      <c r="T10" s="6" t="n">
        <v>90.09999999999999</v>
      </c>
      <c r="U10" s="6" t="n">
        <v>113.2</v>
      </c>
      <c r="V10" s="6" t="n">
        <v>133.5</v>
      </c>
      <c r="W10" s="6" t="n">
        <v>156.5</v>
      </c>
      <c r="X10" s="6" t="n">
        <v>191.7</v>
      </c>
      <c r="Y10" s="6" t="n">
        <v>222.6</v>
      </c>
    </row>
    <row r="11">
      <c r="A11" s="6" t="n">
        <v>1993</v>
      </c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M11" s="6" t="inlineStr">
        <is>
          <t>3h</t>
        </is>
      </c>
      <c r="N11" s="6" t="n">
        <v>16.1</v>
      </c>
      <c r="O11" s="6" t="n">
        <v>29</v>
      </c>
      <c r="P11" s="6" t="n">
        <v>39.7</v>
      </c>
      <c r="Q11" s="6" t="n">
        <v>56.2</v>
      </c>
      <c r="R11" s="6" t="n">
        <v>71.09999999999999</v>
      </c>
      <c r="S11" s="6" t="n">
        <v>88.5</v>
      </c>
      <c r="T11" s="6" t="n">
        <v>109</v>
      </c>
      <c r="U11" s="6" t="n">
        <v>141.6</v>
      </c>
      <c r="V11" s="6" t="n">
        <v>171.5</v>
      </c>
      <c r="W11" s="6" t="n">
        <v>206.6</v>
      </c>
      <c r="X11" s="6" t="n">
        <v>262.7</v>
      </c>
      <c r="Y11" s="6" t="n">
        <v>314</v>
      </c>
    </row>
    <row r="12">
      <c r="A12" s="6" t="n">
        <v>1995</v>
      </c>
      <c r="B12" s="7" t="n"/>
      <c r="C12" s="7" t="n"/>
      <c r="D12" s="7" t="n"/>
      <c r="E12" s="7" t="n"/>
      <c r="F12" s="7" t="n">
        <v>17.5</v>
      </c>
      <c r="G12" s="7" t="n">
        <v>30.5</v>
      </c>
      <c r="H12" s="7" t="n">
        <v>40</v>
      </c>
      <c r="I12" s="7" t="n">
        <v>49</v>
      </c>
      <c r="J12" s="7" t="n">
        <v>67</v>
      </c>
      <c r="K12" s="7" t="n">
        <v>71.09999999999999</v>
      </c>
      <c r="M12" s="6" t="inlineStr">
        <is>
          <t>6h</t>
        </is>
      </c>
      <c r="N12" s="6" t="n">
        <v>18.6</v>
      </c>
      <c r="O12" s="6" t="n">
        <v>34.2</v>
      </c>
      <c r="P12" s="6" t="n">
        <v>48</v>
      </c>
      <c r="Q12" s="6" t="n">
        <v>70.7</v>
      </c>
      <c r="R12" s="6" t="n">
        <v>92.3</v>
      </c>
      <c r="S12" s="6" t="n">
        <v>119</v>
      </c>
      <c r="T12" s="6" t="n">
        <v>152</v>
      </c>
      <c r="U12" s="6" t="n">
        <v>207.9</v>
      </c>
      <c r="V12" s="6" t="n">
        <v>262</v>
      </c>
      <c r="W12" s="6" t="n">
        <v>329</v>
      </c>
      <c r="X12" s="6" t="n">
        <v>442.7</v>
      </c>
      <c r="Y12" s="6" t="n">
        <v>552.8</v>
      </c>
    </row>
    <row r="13">
      <c r="A13" s="6" t="n">
        <v>1996</v>
      </c>
      <c r="B13" s="7" t="n"/>
      <c r="C13" s="7" t="n"/>
      <c r="D13" s="7" t="n"/>
      <c r="E13" s="7" t="n"/>
      <c r="F13" s="7" t="n">
        <v>6</v>
      </c>
      <c r="G13" s="7" t="n">
        <v>6.1</v>
      </c>
      <c r="H13" s="7" t="n">
        <v>6.3</v>
      </c>
      <c r="I13" s="7" t="n">
        <v>10.5</v>
      </c>
      <c r="J13" s="7" t="n">
        <v>21</v>
      </c>
      <c r="K13" s="7" t="n">
        <v>42</v>
      </c>
      <c r="M13" s="6" t="inlineStr">
        <is>
          <t>12h</t>
        </is>
      </c>
      <c r="N13" s="6" t="n">
        <v>21.3</v>
      </c>
      <c r="O13" s="6" t="n">
        <v>39.5</v>
      </c>
      <c r="P13" s="6" t="n">
        <v>56.3</v>
      </c>
      <c r="Q13" s="6" t="n">
        <v>84.90000000000001</v>
      </c>
      <c r="R13" s="6" t="n">
        <v>113.3</v>
      </c>
      <c r="S13" s="6" t="n">
        <v>149.4</v>
      </c>
      <c r="T13" s="6" t="n">
        <v>195.3</v>
      </c>
      <c r="U13" s="6" t="n">
        <v>276</v>
      </c>
      <c r="V13" s="6" t="n">
        <v>356.9</v>
      </c>
      <c r="W13" s="6" t="n">
        <v>460.2</v>
      </c>
      <c r="X13" s="6" t="n">
        <v>641.8</v>
      </c>
      <c r="Y13" s="6" t="n">
        <v>824</v>
      </c>
    </row>
    <row r="14">
      <c r="A14" s="6" t="n">
        <v>1997</v>
      </c>
      <c r="B14" s="7" t="n"/>
      <c r="C14" s="7" t="n"/>
      <c r="D14" s="7" t="n"/>
      <c r="E14" s="7" t="n"/>
      <c r="F14" s="7" t="n">
        <v>1</v>
      </c>
      <c r="G14" s="7" t="n">
        <v>1.5</v>
      </c>
      <c r="H14" s="7" t="n">
        <v>1.6</v>
      </c>
      <c r="I14" s="7" t="n">
        <v>2</v>
      </c>
      <c r="J14" s="7" t="n">
        <v>2.9</v>
      </c>
      <c r="K14" s="7" t="n">
        <v>3.8</v>
      </c>
      <c r="M14" s="6" t="inlineStr">
        <is>
          <t>24h</t>
        </is>
      </c>
      <c r="N14" s="6" t="n">
        <v>28.1</v>
      </c>
      <c r="O14" s="6" t="n">
        <v>54.3</v>
      </c>
      <c r="P14" s="6" t="n">
        <v>78.2</v>
      </c>
      <c r="Q14" s="6" t="n">
        <v>118.6</v>
      </c>
      <c r="R14" s="6" t="n">
        <v>158.3</v>
      </c>
      <c r="S14" s="6" t="n">
        <v>208.4</v>
      </c>
      <c r="T14" s="6" t="n">
        <v>271.7</v>
      </c>
      <c r="U14" s="6" t="n">
        <v>382.1</v>
      </c>
      <c r="V14" s="6" t="n">
        <v>491.9</v>
      </c>
      <c r="W14" s="6" t="n">
        <v>631</v>
      </c>
      <c r="X14" s="6" t="n">
        <v>873.7</v>
      </c>
      <c r="Y14" s="6" t="n">
        <v>1115.1</v>
      </c>
    </row>
    <row r="15">
      <c r="A15" s="6" t="n">
        <v>1998</v>
      </c>
      <c r="B15" s="7" t="n"/>
      <c r="C15" s="7" t="n"/>
      <c r="D15" s="7" t="n"/>
      <c r="E15" s="7" t="n"/>
      <c r="F15" s="7" t="n">
        <v>12</v>
      </c>
      <c r="G15" s="7" t="n">
        <v>12.7</v>
      </c>
      <c r="H15" s="7" t="n">
        <v>13.3</v>
      </c>
      <c r="I15" s="7" t="n">
        <v>15.3</v>
      </c>
      <c r="J15" s="7" t="n">
        <v>19.3</v>
      </c>
      <c r="K15" s="7" t="n">
        <v>27.3</v>
      </c>
    </row>
    <row r="16">
      <c r="A16" s="6" t="n">
        <v>1999</v>
      </c>
      <c r="B16" s="7" t="n"/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  <c r="M16" s="3" t="inlineStr">
        <is>
          <t>IDF - intensity (mm/hr) [x=duration(min)]</t>
        </is>
      </c>
    </row>
    <row r="17">
      <c r="A17" s="6" t="n">
        <v>2001</v>
      </c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M17" t="inlineStr">
        <is>
          <t>Duration(min)</t>
        </is>
      </c>
      <c r="N17" t="inlineStr">
        <is>
          <t>2 yr</t>
        </is>
      </c>
      <c r="O17" t="inlineStr">
        <is>
          <t>5 yr</t>
        </is>
      </c>
      <c r="P17" t="inlineStr">
        <is>
          <t>10 yr</t>
        </is>
      </c>
      <c r="Q17" t="inlineStr">
        <is>
          <t>25 yr</t>
        </is>
      </c>
      <c r="R17" t="inlineStr">
        <is>
          <t>50 yr</t>
        </is>
      </c>
      <c r="S17" t="inlineStr">
        <is>
          <t>100 yr</t>
        </is>
      </c>
      <c r="T17" t="inlineStr">
        <is>
          <t>200 yr</t>
        </is>
      </c>
      <c r="U17" t="inlineStr">
        <is>
          <t>500 yr</t>
        </is>
      </c>
      <c r="V17" t="inlineStr">
        <is>
          <t>1000 yr</t>
        </is>
      </c>
      <c r="W17" t="inlineStr">
        <is>
          <t>2000 yr</t>
        </is>
      </c>
      <c r="X17" t="inlineStr">
        <is>
          <t>5000 yr</t>
        </is>
      </c>
      <c r="Y17" t="inlineStr">
        <is>
          <t>10000 yr</t>
        </is>
      </c>
    </row>
    <row r="18">
      <c r="A18" s="6" t="n">
        <v>2002</v>
      </c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  <c r="K18" s="7" t="n"/>
      <c r="M18" t="n">
        <v>5</v>
      </c>
      <c r="N18" t="n">
        <v>48.4</v>
      </c>
      <c r="O18" t="n">
        <v>79.8</v>
      </c>
      <c r="P18" t="n">
        <v>102.9</v>
      </c>
      <c r="Q18" t="n">
        <v>135</v>
      </c>
      <c r="R18" t="n">
        <v>161.1</v>
      </c>
      <c r="S18" t="n">
        <v>189.2</v>
      </c>
      <c r="T18" t="n">
        <v>219.3</v>
      </c>
      <c r="U18" t="n">
        <v>262.9</v>
      </c>
      <c r="V18" t="n">
        <v>298.9</v>
      </c>
      <c r="W18" t="n">
        <v>337.8</v>
      </c>
      <c r="X18" t="n">
        <v>394.1</v>
      </c>
      <c r="Y18" t="n">
        <v>440.6</v>
      </c>
    </row>
    <row r="19">
      <c r="A19" s="6" t="n">
        <v>2003</v>
      </c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M19" t="n">
        <v>10</v>
      </c>
      <c r="N19" t="n">
        <v>38.2</v>
      </c>
      <c r="O19" t="n">
        <v>63.8</v>
      </c>
      <c r="P19" t="n">
        <v>82.90000000000001</v>
      </c>
      <c r="Q19" t="n">
        <v>109.8</v>
      </c>
      <c r="R19" t="n">
        <v>132.1</v>
      </c>
      <c r="S19" t="n">
        <v>156.3</v>
      </c>
      <c r="T19" t="n">
        <v>182.7</v>
      </c>
      <c r="U19" t="n">
        <v>221.3</v>
      </c>
      <c r="V19" t="n">
        <v>253.8</v>
      </c>
      <c r="W19" t="n">
        <v>289.3</v>
      </c>
      <c r="X19" t="n">
        <v>341.4</v>
      </c>
      <c r="Y19" t="n">
        <v>385.2</v>
      </c>
    </row>
    <row r="20">
      <c r="A20" s="6" t="n">
        <v>2004</v>
      </c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M20" t="n">
        <v>15</v>
      </c>
      <c r="N20" t="n">
        <v>31.4</v>
      </c>
      <c r="O20" t="n">
        <v>53.8</v>
      </c>
      <c r="P20" t="n">
        <v>71</v>
      </c>
      <c r="Q20" t="n">
        <v>95.8</v>
      </c>
      <c r="R20" t="n">
        <v>116.8</v>
      </c>
      <c r="S20" t="n">
        <v>140.1</v>
      </c>
      <c r="T20" t="n">
        <v>165.9</v>
      </c>
      <c r="U20" t="n">
        <v>204.7</v>
      </c>
      <c r="V20" t="n">
        <v>238</v>
      </c>
      <c r="W20" t="n">
        <v>275.1</v>
      </c>
      <c r="X20" t="n">
        <v>330.9</v>
      </c>
      <c r="Y20" t="n">
        <v>378.8</v>
      </c>
    </row>
    <row r="21">
      <c r="A21" s="6" t="n">
        <v>2005</v>
      </c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M21" t="n">
        <v>30</v>
      </c>
      <c r="N21" t="n">
        <v>21</v>
      </c>
      <c r="O21" t="n">
        <v>36.8</v>
      </c>
      <c r="P21" t="n">
        <v>48.6</v>
      </c>
      <c r="Q21" t="n">
        <v>65.40000000000001</v>
      </c>
      <c r="R21" t="n">
        <v>79.3</v>
      </c>
      <c r="S21" t="n">
        <v>94.5</v>
      </c>
      <c r="T21" t="n">
        <v>111.1</v>
      </c>
      <c r="U21" t="n">
        <v>135.6</v>
      </c>
      <c r="V21" t="n">
        <v>156.2</v>
      </c>
      <c r="W21" t="n">
        <v>178.9</v>
      </c>
      <c r="X21" t="n">
        <v>212.3</v>
      </c>
      <c r="Y21" t="n">
        <v>240.5</v>
      </c>
    </row>
    <row r="22">
      <c r="A22" s="6" t="n">
        <v>2006</v>
      </c>
      <c r="B22" s="7" t="n"/>
      <c r="C22" s="7" t="n"/>
      <c r="D22" s="7" t="n"/>
      <c r="E22" s="7" t="n"/>
      <c r="F22" s="7" t="n"/>
      <c r="G22" s="7" t="n"/>
      <c r="H22" s="7" t="n"/>
      <c r="I22" s="7" t="n"/>
      <c r="J22" s="7" t="n"/>
      <c r="K22" s="7" t="n"/>
      <c r="M22" t="n">
        <v>60</v>
      </c>
      <c r="N22" t="n">
        <v>13.1</v>
      </c>
      <c r="O22" t="n">
        <v>23</v>
      </c>
      <c r="P22" t="n">
        <v>30.4</v>
      </c>
      <c r="Q22" t="n">
        <v>40.9</v>
      </c>
      <c r="R22" t="n">
        <v>49.7</v>
      </c>
      <c r="S22" t="n">
        <v>59.2</v>
      </c>
      <c r="T22" t="n">
        <v>69.7</v>
      </c>
      <c r="U22" t="n">
        <v>85.09999999999999</v>
      </c>
      <c r="V22" t="n">
        <v>98</v>
      </c>
      <c r="W22" t="n">
        <v>112.3</v>
      </c>
      <c r="X22" t="n">
        <v>133.4</v>
      </c>
      <c r="Y22" t="n">
        <v>151.1</v>
      </c>
    </row>
    <row r="23">
      <c r="A23" s="6" t="n">
        <v>2007</v>
      </c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  <c r="M23" t="n">
        <v>120</v>
      </c>
      <c r="N23" t="n">
        <v>7.5</v>
      </c>
      <c r="O23" t="n">
        <v>13.4</v>
      </c>
      <c r="P23" t="n">
        <v>18</v>
      </c>
      <c r="Q23" t="n">
        <v>24.9</v>
      </c>
      <c r="R23" t="n">
        <v>30.8</v>
      </c>
      <c r="S23" t="n">
        <v>37.5</v>
      </c>
      <c r="T23" t="n">
        <v>45</v>
      </c>
      <c r="U23" t="n">
        <v>56.6</v>
      </c>
      <c r="V23" t="n">
        <v>66.7</v>
      </c>
      <c r="W23" t="n">
        <v>78.2</v>
      </c>
      <c r="X23" t="n">
        <v>95.90000000000001</v>
      </c>
      <c r="Y23" t="n">
        <v>111.3</v>
      </c>
    </row>
    <row r="24">
      <c r="A24" s="6" t="n">
        <v>2008</v>
      </c>
      <c r="B24" s="7" t="n"/>
      <c r="C24" s="7" t="n"/>
      <c r="D24" s="7" t="n"/>
      <c r="E24" s="7" t="n"/>
      <c r="F24" s="7" t="n"/>
      <c r="G24" s="7" t="n"/>
      <c r="H24" s="7" t="n"/>
      <c r="I24" s="7" t="n"/>
      <c r="J24" s="7" t="n"/>
      <c r="K24" s="7" t="n"/>
      <c r="M24" t="n">
        <v>180</v>
      </c>
      <c r="N24" t="n">
        <v>5.4</v>
      </c>
      <c r="O24" t="n">
        <v>9.699999999999999</v>
      </c>
      <c r="P24" t="n">
        <v>13.2</v>
      </c>
      <c r="Q24" t="n">
        <v>18.7</v>
      </c>
      <c r="R24" t="n">
        <v>23.7</v>
      </c>
      <c r="S24" t="n">
        <v>29.5</v>
      </c>
      <c r="T24" t="n">
        <v>36.3</v>
      </c>
      <c r="U24" t="n">
        <v>47.2</v>
      </c>
      <c r="V24" t="n">
        <v>57.2</v>
      </c>
      <c r="W24" t="n">
        <v>68.90000000000001</v>
      </c>
      <c r="X24" t="n">
        <v>87.59999999999999</v>
      </c>
      <c r="Y24" t="n">
        <v>104.7</v>
      </c>
    </row>
    <row r="25">
      <c r="A25" s="6" t="n">
        <v>2009</v>
      </c>
      <c r="B25" s="7" t="n"/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  <c r="M25" t="n">
        <v>360</v>
      </c>
      <c r="N25" t="n">
        <v>3.1</v>
      </c>
      <c r="O25" t="n">
        <v>5.7</v>
      </c>
      <c r="P25" t="n">
        <v>8</v>
      </c>
      <c r="Q25" t="n">
        <v>11.8</v>
      </c>
      <c r="R25" t="n">
        <v>15.4</v>
      </c>
      <c r="S25" t="n">
        <v>19.8</v>
      </c>
      <c r="T25" t="n">
        <v>25.3</v>
      </c>
      <c r="U25" t="n">
        <v>34.6</v>
      </c>
      <c r="V25" t="n">
        <v>43.7</v>
      </c>
      <c r="W25" t="n">
        <v>54.8</v>
      </c>
      <c r="X25" t="n">
        <v>73.8</v>
      </c>
      <c r="Y25" t="n">
        <v>92.09999999999999</v>
      </c>
    </row>
    <row r="26">
      <c r="A26" s="6" t="n">
        <v>2010</v>
      </c>
      <c r="B26" s="7" t="n"/>
      <c r="C26" s="7" t="n"/>
      <c r="D26" s="7" t="n"/>
      <c r="E26" s="7" t="n"/>
      <c r="F26" s="7" t="n"/>
      <c r="G26" s="7" t="n"/>
      <c r="H26" s="7" t="n"/>
      <c r="I26" s="7" t="n"/>
      <c r="J26" s="7" t="n"/>
      <c r="K26" s="7" t="n"/>
      <c r="M26" t="n">
        <v>720</v>
      </c>
      <c r="N26" t="n">
        <v>1.8</v>
      </c>
      <c r="O26" t="n">
        <v>3.3</v>
      </c>
      <c r="P26" t="n">
        <v>4.7</v>
      </c>
      <c r="Q26" t="n">
        <v>7.1</v>
      </c>
      <c r="R26" t="n">
        <v>9.4</v>
      </c>
      <c r="S26" t="n">
        <v>12.4</v>
      </c>
      <c r="T26" t="n">
        <v>16.3</v>
      </c>
      <c r="U26" t="n">
        <v>23</v>
      </c>
      <c r="V26" t="n">
        <v>29.7</v>
      </c>
      <c r="W26" t="n">
        <v>38.4</v>
      </c>
      <c r="X26" t="n">
        <v>53.5</v>
      </c>
      <c r="Y26" t="n">
        <v>68.7</v>
      </c>
    </row>
    <row r="27">
      <c r="A27" s="6" t="n">
        <v>2011</v>
      </c>
      <c r="B27" s="7" t="n"/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  <c r="M27" t="n">
        <v>1440</v>
      </c>
      <c r="N27" t="n">
        <v>1.2</v>
      </c>
      <c r="O27" t="n">
        <v>2.3</v>
      </c>
      <c r="P27" t="n">
        <v>3.3</v>
      </c>
      <c r="Q27" t="n">
        <v>4.9</v>
      </c>
      <c r="R27" t="n">
        <v>6.6</v>
      </c>
      <c r="S27" t="n">
        <v>8.699999999999999</v>
      </c>
      <c r="T27" t="n">
        <v>11.3</v>
      </c>
      <c r="U27" t="n">
        <v>15.9</v>
      </c>
      <c r="V27" t="n">
        <v>20.5</v>
      </c>
      <c r="W27" t="n">
        <v>26.3</v>
      </c>
      <c r="X27" t="n">
        <v>36.4</v>
      </c>
      <c r="Y27" t="n">
        <v>46.5</v>
      </c>
    </row>
    <row r="28">
      <c r="A28" s="6" t="n">
        <v>2013</v>
      </c>
      <c r="B28" s="7" t="n"/>
      <c r="C28" s="7" t="n"/>
      <c r="D28" s="7" t="n"/>
      <c r="E28" s="7" t="n"/>
      <c r="F28" s="7" t="n"/>
      <c r="G28" s="7" t="n"/>
      <c r="H28" s="7" t="n"/>
      <c r="I28" s="7" t="n"/>
      <c r="J28" s="7" t="n"/>
      <c r="K28" s="7" t="n"/>
    </row>
    <row r="29">
      <c r="A29" s="6" t="n">
        <v>2014</v>
      </c>
      <c r="B29" s="7" t="n"/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</row>
    <row r="30">
      <c r="A30" s="6" t="n">
        <v>2015</v>
      </c>
      <c r="B30" s="7" t="n"/>
      <c r="C30" s="7" t="n"/>
      <c r="D30" s="7" t="n"/>
      <c r="E30" s="7" t="n"/>
      <c r="F30" s="7" t="n"/>
      <c r="G30" s="7" t="n"/>
      <c r="H30" s="7" t="n"/>
      <c r="I30" s="7" t="n"/>
      <c r="J30" s="7" t="n"/>
      <c r="K30" s="7" t="n"/>
    </row>
    <row r="31">
      <c r="A31" s="6" t="n">
        <v>2016</v>
      </c>
      <c r="B31" s="7" t="n">
        <v>4.8</v>
      </c>
      <c r="C31" s="7" t="n">
        <v>9.6</v>
      </c>
      <c r="D31" s="7" t="n">
        <v>9.6</v>
      </c>
      <c r="E31" s="7" t="n">
        <v>11.2</v>
      </c>
      <c r="F31" s="7" t="n">
        <v>12.8</v>
      </c>
      <c r="G31" s="7" t="n">
        <v>12.8</v>
      </c>
      <c r="H31" s="7" t="n">
        <v>12.8</v>
      </c>
      <c r="I31" s="7" t="n">
        <v>12.8</v>
      </c>
      <c r="J31" s="7" t="n">
        <v>12.8</v>
      </c>
      <c r="K31" s="7" t="n">
        <v>12.8</v>
      </c>
    </row>
    <row r="32">
      <c r="A32" s="6" t="n">
        <v>2017</v>
      </c>
      <c r="B32" s="7" t="n">
        <v>15</v>
      </c>
      <c r="C32" s="7" t="n">
        <v>22</v>
      </c>
      <c r="D32" s="7" t="n">
        <v>30.2</v>
      </c>
      <c r="E32" s="7" t="n">
        <v>38</v>
      </c>
      <c r="F32" s="7" t="n">
        <v>38.6</v>
      </c>
      <c r="G32" s="7" t="n">
        <v>39</v>
      </c>
      <c r="H32" s="7" t="n">
        <v>39</v>
      </c>
      <c r="I32" s="7" t="n">
        <v>51</v>
      </c>
      <c r="J32" s="7" t="n">
        <v>53.8</v>
      </c>
      <c r="K32" s="7" t="n">
        <v>58.6</v>
      </c>
    </row>
    <row r="33">
      <c r="A33" s="6" t="n">
        <v>2018</v>
      </c>
      <c r="B33" s="7" t="n">
        <v>2.6</v>
      </c>
      <c r="C33" s="7" t="n">
        <v>3.4</v>
      </c>
      <c r="D33" s="7" t="n">
        <v>5.2</v>
      </c>
      <c r="E33" s="7" t="n">
        <v>8.199999999999999</v>
      </c>
      <c r="F33" s="7" t="n">
        <v>12.8</v>
      </c>
      <c r="G33" s="7" t="n">
        <v>16.2</v>
      </c>
      <c r="H33" s="7" t="n">
        <v>16.4</v>
      </c>
      <c r="I33" s="7" t="n">
        <v>17.4</v>
      </c>
      <c r="J33" s="7" t="n">
        <v>18.4</v>
      </c>
      <c r="K33" s="7" t="n">
        <v>27.2</v>
      </c>
    </row>
    <row r="34">
      <c r="A34" s="6" t="n">
        <v>2019</v>
      </c>
      <c r="B34" s="7" t="n">
        <v>10</v>
      </c>
      <c r="C34" s="7" t="n">
        <v>13.4</v>
      </c>
      <c r="D34" s="7" t="n">
        <v>20.8</v>
      </c>
      <c r="E34" s="7" t="n">
        <v>29.6</v>
      </c>
      <c r="F34" s="7" t="n">
        <v>33.3</v>
      </c>
      <c r="G34" s="7" t="n">
        <v>34.2</v>
      </c>
      <c r="H34" s="7" t="n">
        <v>34.2</v>
      </c>
      <c r="I34" s="7" t="n">
        <v>34.2</v>
      </c>
      <c r="J34" s="7" t="n">
        <v>39</v>
      </c>
      <c r="K34" s="7" t="n">
        <v>64.2</v>
      </c>
    </row>
    <row r="35">
      <c r="A35" s="6" t="n">
        <v>2020</v>
      </c>
      <c r="B35" s="7" t="n">
        <v>1.6</v>
      </c>
      <c r="C35" s="7" t="n">
        <v>3.2</v>
      </c>
      <c r="D35" s="7" t="n">
        <v>4.3</v>
      </c>
      <c r="E35" s="7" t="n">
        <v>7.4</v>
      </c>
      <c r="F35" s="7" t="n">
        <v>10.8</v>
      </c>
      <c r="G35" s="7" t="n">
        <v>14.4</v>
      </c>
      <c r="H35" s="7" t="n">
        <v>16.8</v>
      </c>
      <c r="I35" s="7" t="n">
        <v>18.4</v>
      </c>
      <c r="J35" s="7" t="n">
        <v>18.8</v>
      </c>
      <c r="K35" s="7" t="n">
        <v>24.8</v>
      </c>
    </row>
    <row r="38">
      <c r="A38" s="2" t="inlineStr">
        <is>
          <t>AMS AFTER gap filling (mm)  -  yellow = added or changed by gap filling</t>
        </is>
      </c>
    </row>
    <row r="39">
      <c r="A39" s="4" t="inlineStr">
        <is>
          <t>Water year</t>
        </is>
      </c>
      <c r="B39" s="5" t="inlineStr">
        <is>
          <t>5min</t>
        </is>
      </c>
      <c r="C39" s="5" t="inlineStr">
        <is>
          <t>10min</t>
        </is>
      </c>
      <c r="D39" s="5" t="inlineStr">
        <is>
          <t>15min</t>
        </is>
      </c>
      <c r="E39" s="5" t="inlineStr">
        <is>
          <t>30min</t>
        </is>
      </c>
      <c r="F39" s="5" t="inlineStr">
        <is>
          <t>1h</t>
        </is>
      </c>
      <c r="G39" s="5" t="inlineStr">
        <is>
          <t>2h</t>
        </is>
      </c>
      <c r="H39" s="5" t="inlineStr">
        <is>
          <t>3h</t>
        </is>
      </c>
      <c r="I39" s="5" t="inlineStr">
        <is>
          <t>6h</t>
        </is>
      </c>
      <c r="J39" s="5" t="inlineStr">
        <is>
          <t>12h</t>
        </is>
      </c>
      <c r="K39" s="5" t="inlineStr">
        <is>
          <t>24h</t>
        </is>
      </c>
    </row>
    <row r="40">
      <c r="A40" s="6" t="n">
        <v>1987</v>
      </c>
      <c r="B40" s="7" t="n"/>
      <c r="C40" s="7" t="n"/>
      <c r="D40" s="7" t="n"/>
      <c r="E40" s="7" t="n"/>
      <c r="F40" s="7" t="n"/>
      <c r="G40" s="7" t="n"/>
      <c r="H40" s="7" t="n"/>
      <c r="I40" s="7" t="n"/>
      <c r="J40" s="7" t="n"/>
      <c r="K40" s="7" t="n">
        <v>41</v>
      </c>
    </row>
    <row r="41">
      <c r="A41" s="6" t="n">
        <v>1988</v>
      </c>
      <c r="B41" s="7" t="n"/>
      <c r="C41" s="7" t="n"/>
      <c r="D41" s="7" t="n"/>
      <c r="E41" s="7" t="n"/>
      <c r="F41" s="7" t="n"/>
      <c r="G41" s="7" t="n"/>
      <c r="H41" s="7" t="n"/>
      <c r="I41" s="7" t="n"/>
      <c r="J41" s="7" t="n"/>
      <c r="K41" s="7" t="n">
        <v>15</v>
      </c>
    </row>
    <row r="42">
      <c r="A42" s="6" t="n">
        <v>1989</v>
      </c>
      <c r="B42" s="7" t="n"/>
      <c r="C42" s="7" t="n"/>
      <c r="D42" s="7" t="n"/>
      <c r="E42" s="7" t="n"/>
      <c r="F42" s="7" t="n"/>
      <c r="G42" s="7" t="n"/>
      <c r="H42" s="7" t="n"/>
      <c r="I42" s="7" t="n"/>
      <c r="J42" s="7" t="n"/>
      <c r="K42" s="7" t="n">
        <v>22.5</v>
      </c>
    </row>
    <row r="43">
      <c r="A43" s="6" t="n">
        <v>1990</v>
      </c>
      <c r="B43" s="7" t="n"/>
      <c r="C43" s="7" t="n"/>
      <c r="D43" s="7" t="n"/>
      <c r="E43" s="7" t="n"/>
      <c r="F43" s="7" t="n"/>
      <c r="G43" s="7" t="n"/>
      <c r="H43" s="7" t="n"/>
      <c r="I43" s="7" t="n"/>
      <c r="J43" s="7" t="n"/>
      <c r="K43" s="7" t="n">
        <v>26</v>
      </c>
    </row>
    <row r="44">
      <c r="A44" s="6" t="n">
        <v>1991</v>
      </c>
      <c r="B44" s="7" t="n"/>
      <c r="C44" s="7" t="n"/>
      <c r="D44" s="7" t="n"/>
      <c r="E44" s="7" t="n"/>
      <c r="F44" s="7" t="n"/>
      <c r="G44" s="7" t="n"/>
      <c r="H44" s="7" t="n"/>
      <c r="I44" s="7" t="n"/>
      <c r="J44" s="7" t="n"/>
      <c r="K44" s="7" t="n">
        <v>22.5</v>
      </c>
    </row>
    <row r="45">
      <c r="A45" s="6" t="n">
        <v>1992</v>
      </c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  <c r="K45" s="8" t="n">
        <v>18.6</v>
      </c>
    </row>
    <row r="46">
      <c r="A46" s="6" t="n">
        <v>1993</v>
      </c>
      <c r="B46" s="8" t="n">
        <v>4</v>
      </c>
      <c r="C46" s="8" t="n">
        <v>6.7</v>
      </c>
      <c r="D46" s="8" t="n">
        <v>7</v>
      </c>
      <c r="E46" s="8" t="n">
        <v>8</v>
      </c>
      <c r="F46" s="8" t="n">
        <v>8.800000000000001</v>
      </c>
      <c r="G46" s="8" t="n">
        <v>9.1</v>
      </c>
      <c r="H46" s="8" t="n">
        <v>9.199999999999999</v>
      </c>
      <c r="I46" s="8" t="n">
        <v>9.6</v>
      </c>
      <c r="J46" s="8" t="n">
        <v>10.3</v>
      </c>
      <c r="K46" s="8" t="n">
        <v>11</v>
      </c>
    </row>
    <row r="47">
      <c r="A47" s="6" t="n">
        <v>1995</v>
      </c>
      <c r="B47" s="7" t="n"/>
      <c r="C47" s="7" t="n"/>
      <c r="D47" s="7" t="n"/>
      <c r="E47" s="7" t="n"/>
      <c r="F47" s="7" t="n">
        <v>17.5</v>
      </c>
      <c r="G47" s="7" t="n">
        <v>30.5</v>
      </c>
      <c r="H47" s="7" t="n">
        <v>40</v>
      </c>
      <c r="I47" s="7" t="n">
        <v>49</v>
      </c>
      <c r="J47" s="7" t="n">
        <v>67</v>
      </c>
      <c r="K47" s="7" t="n">
        <v>71.09999999999999</v>
      </c>
    </row>
    <row r="48">
      <c r="A48" s="6" t="n">
        <v>1996</v>
      </c>
      <c r="B48" s="7" t="n"/>
      <c r="C48" s="7" t="n"/>
      <c r="D48" s="7" t="n"/>
      <c r="E48" s="7" t="n"/>
      <c r="F48" s="7" t="n">
        <v>6</v>
      </c>
      <c r="G48" s="7" t="n">
        <v>6.1</v>
      </c>
      <c r="H48" s="7" t="n">
        <v>6.3</v>
      </c>
      <c r="I48" s="7" t="n">
        <v>10.5</v>
      </c>
      <c r="J48" s="7" t="n">
        <v>21</v>
      </c>
      <c r="K48" s="7" t="n">
        <v>42</v>
      </c>
    </row>
    <row r="49">
      <c r="A49" s="6" t="n">
        <v>1997</v>
      </c>
      <c r="B49" s="7" t="n"/>
      <c r="C49" s="7" t="n"/>
      <c r="D49" s="7" t="n"/>
      <c r="E49" s="7" t="n"/>
      <c r="F49" s="8" t="n">
        <v>7.1</v>
      </c>
      <c r="G49" s="8" t="n">
        <v>10.4</v>
      </c>
      <c r="H49" s="8" t="n">
        <v>12.4</v>
      </c>
      <c r="I49" s="8" t="n">
        <v>16.7</v>
      </c>
      <c r="J49" s="8" t="n">
        <v>27.9</v>
      </c>
      <c r="K49" s="8" t="n">
        <v>45.1</v>
      </c>
    </row>
    <row r="50">
      <c r="A50" s="6" t="n">
        <v>1998</v>
      </c>
      <c r="B50" s="7" t="n"/>
      <c r="C50" s="7" t="n"/>
      <c r="D50" s="7" t="n"/>
      <c r="E50" s="7" t="n"/>
      <c r="F50" s="8" t="n">
        <v>22.9</v>
      </c>
      <c r="G50" s="8" t="n">
        <v>26.6</v>
      </c>
      <c r="H50" s="8" t="n">
        <v>29</v>
      </c>
      <c r="I50" s="8" t="n">
        <v>30</v>
      </c>
      <c r="J50" s="8" t="n">
        <v>31.2</v>
      </c>
      <c r="K50" s="8" t="n">
        <v>39.7</v>
      </c>
    </row>
    <row r="51">
      <c r="A51" s="6" t="n">
        <v>1999</v>
      </c>
      <c r="B51" s="8" t="n">
        <v>1.7</v>
      </c>
      <c r="C51" s="8" t="n">
        <v>2.4</v>
      </c>
      <c r="D51" s="8" t="n">
        <v>2.6</v>
      </c>
      <c r="E51" s="8" t="n">
        <v>3.8</v>
      </c>
      <c r="F51" s="8" t="n">
        <v>5.8</v>
      </c>
      <c r="G51" s="8" t="n">
        <v>8.699999999999999</v>
      </c>
      <c r="H51" s="8" t="n">
        <v>11.5</v>
      </c>
      <c r="I51" s="8" t="n">
        <v>19.5</v>
      </c>
      <c r="J51" s="8" t="n">
        <v>25</v>
      </c>
      <c r="K51" s="8" t="n">
        <v>35.9</v>
      </c>
    </row>
    <row r="52">
      <c r="A52" s="6" t="n">
        <v>2001</v>
      </c>
      <c r="B52" s="7" t="n"/>
      <c r="C52" s="7" t="n"/>
      <c r="D52" s="7" t="n"/>
      <c r="E52" s="8" t="n">
        <v>0.8</v>
      </c>
      <c r="F52" s="8" t="n">
        <v>1.4</v>
      </c>
      <c r="G52" s="8" t="n">
        <v>2.4</v>
      </c>
      <c r="H52" s="8" t="n">
        <v>3.1</v>
      </c>
      <c r="I52" s="8" t="n">
        <v>5.5</v>
      </c>
      <c r="J52" s="8" t="n">
        <v>5.6</v>
      </c>
      <c r="K52" s="8" t="n">
        <v>5.6</v>
      </c>
    </row>
    <row r="53">
      <c r="A53" s="6" t="n">
        <v>2002</v>
      </c>
      <c r="B53" s="8" t="n">
        <v>1.8</v>
      </c>
      <c r="C53" s="8" t="n">
        <v>3.5</v>
      </c>
      <c r="D53" s="8" t="n">
        <v>5.2</v>
      </c>
      <c r="E53" s="8" t="n">
        <v>8.199999999999999</v>
      </c>
      <c r="F53" s="8" t="n">
        <v>9.9</v>
      </c>
      <c r="G53" s="8" t="n">
        <v>11.9</v>
      </c>
      <c r="H53" s="8" t="n">
        <v>13.4</v>
      </c>
      <c r="I53" s="8" t="n">
        <v>15.5</v>
      </c>
      <c r="J53" s="8" t="n">
        <v>15.6</v>
      </c>
      <c r="K53" s="8" t="n">
        <v>15.6</v>
      </c>
    </row>
    <row r="54">
      <c r="A54" s="6" t="n">
        <v>2003</v>
      </c>
      <c r="B54" s="8" t="n">
        <v>4.1</v>
      </c>
      <c r="C54" s="8" t="n">
        <v>8.199999999999999</v>
      </c>
      <c r="D54" s="8" t="n">
        <v>10.3</v>
      </c>
      <c r="E54" s="8" t="n">
        <v>13.6</v>
      </c>
      <c r="F54" s="8" t="n">
        <v>14.2</v>
      </c>
      <c r="G54" s="8" t="n">
        <v>14.3</v>
      </c>
      <c r="H54" s="8" t="n">
        <v>14.3</v>
      </c>
      <c r="I54" s="8" t="n">
        <v>14.9</v>
      </c>
      <c r="J54" s="8" t="n">
        <v>20.6</v>
      </c>
      <c r="K54" s="8" t="n">
        <v>31</v>
      </c>
    </row>
    <row r="55">
      <c r="A55" s="6" t="n">
        <v>2004</v>
      </c>
      <c r="B55" s="8" t="n">
        <v>5.9</v>
      </c>
      <c r="C55" s="8" t="n">
        <v>7.5</v>
      </c>
      <c r="D55" s="8" t="n">
        <v>7.9</v>
      </c>
      <c r="E55" s="8" t="n">
        <v>8.699999999999999</v>
      </c>
      <c r="F55" s="8" t="n">
        <v>9.1</v>
      </c>
      <c r="G55" s="8" t="n">
        <v>9.199999999999999</v>
      </c>
      <c r="H55" s="8" t="n">
        <v>9.300000000000001</v>
      </c>
      <c r="I55" s="8" t="n">
        <v>10.9</v>
      </c>
      <c r="J55" s="8" t="n">
        <v>11</v>
      </c>
      <c r="K55" s="8" t="n">
        <v>11.1</v>
      </c>
    </row>
    <row r="56">
      <c r="A56" s="6" t="n">
        <v>2005</v>
      </c>
      <c r="B56" s="8" t="n">
        <v>3.1</v>
      </c>
      <c r="C56" s="8" t="n">
        <v>4.9</v>
      </c>
      <c r="D56" s="8" t="n">
        <v>5.1</v>
      </c>
      <c r="E56" s="8" t="n">
        <v>8.4</v>
      </c>
      <c r="F56" s="8" t="n">
        <v>13.5</v>
      </c>
      <c r="G56" s="8" t="n">
        <v>17.2</v>
      </c>
      <c r="H56" s="8" t="n">
        <v>17.3</v>
      </c>
      <c r="I56" s="8" t="n">
        <v>21.9</v>
      </c>
      <c r="J56" s="8" t="n">
        <v>35</v>
      </c>
      <c r="K56" s="8" t="n">
        <v>39.8</v>
      </c>
    </row>
    <row r="57">
      <c r="A57" s="6" t="n">
        <v>2006</v>
      </c>
      <c r="B57" s="7" t="n"/>
      <c r="C57" s="7" t="n"/>
      <c r="D57" s="7" t="n"/>
      <c r="E57" s="7" t="n"/>
      <c r="F57" s="7" t="n"/>
      <c r="G57" s="7" t="n"/>
      <c r="H57" s="7" t="n"/>
      <c r="I57" s="7" t="n"/>
      <c r="J57" s="8" t="n">
        <v>34.8</v>
      </c>
      <c r="K57" s="8" t="n">
        <v>41.7</v>
      </c>
    </row>
    <row r="58">
      <c r="A58" s="6" t="n">
        <v>2007</v>
      </c>
      <c r="B58" s="8" t="n">
        <v>3.2</v>
      </c>
      <c r="C58" s="8" t="n">
        <v>5.4</v>
      </c>
      <c r="D58" s="8" t="n">
        <v>8.1</v>
      </c>
      <c r="E58" s="8" t="n">
        <v>15.7</v>
      </c>
      <c r="F58" s="8" t="n">
        <v>23.3</v>
      </c>
      <c r="G58" s="8" t="n">
        <v>30.2</v>
      </c>
      <c r="H58" s="8" t="n">
        <v>38.6</v>
      </c>
      <c r="I58" s="8" t="n">
        <v>49.8</v>
      </c>
      <c r="J58" s="8" t="n">
        <v>55.8</v>
      </c>
      <c r="K58" s="8" t="n">
        <v>59.5</v>
      </c>
    </row>
    <row r="59">
      <c r="A59" s="6" t="n">
        <v>2008</v>
      </c>
      <c r="B59" s="8" t="n">
        <v>0.7</v>
      </c>
      <c r="C59" s="8" t="n">
        <v>1.2</v>
      </c>
      <c r="D59" s="8" t="n">
        <v>1.7</v>
      </c>
      <c r="E59" s="8" t="n">
        <v>2.8</v>
      </c>
      <c r="F59" s="8" t="n">
        <v>4.2</v>
      </c>
      <c r="G59" s="8" t="n">
        <v>5.5</v>
      </c>
      <c r="H59" s="8" t="n">
        <v>7.7</v>
      </c>
      <c r="I59" s="8" t="n">
        <v>12.7</v>
      </c>
      <c r="J59" s="8" t="n">
        <v>18.3</v>
      </c>
      <c r="K59" s="8" t="n">
        <v>22.2</v>
      </c>
    </row>
    <row r="60">
      <c r="A60" s="6" t="n">
        <v>2009</v>
      </c>
      <c r="B60" s="8" t="n">
        <v>4.9</v>
      </c>
      <c r="C60" s="8" t="n">
        <v>7.3</v>
      </c>
      <c r="D60" s="8" t="n">
        <v>9.5</v>
      </c>
      <c r="E60" s="8" t="n">
        <v>13.3</v>
      </c>
      <c r="F60" s="8" t="n">
        <v>16.5</v>
      </c>
      <c r="G60" s="8" t="n">
        <v>16.7</v>
      </c>
      <c r="H60" s="8" t="n">
        <v>16.7</v>
      </c>
      <c r="I60" s="8" t="n">
        <v>16.9</v>
      </c>
      <c r="J60" s="8" t="n">
        <v>20.7</v>
      </c>
      <c r="K60" s="8" t="n">
        <v>21</v>
      </c>
    </row>
    <row r="61">
      <c r="A61" s="6" t="n">
        <v>2010</v>
      </c>
      <c r="B61" s="8" t="n">
        <v>2.8</v>
      </c>
      <c r="C61" s="8" t="n">
        <v>3.9</v>
      </c>
      <c r="D61" s="8" t="n">
        <v>6.1</v>
      </c>
      <c r="E61" s="8" t="n">
        <v>8.4</v>
      </c>
      <c r="F61" s="8" t="n">
        <v>9.9</v>
      </c>
      <c r="G61" s="8" t="n">
        <v>12.3</v>
      </c>
      <c r="H61" s="8" t="n">
        <v>14.7</v>
      </c>
      <c r="I61" s="8" t="n">
        <v>23.7</v>
      </c>
      <c r="J61" s="8" t="n">
        <v>25</v>
      </c>
      <c r="K61" s="8" t="n">
        <v>30.4</v>
      </c>
    </row>
    <row r="62">
      <c r="A62" s="6" t="n">
        <v>2011</v>
      </c>
      <c r="B62" s="8" t="n">
        <v>1.4</v>
      </c>
      <c r="C62" s="8" t="n">
        <v>2.5</v>
      </c>
      <c r="D62" s="8" t="n">
        <v>3.2</v>
      </c>
      <c r="E62" s="8" t="n">
        <v>4.4</v>
      </c>
      <c r="F62" s="8" t="n">
        <v>6.2</v>
      </c>
      <c r="G62" s="8" t="n">
        <v>7.4</v>
      </c>
      <c r="H62" s="8" t="n">
        <v>11.1</v>
      </c>
      <c r="I62" s="8" t="n">
        <v>12.5</v>
      </c>
      <c r="J62" s="8" t="n">
        <v>13.1</v>
      </c>
      <c r="K62" s="8" t="n">
        <v>14.8</v>
      </c>
    </row>
    <row r="63">
      <c r="A63" s="6" t="n">
        <v>2013</v>
      </c>
      <c r="B63" s="8" t="n">
        <v>2.6</v>
      </c>
      <c r="C63" s="8" t="n">
        <v>4.6</v>
      </c>
      <c r="D63" s="8" t="n">
        <v>6</v>
      </c>
      <c r="E63" s="8" t="n">
        <v>8.5</v>
      </c>
      <c r="F63" s="8" t="n">
        <v>11.1</v>
      </c>
      <c r="G63" s="8" t="n">
        <v>17.1</v>
      </c>
      <c r="H63" s="8" t="n">
        <v>18.4</v>
      </c>
      <c r="I63" s="8" t="n">
        <v>23.2</v>
      </c>
      <c r="J63" s="8" t="n">
        <v>24</v>
      </c>
      <c r="K63" s="8" t="n">
        <v>24.1</v>
      </c>
    </row>
    <row r="64">
      <c r="A64" s="6" t="n">
        <v>2014</v>
      </c>
      <c r="B64" s="8" t="n">
        <v>9.1</v>
      </c>
      <c r="C64" s="8" t="n">
        <v>13.7</v>
      </c>
      <c r="D64" s="8" t="n">
        <v>16.7</v>
      </c>
      <c r="E64" s="8" t="n">
        <v>16.7</v>
      </c>
      <c r="F64" s="8" t="n">
        <v>16.7</v>
      </c>
      <c r="G64" s="8" t="n">
        <v>16.7</v>
      </c>
      <c r="H64" s="8" t="n">
        <v>17</v>
      </c>
      <c r="I64" s="8" t="n">
        <v>26.7</v>
      </c>
      <c r="J64" s="8" t="n">
        <v>33</v>
      </c>
      <c r="K64" s="8" t="n">
        <v>49.1</v>
      </c>
    </row>
    <row r="65">
      <c r="A65" s="6" t="n">
        <v>2015</v>
      </c>
      <c r="B65" s="8" t="n">
        <v>6.1</v>
      </c>
      <c r="C65" s="8" t="n">
        <v>11.7</v>
      </c>
      <c r="D65" s="8" t="n">
        <v>16.7</v>
      </c>
      <c r="E65" s="8" t="n">
        <v>27</v>
      </c>
      <c r="F65" s="8" t="n">
        <v>37.5</v>
      </c>
      <c r="G65" s="8" t="n">
        <v>40.2</v>
      </c>
      <c r="H65" s="8" t="n">
        <v>41.7</v>
      </c>
      <c r="I65" s="8" t="n">
        <v>42.3</v>
      </c>
      <c r="J65" s="8" t="n">
        <v>42.3</v>
      </c>
      <c r="K65" s="8" t="n">
        <v>42.4</v>
      </c>
    </row>
    <row r="66">
      <c r="A66" s="6" t="n">
        <v>2016</v>
      </c>
      <c r="B66" s="8" t="n">
        <v>5</v>
      </c>
      <c r="C66" s="8" t="n">
        <v>9.800000000000001</v>
      </c>
      <c r="D66" s="8" t="n">
        <v>12.6</v>
      </c>
      <c r="E66" s="8" t="n">
        <v>15.3</v>
      </c>
      <c r="F66" s="8" t="n">
        <v>20.6</v>
      </c>
      <c r="G66" s="8" t="n">
        <v>25.3</v>
      </c>
      <c r="H66" s="8" t="n">
        <v>27.9</v>
      </c>
      <c r="I66" s="8" t="n">
        <v>30.2</v>
      </c>
      <c r="J66" s="8" t="n">
        <v>30.9</v>
      </c>
      <c r="K66" s="8" t="n">
        <v>42.6</v>
      </c>
    </row>
    <row r="67">
      <c r="A67" s="6" t="n">
        <v>2017</v>
      </c>
      <c r="B67" s="7" t="n">
        <v>15</v>
      </c>
      <c r="C67" s="7" t="n">
        <v>22</v>
      </c>
      <c r="D67" s="7" t="n">
        <v>30.2</v>
      </c>
      <c r="E67" s="7" t="n">
        <v>38</v>
      </c>
      <c r="F67" s="7" t="n">
        <v>38.6</v>
      </c>
      <c r="G67" s="7" t="n">
        <v>39</v>
      </c>
      <c r="H67" s="7" t="n">
        <v>39</v>
      </c>
      <c r="I67" s="7" t="n">
        <v>51</v>
      </c>
      <c r="J67" s="7" t="n">
        <v>53.8</v>
      </c>
      <c r="K67" s="7" t="n">
        <v>58.6</v>
      </c>
    </row>
    <row r="68">
      <c r="A68" s="6" t="n">
        <v>2018</v>
      </c>
      <c r="B68" s="7" t="n">
        <v>2.6</v>
      </c>
      <c r="C68" s="7" t="n">
        <v>3.4</v>
      </c>
      <c r="D68" s="7" t="n">
        <v>5.2</v>
      </c>
      <c r="E68" s="7" t="n">
        <v>8.199999999999999</v>
      </c>
      <c r="F68" s="7" t="n">
        <v>12.8</v>
      </c>
      <c r="G68" s="7" t="n">
        <v>16.2</v>
      </c>
      <c r="H68" s="7" t="n">
        <v>16.4</v>
      </c>
      <c r="I68" s="7" t="n">
        <v>17.4</v>
      </c>
      <c r="J68" s="7" t="n">
        <v>18.4</v>
      </c>
      <c r="K68" s="7" t="n">
        <v>27.2</v>
      </c>
    </row>
    <row r="69">
      <c r="A69" s="6" t="n">
        <v>2019</v>
      </c>
      <c r="B69" s="7" t="n">
        <v>10</v>
      </c>
      <c r="C69" s="7" t="n">
        <v>13.4</v>
      </c>
      <c r="D69" s="7" t="n">
        <v>20.8</v>
      </c>
      <c r="E69" s="7" t="n">
        <v>29.6</v>
      </c>
      <c r="F69" s="7" t="n">
        <v>33.3</v>
      </c>
      <c r="G69" s="7" t="n">
        <v>34.2</v>
      </c>
      <c r="H69" s="7" t="n">
        <v>34.2</v>
      </c>
      <c r="I69" s="7" t="n">
        <v>34.2</v>
      </c>
      <c r="J69" s="7" t="n">
        <v>39</v>
      </c>
      <c r="K69" s="7" t="n">
        <v>64.2</v>
      </c>
    </row>
    <row r="70">
      <c r="A70" s="6" t="n">
        <v>2020</v>
      </c>
      <c r="B70" s="7" t="n">
        <v>1.6</v>
      </c>
      <c r="C70" s="7" t="n">
        <v>3.2</v>
      </c>
      <c r="D70" s="7" t="n">
        <v>4.3</v>
      </c>
      <c r="E70" s="7" t="n">
        <v>7.4</v>
      </c>
      <c r="F70" s="7" t="n">
        <v>10.8</v>
      </c>
      <c r="G70" s="7" t="n">
        <v>14.4</v>
      </c>
      <c r="H70" s="7" t="n">
        <v>16.8</v>
      </c>
      <c r="I70" s="7" t="n">
        <v>18.4</v>
      </c>
      <c r="J70" s="7" t="n">
        <v>18.8</v>
      </c>
      <c r="K70" s="7" t="n">
        <v>24.8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0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</cols>
  <sheetData>
    <row r="1">
      <c r="A1" s="1" t="inlineStr">
        <is>
          <t>Gauge 15  |  FL609065AF  |  YITI</t>
        </is>
      </c>
    </row>
    <row r="3">
      <c r="A3" s="2" t="inlineStr">
        <is>
          <t>AMS BEFORE gap filling (observed only, mm)</t>
        </is>
      </c>
      <c r="M3" s="3" t="inlineStr">
        <is>
          <t>IDF - design rainfall DEPTH (mm)</t>
        </is>
      </c>
    </row>
    <row r="4">
      <c r="A4" s="4" t="inlineStr">
        <is>
          <t>Water year</t>
        </is>
      </c>
      <c r="B4" s="5" t="inlineStr">
        <is>
          <t>5min</t>
        </is>
      </c>
      <c r="C4" s="5" t="inlineStr">
        <is>
          <t>10min</t>
        </is>
      </c>
      <c r="D4" s="5" t="inlineStr">
        <is>
          <t>15min</t>
        </is>
      </c>
      <c r="E4" s="5" t="inlineStr">
        <is>
          <t>30min</t>
        </is>
      </c>
      <c r="F4" s="5" t="inlineStr">
        <is>
          <t>1h</t>
        </is>
      </c>
      <c r="G4" s="5" t="inlineStr">
        <is>
          <t>2h</t>
        </is>
      </c>
      <c r="H4" s="5" t="inlineStr">
        <is>
          <t>3h</t>
        </is>
      </c>
      <c r="I4" s="5" t="inlineStr">
        <is>
          <t>6h</t>
        </is>
      </c>
      <c r="J4" s="5" t="inlineStr">
        <is>
          <t>12h</t>
        </is>
      </c>
      <c r="K4" s="5" t="inlineStr">
        <is>
          <t>24h</t>
        </is>
      </c>
      <c r="M4" s="4" t="inlineStr">
        <is>
          <t>Duration \ RP</t>
        </is>
      </c>
      <c r="N4" s="4" t="n">
        <v>2</v>
      </c>
      <c r="O4" s="4" t="n">
        <v>5</v>
      </c>
      <c r="P4" s="4" t="n">
        <v>10</v>
      </c>
      <c r="Q4" s="4" t="n">
        <v>25</v>
      </c>
      <c r="R4" s="4" t="n">
        <v>50</v>
      </c>
      <c r="S4" s="4" t="n">
        <v>100</v>
      </c>
      <c r="T4" s="4" t="n">
        <v>200</v>
      </c>
      <c r="U4" s="4" t="n">
        <v>500</v>
      </c>
      <c r="V4" s="4" t="n">
        <v>1000</v>
      </c>
      <c r="W4" s="4" t="n">
        <v>2000</v>
      </c>
      <c r="X4" s="4" t="n">
        <v>5000</v>
      </c>
      <c r="Y4" s="4" t="n">
        <v>10000</v>
      </c>
    </row>
    <row r="5">
      <c r="A5" s="6" t="n">
        <v>2001</v>
      </c>
      <c r="B5" s="7" t="n"/>
      <c r="C5" s="7" t="n">
        <v>0.8</v>
      </c>
      <c r="D5" s="7" t="n">
        <v>0.8</v>
      </c>
      <c r="E5" s="7" t="n">
        <v>1</v>
      </c>
      <c r="F5" s="7" t="n">
        <v>1.4</v>
      </c>
      <c r="G5" s="7" t="n">
        <v>1.5</v>
      </c>
      <c r="H5" s="7" t="n">
        <v>1.6</v>
      </c>
      <c r="I5" s="7" t="n">
        <v>1.8</v>
      </c>
      <c r="J5" s="7" t="n">
        <v>1.9</v>
      </c>
      <c r="K5" s="7" t="n">
        <v>3</v>
      </c>
      <c r="M5" s="6" t="inlineStr">
        <is>
          <t>5min</t>
        </is>
      </c>
      <c r="N5" s="6" t="n">
        <v>4.1</v>
      </c>
      <c r="O5" s="6" t="n">
        <v>6.8</v>
      </c>
      <c r="P5" s="6" t="n">
        <v>8.6</v>
      </c>
      <c r="Q5" s="6" t="n">
        <v>11.1</v>
      </c>
      <c r="R5" s="6" t="n">
        <v>13.1</v>
      </c>
      <c r="S5" s="6" t="n">
        <v>15.2</v>
      </c>
      <c r="T5" s="6" t="n">
        <v>17.4</v>
      </c>
      <c r="U5" s="6" t="n">
        <v>20.4</v>
      </c>
      <c r="V5" s="6" t="n">
        <v>22.9</v>
      </c>
      <c r="W5" s="6" t="n">
        <v>25.4</v>
      </c>
      <c r="X5" s="6" t="n">
        <v>29.1</v>
      </c>
      <c r="Y5" s="6" t="n">
        <v>32</v>
      </c>
    </row>
    <row r="6">
      <c r="A6" s="6" t="n">
        <v>2002</v>
      </c>
      <c r="B6" s="7" t="n"/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M6" s="6" t="inlineStr">
        <is>
          <t>10min</t>
        </is>
      </c>
      <c r="N6" s="6" t="n">
        <v>6.6</v>
      </c>
      <c r="O6" s="6" t="n">
        <v>10.9</v>
      </c>
      <c r="P6" s="6" t="n">
        <v>14</v>
      </c>
      <c r="Q6" s="6" t="n">
        <v>18.2</v>
      </c>
      <c r="R6" s="6" t="n">
        <v>21.6</v>
      </c>
      <c r="S6" s="6" t="n">
        <v>25.2</v>
      </c>
      <c r="T6" s="6" t="n">
        <v>29</v>
      </c>
      <c r="U6" s="6" t="n">
        <v>34.3</v>
      </c>
      <c r="V6" s="6" t="n">
        <v>38.7</v>
      </c>
      <c r="W6" s="6" t="n">
        <v>43.4</v>
      </c>
      <c r="X6" s="6" t="n">
        <v>50</v>
      </c>
      <c r="Y6" s="6" t="n">
        <v>55.4</v>
      </c>
    </row>
    <row r="7">
      <c r="A7" s="6" t="n">
        <v>2003</v>
      </c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M7" s="6" t="inlineStr">
        <is>
          <t>15min</t>
        </is>
      </c>
      <c r="N7" s="6" t="n">
        <v>8.1</v>
      </c>
      <c r="O7" s="6" t="n">
        <v>13.7</v>
      </c>
      <c r="P7" s="6" t="n">
        <v>17.9</v>
      </c>
      <c r="Q7" s="6" t="n">
        <v>23.7</v>
      </c>
      <c r="R7" s="6" t="n">
        <v>28.4</v>
      </c>
      <c r="S7" s="6" t="n">
        <v>33.5</v>
      </c>
      <c r="T7" s="6" t="n">
        <v>39</v>
      </c>
      <c r="U7" s="6" t="n">
        <v>47.1</v>
      </c>
      <c r="V7" s="6" t="n">
        <v>53.7</v>
      </c>
      <c r="W7" s="6" t="n">
        <v>61</v>
      </c>
      <c r="X7" s="6" t="n">
        <v>71.5</v>
      </c>
      <c r="Y7" s="6" t="n">
        <v>80.3</v>
      </c>
    </row>
    <row r="8">
      <c r="A8" s="6" t="n">
        <v>2004</v>
      </c>
      <c r="B8" s="7" t="n">
        <v>7</v>
      </c>
      <c r="C8" s="7" t="n">
        <v>8.800000000000001</v>
      </c>
      <c r="D8" s="7" t="n">
        <v>10</v>
      </c>
      <c r="E8" s="7" t="n">
        <v>12</v>
      </c>
      <c r="F8" s="7" t="n">
        <v>12</v>
      </c>
      <c r="G8" s="7" t="n">
        <v>12</v>
      </c>
      <c r="H8" s="7" t="n">
        <v>12</v>
      </c>
      <c r="I8" s="7" t="n">
        <v>12.1</v>
      </c>
      <c r="J8" s="7" t="n">
        <v>12.2</v>
      </c>
      <c r="K8" s="7" t="n">
        <v>12.3</v>
      </c>
      <c r="M8" s="6" t="inlineStr">
        <is>
          <t>30min</t>
        </is>
      </c>
      <c r="N8" s="6" t="n">
        <v>10.9</v>
      </c>
      <c r="O8" s="6" t="n">
        <v>18.8</v>
      </c>
      <c r="P8" s="6" t="n">
        <v>24.5</v>
      </c>
      <c r="Q8" s="6" t="n">
        <v>32.5</v>
      </c>
      <c r="R8" s="6" t="n">
        <v>38.9</v>
      </c>
      <c r="S8" s="6" t="n">
        <v>45.7</v>
      </c>
      <c r="T8" s="6" t="n">
        <v>53.1</v>
      </c>
      <c r="U8" s="6" t="n">
        <v>63.6</v>
      </c>
      <c r="V8" s="6" t="n">
        <v>72.2</v>
      </c>
      <c r="W8" s="6" t="n">
        <v>81.40000000000001</v>
      </c>
      <c r="X8" s="6" t="n">
        <v>94.7</v>
      </c>
      <c r="Y8" s="6" t="n">
        <v>105.6</v>
      </c>
    </row>
    <row r="9">
      <c r="A9" s="6" t="n">
        <v>2005</v>
      </c>
      <c r="B9" s="7" t="n">
        <v>0.6</v>
      </c>
      <c r="C9" s="7" t="n">
        <v>1</v>
      </c>
      <c r="D9" s="7" t="n">
        <v>1.4</v>
      </c>
      <c r="E9" s="7" t="n">
        <v>2.8</v>
      </c>
      <c r="F9" s="7" t="n">
        <v>5.2</v>
      </c>
      <c r="G9" s="7" t="n">
        <v>8.300000000000001</v>
      </c>
      <c r="H9" s="7" t="n">
        <v>10.4</v>
      </c>
      <c r="I9" s="7" t="n">
        <v>17.8</v>
      </c>
      <c r="J9" s="7" t="n">
        <v>23.8</v>
      </c>
      <c r="K9" s="7" t="n">
        <v>23.9</v>
      </c>
      <c r="M9" s="6" t="inlineStr">
        <is>
          <t>1h</t>
        </is>
      </c>
      <c r="N9" s="6" t="n">
        <v>13.4</v>
      </c>
      <c r="O9" s="6" t="n">
        <v>23.3</v>
      </c>
      <c r="P9" s="6" t="n">
        <v>30.5</v>
      </c>
      <c r="Q9" s="6" t="n">
        <v>40.6</v>
      </c>
      <c r="R9" s="6" t="n">
        <v>48.7</v>
      </c>
      <c r="S9" s="6" t="n">
        <v>57.5</v>
      </c>
      <c r="T9" s="6" t="n">
        <v>66.90000000000001</v>
      </c>
      <c r="U9" s="6" t="n">
        <v>80.5</v>
      </c>
      <c r="V9" s="6" t="n">
        <v>91.7</v>
      </c>
      <c r="W9" s="6" t="n">
        <v>103.8</v>
      </c>
      <c r="X9" s="6" t="n">
        <v>121.3</v>
      </c>
      <c r="Y9" s="6" t="n">
        <v>135.7</v>
      </c>
    </row>
    <row r="10">
      <c r="A10" s="6" t="n">
        <v>2006</v>
      </c>
      <c r="B10" s="7" t="n">
        <v>1.4</v>
      </c>
      <c r="C10" s="7" t="n">
        <v>2.6</v>
      </c>
      <c r="D10" s="7" t="n">
        <v>3.2</v>
      </c>
      <c r="E10" s="7" t="n">
        <v>4.2</v>
      </c>
      <c r="F10" s="7" t="n">
        <v>6.2</v>
      </c>
      <c r="G10" s="7" t="n">
        <v>6.2</v>
      </c>
      <c r="H10" s="7" t="n">
        <v>6.3</v>
      </c>
      <c r="I10" s="7" t="n">
        <v>9.199999999999999</v>
      </c>
      <c r="J10" s="7" t="n">
        <v>9.6</v>
      </c>
      <c r="K10" s="7" t="n">
        <v>9.800000000000001</v>
      </c>
      <c r="M10" s="6" t="inlineStr">
        <is>
          <t>2h</t>
        </is>
      </c>
      <c r="N10" s="6" t="n">
        <v>15.2</v>
      </c>
      <c r="O10" s="6" t="n">
        <v>27</v>
      </c>
      <c r="P10" s="6" t="n">
        <v>36.2</v>
      </c>
      <c r="Q10" s="6" t="n">
        <v>49.6</v>
      </c>
      <c r="R10" s="6" t="n">
        <v>61</v>
      </c>
      <c r="S10" s="6" t="n">
        <v>73.7</v>
      </c>
      <c r="T10" s="6" t="n">
        <v>87.90000000000001</v>
      </c>
      <c r="U10" s="6" t="n">
        <v>109.5</v>
      </c>
      <c r="V10" s="6" t="n">
        <v>128.2</v>
      </c>
      <c r="W10" s="6" t="n">
        <v>149.2</v>
      </c>
      <c r="X10" s="6" t="n">
        <v>181</v>
      </c>
      <c r="Y10" s="6" t="n">
        <v>208.6</v>
      </c>
    </row>
    <row r="11">
      <c r="A11" s="6" t="n">
        <v>2007</v>
      </c>
      <c r="B11" s="7" t="n">
        <v>7.4</v>
      </c>
      <c r="C11" s="7" t="n">
        <v>12.6</v>
      </c>
      <c r="D11" s="7" t="n">
        <v>17.4</v>
      </c>
      <c r="E11" s="7" t="n">
        <v>24.6</v>
      </c>
      <c r="F11" s="7" t="n">
        <v>37.2</v>
      </c>
      <c r="G11" s="7" t="n">
        <v>55.8</v>
      </c>
      <c r="H11" s="7" t="n">
        <v>73.8</v>
      </c>
      <c r="I11" s="7" t="n">
        <v>128.4</v>
      </c>
      <c r="J11" s="7" t="n">
        <v>202.4</v>
      </c>
      <c r="K11" s="7" t="n">
        <v>286.5</v>
      </c>
      <c r="M11" s="6" t="inlineStr">
        <is>
          <t>3h</t>
        </is>
      </c>
      <c r="N11" s="6" t="n">
        <v>16.3</v>
      </c>
      <c r="O11" s="6" t="n">
        <v>29.3</v>
      </c>
      <c r="P11" s="6" t="n">
        <v>39.9</v>
      </c>
      <c r="Q11" s="6" t="n">
        <v>56.2</v>
      </c>
      <c r="R11" s="6" t="n">
        <v>70.7</v>
      </c>
      <c r="S11" s="6" t="n">
        <v>87.59999999999999</v>
      </c>
      <c r="T11" s="6" t="n">
        <v>107.3</v>
      </c>
      <c r="U11" s="6" t="n">
        <v>138.6</v>
      </c>
      <c r="V11" s="6" t="n">
        <v>166.8</v>
      </c>
      <c r="W11" s="6" t="n">
        <v>199.9</v>
      </c>
      <c r="X11" s="6" t="n">
        <v>252.4</v>
      </c>
      <c r="Y11" s="6" t="n">
        <v>299.9</v>
      </c>
    </row>
    <row r="12">
      <c r="A12" s="6" t="n">
        <v>2008</v>
      </c>
      <c r="B12" s="7" t="n"/>
      <c r="C12" s="7" t="n"/>
      <c r="D12" s="7" t="n"/>
      <c r="E12" s="7" t="n"/>
      <c r="F12" s="7" t="n"/>
      <c r="G12" s="7" t="n"/>
      <c r="H12" s="7" t="n"/>
      <c r="I12" s="7" t="n"/>
      <c r="J12" s="7" t="n"/>
      <c r="K12" s="7" t="n"/>
      <c r="M12" s="6" t="inlineStr">
        <is>
          <t>6h</t>
        </is>
      </c>
      <c r="N12" s="6" t="n">
        <v>18.8</v>
      </c>
      <c r="O12" s="6" t="n">
        <v>34.5</v>
      </c>
      <c r="P12" s="6" t="n">
        <v>48.6</v>
      </c>
      <c r="Q12" s="6" t="n">
        <v>71.7</v>
      </c>
      <c r="R12" s="6" t="n">
        <v>93.90000000000001</v>
      </c>
      <c r="S12" s="6" t="n">
        <v>121.3</v>
      </c>
      <c r="T12" s="6" t="n">
        <v>155.4</v>
      </c>
      <c r="U12" s="6" t="n">
        <v>213.3</v>
      </c>
      <c r="V12" s="6" t="n">
        <v>269.6</v>
      </c>
      <c r="W12" s="6" t="n">
        <v>339.6</v>
      </c>
      <c r="X12" s="6" t="n">
        <v>458.8</v>
      </c>
      <c r="Y12" s="6" t="n">
        <v>574.7</v>
      </c>
    </row>
    <row r="13">
      <c r="A13" s="6" t="n">
        <v>2009</v>
      </c>
      <c r="B13" s="7" t="n">
        <v>1.6</v>
      </c>
      <c r="C13" s="7" t="n">
        <v>2</v>
      </c>
      <c r="D13" s="7" t="n">
        <v>2</v>
      </c>
      <c r="E13" s="7" t="n">
        <v>2.6</v>
      </c>
      <c r="F13" s="7" t="n">
        <v>2.8</v>
      </c>
      <c r="G13" s="7" t="n">
        <v>2.9</v>
      </c>
      <c r="H13" s="7" t="n">
        <v>2.9</v>
      </c>
      <c r="I13" s="7" t="n">
        <v>4.6</v>
      </c>
      <c r="J13" s="7" t="n">
        <v>6.2</v>
      </c>
      <c r="K13" s="7" t="n">
        <v>8</v>
      </c>
      <c r="M13" s="6" t="inlineStr">
        <is>
          <t>12h</t>
        </is>
      </c>
      <c r="N13" s="6" t="n">
        <v>21.3</v>
      </c>
      <c r="O13" s="6" t="n">
        <v>39.8</v>
      </c>
      <c r="P13" s="6" t="n">
        <v>57.1</v>
      </c>
      <c r="Q13" s="6" t="n">
        <v>86.90000000000001</v>
      </c>
      <c r="R13" s="6" t="n">
        <v>116.8</v>
      </c>
      <c r="S13" s="6" t="n">
        <v>155</v>
      </c>
      <c r="T13" s="6" t="n">
        <v>204.2</v>
      </c>
      <c r="U13" s="6" t="n">
        <v>291.6</v>
      </c>
      <c r="V13" s="6" t="n">
        <v>380</v>
      </c>
      <c r="W13" s="6" t="n">
        <v>493.9</v>
      </c>
      <c r="X13" s="6" t="n">
        <v>696.5</v>
      </c>
      <c r="Y13" s="6" t="n">
        <v>901.7</v>
      </c>
    </row>
    <row r="14">
      <c r="A14" s="6" t="n">
        <v>2010</v>
      </c>
      <c r="B14" s="7" t="n">
        <v>8.199999999999999</v>
      </c>
      <c r="C14" s="7" t="n">
        <v>12.8</v>
      </c>
      <c r="D14" s="7" t="n">
        <v>16.4</v>
      </c>
      <c r="E14" s="7" t="n">
        <v>24</v>
      </c>
      <c r="F14" s="7" t="n">
        <v>27.8</v>
      </c>
      <c r="G14" s="7" t="n">
        <v>35.8</v>
      </c>
      <c r="H14" s="7" t="n">
        <v>40</v>
      </c>
      <c r="I14" s="7" t="n">
        <v>65.59999999999999</v>
      </c>
      <c r="J14" s="7" t="n">
        <v>121.6</v>
      </c>
      <c r="K14" s="7" t="n">
        <v>161.6</v>
      </c>
      <c r="M14" s="6" t="inlineStr">
        <is>
          <t>24h</t>
        </is>
      </c>
      <c r="N14" s="6" t="n">
        <v>28.1</v>
      </c>
      <c r="O14" s="6" t="n">
        <v>54.5</v>
      </c>
      <c r="P14" s="6" t="n">
        <v>78.7</v>
      </c>
      <c r="Q14" s="6" t="n">
        <v>120</v>
      </c>
      <c r="R14" s="6" t="n">
        <v>160.9</v>
      </c>
      <c r="S14" s="6" t="n">
        <v>212.9</v>
      </c>
      <c r="T14" s="6" t="n">
        <v>279</v>
      </c>
      <c r="U14" s="6" t="n">
        <v>395.1</v>
      </c>
      <c r="V14" s="6" t="n">
        <v>511.3</v>
      </c>
      <c r="W14" s="6" t="n">
        <v>659.6</v>
      </c>
      <c r="X14" s="6" t="n">
        <v>920.2</v>
      </c>
      <c r="Y14" s="6" t="n">
        <v>1181.3</v>
      </c>
    </row>
    <row r="15">
      <c r="A15" s="6" t="n">
        <v>2011</v>
      </c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</row>
    <row r="16">
      <c r="A16" s="6" t="n">
        <v>2012</v>
      </c>
      <c r="B16" s="7" t="n"/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  <c r="M16" s="3" t="inlineStr">
        <is>
          <t>IDF - intensity (mm/hr) [x=duration(min)]</t>
        </is>
      </c>
    </row>
    <row r="17">
      <c r="A17" s="6" t="n">
        <v>2013</v>
      </c>
      <c r="B17" s="7" t="n"/>
      <c r="C17" s="7" t="n">
        <v>2.1</v>
      </c>
      <c r="D17" s="7" t="n">
        <v>3.1</v>
      </c>
      <c r="E17" s="7" t="n">
        <v>6.3</v>
      </c>
      <c r="F17" s="7" t="n">
        <v>12.6</v>
      </c>
      <c r="G17" s="7" t="n">
        <v>15.6</v>
      </c>
      <c r="H17" s="7" t="n">
        <v>17.4</v>
      </c>
      <c r="I17" s="7" t="n">
        <v>20.4</v>
      </c>
      <c r="J17" s="7" t="n">
        <v>21.8</v>
      </c>
      <c r="K17" s="7" t="n">
        <v>22</v>
      </c>
      <c r="M17" t="inlineStr">
        <is>
          <t>Duration(min)</t>
        </is>
      </c>
      <c r="N17" t="inlineStr">
        <is>
          <t>2 yr</t>
        </is>
      </c>
      <c r="O17" t="inlineStr">
        <is>
          <t>5 yr</t>
        </is>
      </c>
      <c r="P17" t="inlineStr">
        <is>
          <t>10 yr</t>
        </is>
      </c>
      <c r="Q17" t="inlineStr">
        <is>
          <t>25 yr</t>
        </is>
      </c>
      <c r="R17" t="inlineStr">
        <is>
          <t>50 yr</t>
        </is>
      </c>
      <c r="S17" t="inlineStr">
        <is>
          <t>100 yr</t>
        </is>
      </c>
      <c r="T17" t="inlineStr">
        <is>
          <t>200 yr</t>
        </is>
      </c>
      <c r="U17" t="inlineStr">
        <is>
          <t>500 yr</t>
        </is>
      </c>
      <c r="V17" t="inlineStr">
        <is>
          <t>1000 yr</t>
        </is>
      </c>
      <c r="W17" t="inlineStr">
        <is>
          <t>2000 yr</t>
        </is>
      </c>
      <c r="X17" t="inlineStr">
        <is>
          <t>5000 yr</t>
        </is>
      </c>
      <c r="Y17" t="inlineStr">
        <is>
          <t>10000 yr</t>
        </is>
      </c>
    </row>
    <row r="18">
      <c r="A18" s="6" t="n">
        <v>2014</v>
      </c>
      <c r="B18" s="7" t="n">
        <v>2.4</v>
      </c>
      <c r="C18" s="7" t="n">
        <v>4.9</v>
      </c>
      <c r="D18" s="7" t="n">
        <v>7.3</v>
      </c>
      <c r="E18" s="7" t="n">
        <v>12.2</v>
      </c>
      <c r="F18" s="7" t="n">
        <v>19.2</v>
      </c>
      <c r="G18" s="7" t="n">
        <v>29.2</v>
      </c>
      <c r="H18" s="7" t="n">
        <v>33.4</v>
      </c>
      <c r="I18" s="7" t="n">
        <v>52.8</v>
      </c>
      <c r="J18" s="7" t="n">
        <v>65.2</v>
      </c>
      <c r="K18" s="7" t="n">
        <v>65.2</v>
      </c>
      <c r="M18" t="n">
        <v>5</v>
      </c>
      <c r="N18" t="n">
        <v>49.7</v>
      </c>
      <c r="O18" t="n">
        <v>81.2</v>
      </c>
      <c r="P18" t="n">
        <v>103.5</v>
      </c>
      <c r="Q18" t="n">
        <v>133.6</v>
      </c>
      <c r="R18" t="n">
        <v>157.4</v>
      </c>
      <c r="S18" t="n">
        <v>182.3</v>
      </c>
      <c r="T18" t="n">
        <v>208.4</v>
      </c>
      <c r="U18" t="n">
        <v>245</v>
      </c>
      <c r="V18" t="n">
        <v>274.4</v>
      </c>
      <c r="W18" t="n">
        <v>305.3</v>
      </c>
      <c r="X18" t="n">
        <v>348.7</v>
      </c>
      <c r="Y18" t="n">
        <v>383.7</v>
      </c>
    </row>
    <row r="19">
      <c r="A19" s="6" t="n">
        <v>2015</v>
      </c>
      <c r="B19" s="7" t="n">
        <v>6</v>
      </c>
      <c r="C19" s="7" t="n">
        <v>11</v>
      </c>
      <c r="D19" s="7" t="n">
        <v>12.1</v>
      </c>
      <c r="E19" s="7" t="n">
        <v>14</v>
      </c>
      <c r="F19" s="7" t="n">
        <v>18.5</v>
      </c>
      <c r="G19" s="7" t="n">
        <v>18.8</v>
      </c>
      <c r="H19" s="7" t="n">
        <v>19</v>
      </c>
      <c r="I19" s="7" t="n">
        <v>29</v>
      </c>
      <c r="J19" s="7" t="n">
        <v>30.4</v>
      </c>
      <c r="K19" s="7" t="n">
        <v>31.6</v>
      </c>
      <c r="M19" t="n">
        <v>10</v>
      </c>
      <c r="N19" t="n">
        <v>39.6</v>
      </c>
      <c r="O19" t="n">
        <v>65.3</v>
      </c>
      <c r="P19" t="n">
        <v>83.90000000000001</v>
      </c>
      <c r="Q19" t="n">
        <v>109.2</v>
      </c>
      <c r="R19" t="n">
        <v>129.5</v>
      </c>
      <c r="S19" t="n">
        <v>151</v>
      </c>
      <c r="T19" t="n">
        <v>173.7</v>
      </c>
      <c r="U19" t="n">
        <v>206.1</v>
      </c>
      <c r="V19" t="n">
        <v>232.4</v>
      </c>
      <c r="W19" t="n">
        <v>260.4</v>
      </c>
      <c r="X19" t="n">
        <v>300.2</v>
      </c>
      <c r="Y19" t="n">
        <v>332.6</v>
      </c>
    </row>
    <row r="20">
      <c r="A20" s="6" t="n">
        <v>2016</v>
      </c>
      <c r="B20" s="7" t="n">
        <v>11.8</v>
      </c>
      <c r="C20" s="7" t="n">
        <v>17.8</v>
      </c>
      <c r="D20" s="7" t="n">
        <v>21.7</v>
      </c>
      <c r="E20" s="7" t="n">
        <v>28.3</v>
      </c>
      <c r="F20" s="7" t="n">
        <v>34.5</v>
      </c>
      <c r="G20" s="7" t="n">
        <v>37.1</v>
      </c>
      <c r="H20" s="7" t="n">
        <v>40.4</v>
      </c>
      <c r="I20" s="7" t="n">
        <v>43.1</v>
      </c>
      <c r="J20" s="7" t="n">
        <v>43.4</v>
      </c>
      <c r="K20" s="7" t="n">
        <v>55.8</v>
      </c>
      <c r="M20" t="n">
        <v>15</v>
      </c>
      <c r="N20" t="n">
        <v>32.5</v>
      </c>
      <c r="O20" t="n">
        <v>54.9</v>
      </c>
      <c r="P20" t="n">
        <v>71.5</v>
      </c>
      <c r="Q20" t="n">
        <v>94.59999999999999</v>
      </c>
      <c r="R20" t="n">
        <v>113.6</v>
      </c>
      <c r="S20" t="n">
        <v>134</v>
      </c>
      <c r="T20" t="n">
        <v>156.1</v>
      </c>
      <c r="U20" t="n">
        <v>188.2</v>
      </c>
      <c r="V20" t="n">
        <v>215</v>
      </c>
      <c r="W20" t="n">
        <v>244</v>
      </c>
      <c r="X20" t="n">
        <v>286.1</v>
      </c>
      <c r="Y20" t="n">
        <v>321.3</v>
      </c>
    </row>
    <row r="21">
      <c r="M21" t="n">
        <v>30</v>
      </c>
      <c r="N21" t="n">
        <v>21.8</v>
      </c>
      <c r="O21" t="n">
        <v>37.6</v>
      </c>
      <c r="P21" t="n">
        <v>49.1</v>
      </c>
      <c r="Q21" t="n">
        <v>65</v>
      </c>
      <c r="R21" t="n">
        <v>77.8</v>
      </c>
      <c r="S21" t="n">
        <v>91.5</v>
      </c>
      <c r="T21" t="n">
        <v>106.1</v>
      </c>
      <c r="U21" t="n">
        <v>127.1</v>
      </c>
      <c r="V21" t="n">
        <v>144.4</v>
      </c>
      <c r="W21" t="n">
        <v>162.9</v>
      </c>
      <c r="X21" t="n">
        <v>189.4</v>
      </c>
      <c r="Y21" t="n">
        <v>211.3</v>
      </c>
    </row>
    <row r="22">
      <c r="M22" t="n">
        <v>60</v>
      </c>
      <c r="N22" t="n">
        <v>13.4</v>
      </c>
      <c r="O22" t="n">
        <v>23.3</v>
      </c>
      <c r="P22" t="n">
        <v>30.5</v>
      </c>
      <c r="Q22" t="n">
        <v>40.6</v>
      </c>
      <c r="R22" t="n">
        <v>48.7</v>
      </c>
      <c r="S22" t="n">
        <v>57.5</v>
      </c>
      <c r="T22" t="n">
        <v>66.90000000000001</v>
      </c>
      <c r="U22" t="n">
        <v>80.5</v>
      </c>
      <c r="V22" t="n">
        <v>91.7</v>
      </c>
      <c r="W22" t="n">
        <v>103.8</v>
      </c>
      <c r="X22" t="n">
        <v>121.3</v>
      </c>
      <c r="Y22" t="n">
        <v>135.7</v>
      </c>
    </row>
    <row r="23">
      <c r="A23" s="2" t="inlineStr">
        <is>
          <t>AMS AFTER gap filling (mm)  -  yellow = added or changed by gap filling</t>
        </is>
      </c>
      <c r="M23" t="n">
        <v>120</v>
      </c>
      <c r="N23" t="n">
        <v>7.6</v>
      </c>
      <c r="O23" t="n">
        <v>13.5</v>
      </c>
      <c r="P23" t="n">
        <v>18.1</v>
      </c>
      <c r="Q23" t="n">
        <v>24.8</v>
      </c>
      <c r="R23" t="n">
        <v>30.5</v>
      </c>
      <c r="S23" t="n">
        <v>36.8</v>
      </c>
      <c r="T23" t="n">
        <v>44</v>
      </c>
      <c r="U23" t="n">
        <v>54.8</v>
      </c>
      <c r="V23" t="n">
        <v>64.09999999999999</v>
      </c>
      <c r="W23" t="n">
        <v>74.59999999999999</v>
      </c>
      <c r="X23" t="n">
        <v>90.5</v>
      </c>
      <c r="Y23" t="n">
        <v>104.3</v>
      </c>
    </row>
    <row r="24">
      <c r="A24" s="4" t="inlineStr">
        <is>
          <t>Water year</t>
        </is>
      </c>
      <c r="B24" s="5" t="inlineStr">
        <is>
          <t>5min</t>
        </is>
      </c>
      <c r="C24" s="5" t="inlineStr">
        <is>
          <t>10min</t>
        </is>
      </c>
      <c r="D24" s="5" t="inlineStr">
        <is>
          <t>15min</t>
        </is>
      </c>
      <c r="E24" s="5" t="inlineStr">
        <is>
          <t>30min</t>
        </is>
      </c>
      <c r="F24" s="5" t="inlineStr">
        <is>
          <t>1h</t>
        </is>
      </c>
      <c r="G24" s="5" t="inlineStr">
        <is>
          <t>2h</t>
        </is>
      </c>
      <c r="H24" s="5" t="inlineStr">
        <is>
          <t>3h</t>
        </is>
      </c>
      <c r="I24" s="5" t="inlineStr">
        <is>
          <t>6h</t>
        </is>
      </c>
      <c r="J24" s="5" t="inlineStr">
        <is>
          <t>12h</t>
        </is>
      </c>
      <c r="K24" s="5" t="inlineStr">
        <is>
          <t>24h</t>
        </is>
      </c>
      <c r="M24" t="n">
        <v>180</v>
      </c>
      <c r="N24" t="n">
        <v>5.4</v>
      </c>
      <c r="O24" t="n">
        <v>9.800000000000001</v>
      </c>
      <c r="P24" t="n">
        <v>13.3</v>
      </c>
      <c r="Q24" t="n">
        <v>18.7</v>
      </c>
      <c r="R24" t="n">
        <v>23.6</v>
      </c>
      <c r="S24" t="n">
        <v>29.2</v>
      </c>
      <c r="T24" t="n">
        <v>35.8</v>
      </c>
      <c r="U24" t="n">
        <v>46.2</v>
      </c>
      <c r="V24" t="n">
        <v>55.6</v>
      </c>
      <c r="W24" t="n">
        <v>66.59999999999999</v>
      </c>
      <c r="X24" t="n">
        <v>84.09999999999999</v>
      </c>
      <c r="Y24" t="n">
        <v>100</v>
      </c>
    </row>
    <row r="25">
      <c r="A25" s="6" t="n">
        <v>2001</v>
      </c>
      <c r="B25" s="7" t="n"/>
      <c r="C25" s="7" t="n">
        <v>0.8</v>
      </c>
      <c r="D25" s="7" t="n">
        <v>0.8</v>
      </c>
      <c r="E25" s="7" t="n">
        <v>1</v>
      </c>
      <c r="F25" s="7" t="n">
        <v>1.4</v>
      </c>
      <c r="G25" s="7" t="n">
        <v>1.5</v>
      </c>
      <c r="H25" s="7" t="n">
        <v>1.6</v>
      </c>
      <c r="I25" s="7" t="n">
        <v>1.8</v>
      </c>
      <c r="J25" s="7" t="n">
        <v>1.9</v>
      </c>
      <c r="K25" s="7" t="n">
        <v>3</v>
      </c>
      <c r="M25" t="n">
        <v>360</v>
      </c>
      <c r="N25" t="n">
        <v>3.1</v>
      </c>
      <c r="O25" t="n">
        <v>5.8</v>
      </c>
      <c r="P25" t="n">
        <v>8.1</v>
      </c>
      <c r="Q25" t="n">
        <v>11.9</v>
      </c>
      <c r="R25" t="n">
        <v>15.6</v>
      </c>
      <c r="S25" t="n">
        <v>20.2</v>
      </c>
      <c r="T25" t="n">
        <v>25.9</v>
      </c>
      <c r="U25" t="n">
        <v>35.6</v>
      </c>
      <c r="V25" t="n">
        <v>44.9</v>
      </c>
      <c r="W25" t="n">
        <v>56.6</v>
      </c>
      <c r="X25" t="n">
        <v>76.5</v>
      </c>
      <c r="Y25" t="n">
        <v>95.8</v>
      </c>
    </row>
    <row r="26">
      <c r="A26" s="6" t="n">
        <v>2002</v>
      </c>
      <c r="B26" s="8" t="n">
        <v>2</v>
      </c>
      <c r="C26" s="8" t="n">
        <v>3.9</v>
      </c>
      <c r="D26" s="8" t="n">
        <v>5.4</v>
      </c>
      <c r="E26" s="8" t="n">
        <v>8.800000000000001</v>
      </c>
      <c r="F26" s="8" t="n">
        <v>12.3</v>
      </c>
      <c r="G26" s="8" t="n">
        <v>14.6</v>
      </c>
      <c r="H26" s="8" t="n">
        <v>14.7</v>
      </c>
      <c r="I26" s="8" t="n">
        <v>15</v>
      </c>
      <c r="J26" s="8" t="n">
        <v>15.3</v>
      </c>
      <c r="K26" s="8" t="n">
        <v>15.5</v>
      </c>
      <c r="M26" t="n">
        <v>720</v>
      </c>
      <c r="N26" t="n">
        <v>1.8</v>
      </c>
      <c r="O26" t="n">
        <v>3.3</v>
      </c>
      <c r="P26" t="n">
        <v>4.8</v>
      </c>
      <c r="Q26" t="n">
        <v>7.2</v>
      </c>
      <c r="R26" t="n">
        <v>9.699999999999999</v>
      </c>
      <c r="S26" t="n">
        <v>12.9</v>
      </c>
      <c r="T26" t="n">
        <v>17</v>
      </c>
      <c r="U26" t="n">
        <v>24.3</v>
      </c>
      <c r="V26" t="n">
        <v>31.7</v>
      </c>
      <c r="W26" t="n">
        <v>41.2</v>
      </c>
      <c r="X26" t="n">
        <v>58</v>
      </c>
      <c r="Y26" t="n">
        <v>75.09999999999999</v>
      </c>
    </row>
    <row r="27">
      <c r="A27" s="6" t="n">
        <v>2003</v>
      </c>
      <c r="B27" s="8" t="n">
        <v>3.1</v>
      </c>
      <c r="C27" s="8" t="n">
        <v>5.2</v>
      </c>
      <c r="D27" s="8" t="n">
        <v>7.1</v>
      </c>
      <c r="E27" s="8" t="n">
        <v>11.9</v>
      </c>
      <c r="F27" s="8" t="n">
        <v>20.7</v>
      </c>
      <c r="G27" s="8" t="n">
        <v>23</v>
      </c>
      <c r="H27" s="8" t="n">
        <v>23</v>
      </c>
      <c r="I27" s="8" t="n">
        <v>23.1</v>
      </c>
      <c r="J27" s="8" t="n">
        <v>23.2</v>
      </c>
      <c r="K27" s="8" t="n">
        <v>24</v>
      </c>
      <c r="M27" t="n">
        <v>1440</v>
      </c>
      <c r="N27" t="n">
        <v>1.2</v>
      </c>
      <c r="O27" t="n">
        <v>2.3</v>
      </c>
      <c r="P27" t="n">
        <v>3.3</v>
      </c>
      <c r="Q27" t="n">
        <v>5</v>
      </c>
      <c r="R27" t="n">
        <v>6.7</v>
      </c>
      <c r="S27" t="n">
        <v>8.9</v>
      </c>
      <c r="T27" t="n">
        <v>11.6</v>
      </c>
      <c r="U27" t="n">
        <v>16.5</v>
      </c>
      <c r="V27" t="n">
        <v>21.3</v>
      </c>
      <c r="W27" t="n">
        <v>27.5</v>
      </c>
      <c r="X27" t="n">
        <v>38.3</v>
      </c>
      <c r="Y27" t="n">
        <v>49.2</v>
      </c>
    </row>
    <row r="28">
      <c r="A28" s="6" t="n">
        <v>2004</v>
      </c>
      <c r="B28" s="7" t="n">
        <v>7</v>
      </c>
      <c r="C28" s="7" t="n">
        <v>8.800000000000001</v>
      </c>
      <c r="D28" s="7" t="n">
        <v>10</v>
      </c>
      <c r="E28" s="7" t="n">
        <v>12</v>
      </c>
      <c r="F28" s="7" t="n">
        <v>12</v>
      </c>
      <c r="G28" s="7" t="n">
        <v>12</v>
      </c>
      <c r="H28" s="7" t="n">
        <v>12</v>
      </c>
      <c r="I28" s="7" t="n">
        <v>12.1</v>
      </c>
      <c r="J28" s="7" t="n">
        <v>12.2</v>
      </c>
      <c r="K28" s="7" t="n">
        <v>12.3</v>
      </c>
    </row>
    <row r="29">
      <c r="A29" s="6" t="n">
        <v>2005</v>
      </c>
      <c r="B29" s="7" t="n">
        <v>0.6</v>
      </c>
      <c r="C29" s="7" t="n">
        <v>1</v>
      </c>
      <c r="D29" s="7" t="n">
        <v>1.4</v>
      </c>
      <c r="E29" s="7" t="n">
        <v>2.8</v>
      </c>
      <c r="F29" s="7" t="n">
        <v>5.2</v>
      </c>
      <c r="G29" s="7" t="n">
        <v>8.300000000000001</v>
      </c>
      <c r="H29" s="7" t="n">
        <v>10.4</v>
      </c>
      <c r="I29" s="7" t="n">
        <v>17.8</v>
      </c>
      <c r="J29" s="7" t="n">
        <v>23.8</v>
      </c>
      <c r="K29" s="7" t="n">
        <v>23.9</v>
      </c>
    </row>
    <row r="30">
      <c r="A30" s="6" t="n">
        <v>2006</v>
      </c>
      <c r="B30" s="8" t="n">
        <v>6.3</v>
      </c>
      <c r="C30" s="8" t="n">
        <v>11</v>
      </c>
      <c r="D30" s="8" t="n">
        <v>15.2</v>
      </c>
      <c r="E30" s="8" t="n">
        <v>22.1</v>
      </c>
      <c r="F30" s="8" t="n">
        <v>26.1</v>
      </c>
      <c r="G30" s="8" t="n">
        <v>29.1</v>
      </c>
      <c r="H30" s="8" t="n">
        <v>29.3</v>
      </c>
      <c r="I30" s="8" t="n">
        <v>29.5</v>
      </c>
      <c r="J30" s="8" t="n">
        <v>32.1</v>
      </c>
      <c r="K30" s="8" t="n">
        <v>38.9</v>
      </c>
    </row>
    <row r="31">
      <c r="A31" s="6" t="n">
        <v>2007</v>
      </c>
      <c r="B31" s="7" t="n">
        <v>7.4</v>
      </c>
      <c r="C31" s="7" t="n">
        <v>12.6</v>
      </c>
      <c r="D31" s="7" t="n">
        <v>17.4</v>
      </c>
      <c r="E31" s="7" t="n">
        <v>24.6</v>
      </c>
      <c r="F31" s="7" t="n">
        <v>37.2</v>
      </c>
      <c r="G31" s="7" t="n">
        <v>55.8</v>
      </c>
      <c r="H31" s="7" t="n">
        <v>73.8</v>
      </c>
      <c r="I31" s="7" t="n">
        <v>128.4</v>
      </c>
      <c r="J31" s="7" t="n">
        <v>202.4</v>
      </c>
      <c r="K31" s="7" t="n">
        <v>286.5</v>
      </c>
    </row>
    <row r="32">
      <c r="A32" s="6" t="n">
        <v>2008</v>
      </c>
      <c r="B32" s="8" t="n">
        <v>0.6</v>
      </c>
      <c r="C32" s="8" t="n">
        <v>1.1</v>
      </c>
      <c r="D32" s="8" t="n">
        <v>1.5</v>
      </c>
      <c r="E32" s="8" t="n">
        <v>2.3</v>
      </c>
      <c r="F32" s="8" t="n">
        <v>3.4</v>
      </c>
      <c r="G32" s="8" t="n">
        <v>4.5</v>
      </c>
      <c r="H32" s="8" t="n">
        <v>6.2</v>
      </c>
      <c r="I32" s="8" t="n">
        <v>10.6</v>
      </c>
      <c r="J32" s="8" t="n">
        <v>15.4</v>
      </c>
      <c r="K32" s="8" t="n">
        <v>20.5</v>
      </c>
    </row>
    <row r="33">
      <c r="A33" s="6" t="n">
        <v>2009</v>
      </c>
      <c r="B33" s="8" t="n">
        <v>5.2</v>
      </c>
      <c r="C33" s="8" t="n">
        <v>9.800000000000001</v>
      </c>
      <c r="D33" s="8" t="n">
        <v>12.6</v>
      </c>
      <c r="E33" s="8" t="n">
        <v>14.7</v>
      </c>
      <c r="F33" s="8" t="n">
        <v>14.8</v>
      </c>
      <c r="G33" s="8" t="n">
        <v>14.8</v>
      </c>
      <c r="H33" s="8" t="n">
        <v>14.8</v>
      </c>
      <c r="I33" s="8" t="n">
        <v>14.9</v>
      </c>
      <c r="J33" s="8" t="n">
        <v>15.2</v>
      </c>
      <c r="K33" s="8" t="n">
        <v>23.9</v>
      </c>
    </row>
    <row r="34">
      <c r="A34" s="6" t="n">
        <v>2010</v>
      </c>
      <c r="B34" s="7" t="n">
        <v>8.199999999999999</v>
      </c>
      <c r="C34" s="7" t="n">
        <v>12.8</v>
      </c>
      <c r="D34" s="7" t="n">
        <v>16.4</v>
      </c>
      <c r="E34" s="7" t="n">
        <v>24</v>
      </c>
      <c r="F34" s="7" t="n">
        <v>27.8</v>
      </c>
      <c r="G34" s="7" t="n">
        <v>35.8</v>
      </c>
      <c r="H34" s="7" t="n">
        <v>40</v>
      </c>
      <c r="I34" s="7" t="n">
        <v>65.59999999999999</v>
      </c>
      <c r="J34" s="7" t="n">
        <v>121.6</v>
      </c>
      <c r="K34" s="7" t="n">
        <v>161.6</v>
      </c>
    </row>
    <row r="35">
      <c r="A35" s="6" t="n">
        <v>2011</v>
      </c>
      <c r="B35" s="7" t="n"/>
      <c r="C35" s="7" t="n"/>
      <c r="D35" s="8" t="n">
        <v>2.1</v>
      </c>
      <c r="E35" s="8" t="n">
        <v>3.2</v>
      </c>
      <c r="F35" s="8" t="n">
        <v>4.6</v>
      </c>
      <c r="G35" s="8" t="n">
        <v>5.4</v>
      </c>
      <c r="H35" s="8" t="n">
        <v>8</v>
      </c>
      <c r="I35" s="8" t="n">
        <v>9.1</v>
      </c>
      <c r="J35" s="8" t="n">
        <v>10</v>
      </c>
      <c r="K35" s="8" t="n">
        <v>11.2</v>
      </c>
    </row>
    <row r="36">
      <c r="A36" s="6" t="n">
        <v>2012</v>
      </c>
      <c r="B36" s="8" t="n">
        <v>2.6</v>
      </c>
      <c r="C36" s="8" t="n">
        <v>4.2</v>
      </c>
      <c r="D36" s="8" t="n">
        <v>5.2</v>
      </c>
      <c r="E36" s="8" t="n">
        <v>8.300000000000001</v>
      </c>
      <c r="F36" s="8" t="n">
        <v>13.3</v>
      </c>
      <c r="G36" s="8" t="n">
        <v>18.6</v>
      </c>
      <c r="H36" s="8" t="n">
        <v>21.2</v>
      </c>
      <c r="I36" s="8" t="n">
        <v>24.1</v>
      </c>
      <c r="J36" s="8" t="n">
        <v>24.3</v>
      </c>
      <c r="K36" s="8" t="n">
        <v>25.7</v>
      </c>
    </row>
    <row r="37">
      <c r="A37" s="6" t="n">
        <v>2013</v>
      </c>
      <c r="B37" s="7" t="n"/>
      <c r="C37" s="7" t="n">
        <v>2.1</v>
      </c>
      <c r="D37" s="7" t="n">
        <v>3.1</v>
      </c>
      <c r="E37" s="7" t="n">
        <v>6.3</v>
      </c>
      <c r="F37" s="7" t="n">
        <v>12.6</v>
      </c>
      <c r="G37" s="7" t="n">
        <v>15.6</v>
      </c>
      <c r="H37" s="7" t="n">
        <v>17.4</v>
      </c>
      <c r="I37" s="7" t="n">
        <v>20.4</v>
      </c>
      <c r="J37" s="7" t="n">
        <v>21.8</v>
      </c>
      <c r="K37" s="7" t="n">
        <v>22</v>
      </c>
    </row>
    <row r="38">
      <c r="A38" s="6" t="n">
        <v>2014</v>
      </c>
      <c r="B38" s="7" t="n">
        <v>2.4</v>
      </c>
      <c r="C38" s="7" t="n">
        <v>4.9</v>
      </c>
      <c r="D38" s="7" t="n">
        <v>7.3</v>
      </c>
      <c r="E38" s="7" t="n">
        <v>12.2</v>
      </c>
      <c r="F38" s="7" t="n">
        <v>19.2</v>
      </c>
      <c r="G38" s="7" t="n">
        <v>29.2</v>
      </c>
      <c r="H38" s="7" t="n">
        <v>33.4</v>
      </c>
      <c r="I38" s="7" t="n">
        <v>52.8</v>
      </c>
      <c r="J38" s="7" t="n">
        <v>65.2</v>
      </c>
      <c r="K38" s="7" t="n">
        <v>65.2</v>
      </c>
    </row>
    <row r="39">
      <c r="A39" s="6" t="n">
        <v>2015</v>
      </c>
      <c r="B39" s="7" t="n">
        <v>6</v>
      </c>
      <c r="C39" s="7" t="n">
        <v>11</v>
      </c>
      <c r="D39" s="7" t="n">
        <v>12.1</v>
      </c>
      <c r="E39" s="7" t="n">
        <v>14</v>
      </c>
      <c r="F39" s="7" t="n">
        <v>18.5</v>
      </c>
      <c r="G39" s="7" t="n">
        <v>18.8</v>
      </c>
      <c r="H39" s="7" t="n">
        <v>19</v>
      </c>
      <c r="I39" s="7" t="n">
        <v>29</v>
      </c>
      <c r="J39" s="7" t="n">
        <v>30.4</v>
      </c>
      <c r="K39" s="7" t="n">
        <v>31.6</v>
      </c>
    </row>
    <row r="40">
      <c r="A40" s="6" t="n">
        <v>2016</v>
      </c>
      <c r="B40" s="7" t="n">
        <v>11.8</v>
      </c>
      <c r="C40" s="7" t="n">
        <v>17.8</v>
      </c>
      <c r="D40" s="7" t="n">
        <v>21.7</v>
      </c>
      <c r="E40" s="7" t="n">
        <v>28.3</v>
      </c>
      <c r="F40" s="7" t="n">
        <v>34.5</v>
      </c>
      <c r="G40" s="7" t="n">
        <v>37.1</v>
      </c>
      <c r="H40" s="7" t="n">
        <v>40.4</v>
      </c>
      <c r="I40" s="7" t="n">
        <v>43.1</v>
      </c>
      <c r="J40" s="7" t="n">
        <v>43.4</v>
      </c>
      <c r="K40" s="7" t="n">
        <v>55.8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27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</cols>
  <sheetData>
    <row r="1">
      <c r="A1" s="1" t="inlineStr">
        <is>
          <t>Gauge 20  |  FL194557BF  |  Bidbid Municipality</t>
        </is>
      </c>
    </row>
    <row r="3">
      <c r="A3" s="2" t="inlineStr">
        <is>
          <t>AMS BEFORE gap filling (observed only, mm)</t>
        </is>
      </c>
      <c r="M3" s="3" t="inlineStr">
        <is>
          <t>IDF - design rainfall DEPTH (mm)</t>
        </is>
      </c>
    </row>
    <row r="4">
      <c r="A4" s="4" t="inlineStr">
        <is>
          <t>Water year</t>
        </is>
      </c>
      <c r="B4" s="5" t="inlineStr">
        <is>
          <t>5min</t>
        </is>
      </c>
      <c r="C4" s="5" t="inlineStr">
        <is>
          <t>10min</t>
        </is>
      </c>
      <c r="D4" s="5" t="inlineStr">
        <is>
          <t>15min</t>
        </is>
      </c>
      <c r="E4" s="5" t="inlineStr">
        <is>
          <t>30min</t>
        </is>
      </c>
      <c r="F4" s="5" t="inlineStr">
        <is>
          <t>1h</t>
        </is>
      </c>
      <c r="G4" s="5" t="inlineStr">
        <is>
          <t>2h</t>
        </is>
      </c>
      <c r="H4" s="5" t="inlineStr">
        <is>
          <t>3h</t>
        </is>
      </c>
      <c r="I4" s="5" t="inlineStr">
        <is>
          <t>6h</t>
        </is>
      </c>
      <c r="J4" s="5" t="inlineStr">
        <is>
          <t>12h</t>
        </is>
      </c>
      <c r="K4" s="5" t="inlineStr">
        <is>
          <t>24h</t>
        </is>
      </c>
      <c r="M4" s="4" t="inlineStr">
        <is>
          <t>Duration \ RP</t>
        </is>
      </c>
      <c r="N4" s="4" t="n">
        <v>2</v>
      </c>
      <c r="O4" s="4" t="n">
        <v>5</v>
      </c>
      <c r="P4" s="4" t="n">
        <v>10</v>
      </c>
      <c r="Q4" s="4" t="n">
        <v>25</v>
      </c>
      <c r="R4" s="4" t="n">
        <v>50</v>
      </c>
      <c r="S4" s="4" t="n">
        <v>100</v>
      </c>
      <c r="T4" s="4" t="n">
        <v>200</v>
      </c>
      <c r="U4" s="4" t="n">
        <v>500</v>
      </c>
      <c r="V4" s="4" t="n">
        <v>1000</v>
      </c>
      <c r="W4" s="4" t="n">
        <v>2000</v>
      </c>
      <c r="X4" s="4" t="n">
        <v>5000</v>
      </c>
      <c r="Y4" s="4" t="n">
        <v>10000</v>
      </c>
    </row>
    <row r="5">
      <c r="A5" s="6" t="n">
        <v>2012</v>
      </c>
      <c r="B5" s="7" t="n">
        <v>3</v>
      </c>
      <c r="C5" s="7" t="n">
        <v>5</v>
      </c>
      <c r="D5" s="7" t="n">
        <v>6</v>
      </c>
      <c r="E5" s="7" t="n">
        <v>7.8</v>
      </c>
      <c r="F5" s="7" t="n">
        <v>9</v>
      </c>
      <c r="G5" s="7" t="n">
        <v>12</v>
      </c>
      <c r="H5" s="7" t="n">
        <v>12</v>
      </c>
      <c r="I5" s="7" t="n">
        <v>12.1</v>
      </c>
      <c r="J5" s="7" t="n">
        <v>13.9</v>
      </c>
      <c r="K5" s="7" t="n">
        <v>14.1</v>
      </c>
      <c r="M5" s="6" t="inlineStr">
        <is>
          <t>5min</t>
        </is>
      </c>
      <c r="N5" s="6" t="n">
        <v>4.5</v>
      </c>
      <c r="O5" s="6" t="n">
        <v>7.6</v>
      </c>
      <c r="P5" s="6" t="n">
        <v>10.1</v>
      </c>
      <c r="Q5" s="6" t="n">
        <v>14</v>
      </c>
      <c r="R5" s="6" t="n">
        <v>17.5</v>
      </c>
      <c r="S5" s="6" t="n">
        <v>21.5</v>
      </c>
      <c r="T5" s="6" t="n">
        <v>26.2</v>
      </c>
      <c r="U5" s="6" t="n">
        <v>33.5</v>
      </c>
      <c r="V5" s="6" t="n">
        <v>40.2</v>
      </c>
      <c r="W5" s="6" t="n">
        <v>47.9</v>
      </c>
      <c r="X5" s="6" t="n">
        <v>60.2</v>
      </c>
      <c r="Y5" s="6" t="n">
        <v>71.2</v>
      </c>
    </row>
    <row r="6">
      <c r="A6" s="6" t="n">
        <v>2013</v>
      </c>
      <c r="B6" s="7" t="n">
        <v>7.6</v>
      </c>
      <c r="C6" s="7" t="n">
        <v>12.2</v>
      </c>
      <c r="D6" s="7" t="n">
        <v>14.6</v>
      </c>
      <c r="E6" s="7" t="n">
        <v>16.2</v>
      </c>
      <c r="F6" s="7" t="n">
        <v>19.7</v>
      </c>
      <c r="G6" s="7" t="n">
        <v>21</v>
      </c>
      <c r="H6" s="7" t="n">
        <v>21.4</v>
      </c>
      <c r="I6" s="7" t="n">
        <v>21.4</v>
      </c>
      <c r="J6" s="7" t="n">
        <v>21.5</v>
      </c>
      <c r="K6" s="7" t="n">
        <v>28.9</v>
      </c>
      <c r="M6" s="6" t="inlineStr">
        <is>
          <t>10min</t>
        </is>
      </c>
      <c r="N6" s="6" t="n">
        <v>7.2</v>
      </c>
      <c r="O6" s="6" t="n">
        <v>12.4</v>
      </c>
      <c r="P6" s="6" t="n">
        <v>16.6</v>
      </c>
      <c r="Q6" s="6" t="n">
        <v>22.9</v>
      </c>
      <c r="R6" s="6" t="n">
        <v>28.4</v>
      </c>
      <c r="S6" s="6" t="n">
        <v>34.8</v>
      </c>
      <c r="T6" s="6" t="n">
        <v>42.2</v>
      </c>
      <c r="U6" s="6" t="n">
        <v>53.7</v>
      </c>
      <c r="V6" s="6" t="n">
        <v>63.9</v>
      </c>
      <c r="W6" s="6" t="n">
        <v>75.8</v>
      </c>
      <c r="X6" s="6" t="n">
        <v>94.40000000000001</v>
      </c>
      <c r="Y6" s="6" t="n">
        <v>111</v>
      </c>
    </row>
    <row r="7">
      <c r="A7" s="6" t="n">
        <v>2014</v>
      </c>
      <c r="B7" s="7" t="n">
        <v>7.2</v>
      </c>
      <c r="C7" s="7" t="n">
        <v>10.6</v>
      </c>
      <c r="D7" s="7" t="n">
        <v>12.4</v>
      </c>
      <c r="E7" s="7" t="n">
        <v>14.6</v>
      </c>
      <c r="F7" s="7" t="n">
        <v>14.6</v>
      </c>
      <c r="G7" s="7" t="n">
        <v>16.6</v>
      </c>
      <c r="H7" s="7" t="n">
        <v>17.1</v>
      </c>
      <c r="I7" s="7" t="n">
        <v>29.3</v>
      </c>
      <c r="J7" s="7" t="n">
        <v>30.5</v>
      </c>
      <c r="K7" s="7" t="n">
        <v>36</v>
      </c>
      <c r="M7" s="6" t="inlineStr">
        <is>
          <t>15min</t>
        </is>
      </c>
      <c r="N7" s="6" t="n">
        <v>9</v>
      </c>
      <c r="O7" s="6" t="n">
        <v>15.5</v>
      </c>
      <c r="P7" s="6" t="n">
        <v>20.7</v>
      </c>
      <c r="Q7" s="6" t="n">
        <v>28.5</v>
      </c>
      <c r="R7" s="6" t="n">
        <v>35.3</v>
      </c>
      <c r="S7" s="6" t="n">
        <v>43.1</v>
      </c>
      <c r="T7" s="6" t="n">
        <v>52.1</v>
      </c>
      <c r="U7" s="6" t="n">
        <v>66</v>
      </c>
      <c r="V7" s="6" t="n">
        <v>78.3</v>
      </c>
      <c r="W7" s="6" t="n">
        <v>92.5</v>
      </c>
      <c r="X7" s="6" t="n">
        <v>114.6</v>
      </c>
      <c r="Y7" s="6" t="n">
        <v>134.2</v>
      </c>
    </row>
    <row r="8">
      <c r="A8" s="6" t="n">
        <v>2015</v>
      </c>
      <c r="B8" s="7" t="n">
        <v>4.6</v>
      </c>
      <c r="C8" s="7" t="n">
        <v>5.4</v>
      </c>
      <c r="D8" s="7" t="n">
        <v>6</v>
      </c>
      <c r="E8" s="7" t="n">
        <v>9</v>
      </c>
      <c r="F8" s="7" t="n">
        <v>14.8</v>
      </c>
      <c r="G8" s="7" t="n">
        <v>15.2</v>
      </c>
      <c r="H8" s="7" t="n">
        <v>17.5</v>
      </c>
      <c r="I8" s="7" t="n">
        <v>24.4</v>
      </c>
      <c r="J8" s="7" t="n">
        <v>24.5</v>
      </c>
      <c r="K8" s="7" t="n">
        <v>24.6</v>
      </c>
      <c r="M8" s="6" t="inlineStr">
        <is>
          <t>30min</t>
        </is>
      </c>
      <c r="N8" s="6" t="n">
        <v>12.3</v>
      </c>
      <c r="O8" s="6" t="n">
        <v>21.2</v>
      </c>
      <c r="P8" s="6" t="n">
        <v>28</v>
      </c>
      <c r="Q8" s="6" t="n">
        <v>37.8</v>
      </c>
      <c r="R8" s="6" t="n">
        <v>46</v>
      </c>
      <c r="S8" s="6" t="n">
        <v>55.1</v>
      </c>
      <c r="T8" s="6" t="n">
        <v>65.3</v>
      </c>
      <c r="U8" s="6" t="n">
        <v>80.40000000000001</v>
      </c>
      <c r="V8" s="6" t="n">
        <v>93.40000000000001</v>
      </c>
      <c r="W8" s="6" t="n">
        <v>107.8</v>
      </c>
      <c r="X8" s="6" t="n">
        <v>129.5</v>
      </c>
      <c r="Y8" s="6" t="n">
        <v>148</v>
      </c>
    </row>
    <row r="9">
      <c r="A9" s="6" t="n">
        <v>2016</v>
      </c>
      <c r="B9" s="7" t="n">
        <v>14.2</v>
      </c>
      <c r="C9" s="7" t="n">
        <v>23</v>
      </c>
      <c r="D9" s="7" t="n">
        <v>26.6</v>
      </c>
      <c r="E9" s="7" t="n">
        <v>27.8</v>
      </c>
      <c r="F9" s="7" t="n">
        <v>28</v>
      </c>
      <c r="G9" s="7" t="n">
        <v>28.1</v>
      </c>
      <c r="H9" s="7" t="n">
        <v>28.1</v>
      </c>
      <c r="I9" s="7" t="n">
        <v>28.3</v>
      </c>
      <c r="J9" s="7" t="n">
        <v>28.8</v>
      </c>
      <c r="K9" s="7" t="n">
        <v>46</v>
      </c>
      <c r="M9" s="6" t="inlineStr">
        <is>
          <t>1h</t>
        </is>
      </c>
      <c r="N9" s="6" t="n">
        <v>14.7</v>
      </c>
      <c r="O9" s="6" t="n">
        <v>24.8</v>
      </c>
      <c r="P9" s="6" t="n">
        <v>32.5</v>
      </c>
      <c r="Q9" s="6" t="n">
        <v>43.3</v>
      </c>
      <c r="R9" s="6" t="n">
        <v>52.2</v>
      </c>
      <c r="S9" s="6" t="n">
        <v>62</v>
      </c>
      <c r="T9" s="6" t="n">
        <v>72.59999999999999</v>
      </c>
      <c r="U9" s="6" t="n">
        <v>88.3</v>
      </c>
      <c r="V9" s="6" t="n">
        <v>101.5</v>
      </c>
      <c r="W9" s="6" t="n">
        <v>115.9</v>
      </c>
      <c r="X9" s="6" t="n">
        <v>137.2</v>
      </c>
      <c r="Y9" s="6" t="n">
        <v>155.2</v>
      </c>
    </row>
    <row r="10">
      <c r="A10" s="6" t="n">
        <v>2017</v>
      </c>
      <c r="B10" s="7" t="n">
        <v>5.2</v>
      </c>
      <c r="C10" s="7" t="n">
        <v>8</v>
      </c>
      <c r="D10" s="7" t="n">
        <v>9.800000000000001</v>
      </c>
      <c r="E10" s="7" t="n">
        <v>15.6</v>
      </c>
      <c r="F10" s="7" t="n">
        <v>15.7</v>
      </c>
      <c r="G10" s="7" t="n">
        <v>19.4</v>
      </c>
      <c r="H10" s="7" t="n">
        <v>19.4</v>
      </c>
      <c r="I10" s="7" t="n">
        <v>19.4</v>
      </c>
      <c r="J10" s="7" t="n">
        <v>19.5</v>
      </c>
      <c r="K10" s="7" t="n">
        <v>19.6</v>
      </c>
      <c r="M10" s="6" t="inlineStr">
        <is>
          <t>2h</t>
        </is>
      </c>
      <c r="N10" s="6" t="n">
        <v>17.7</v>
      </c>
      <c r="O10" s="6" t="n">
        <v>30</v>
      </c>
      <c r="P10" s="6" t="n">
        <v>39.1</v>
      </c>
      <c r="Q10" s="6" t="n">
        <v>51.9</v>
      </c>
      <c r="R10" s="6" t="n">
        <v>62.5</v>
      </c>
      <c r="S10" s="6" t="n">
        <v>74</v>
      </c>
      <c r="T10" s="6" t="n">
        <v>86.40000000000001</v>
      </c>
      <c r="U10" s="6" t="n">
        <v>104.7</v>
      </c>
      <c r="V10" s="6" t="n">
        <v>119.9</v>
      </c>
      <c r="W10" s="6" t="n">
        <v>136.6</v>
      </c>
      <c r="X10" s="6" t="n">
        <v>161</v>
      </c>
      <c r="Y10" s="6" t="n">
        <v>181.4</v>
      </c>
    </row>
    <row r="11">
      <c r="A11" s="6" t="n">
        <v>2018</v>
      </c>
      <c r="B11" s="7" t="n">
        <v>2.6</v>
      </c>
      <c r="C11" s="7" t="n">
        <v>3.8</v>
      </c>
      <c r="D11" s="7" t="n">
        <v>5.6</v>
      </c>
      <c r="E11" s="7" t="n">
        <v>9</v>
      </c>
      <c r="F11" s="7" t="n">
        <v>10.8</v>
      </c>
      <c r="G11" s="7" t="n">
        <v>13.5</v>
      </c>
      <c r="H11" s="7" t="n">
        <v>18.4</v>
      </c>
      <c r="I11" s="7" t="n">
        <v>21.5</v>
      </c>
      <c r="J11" s="7" t="n">
        <v>25</v>
      </c>
      <c r="K11" s="7" t="n">
        <v>36.6</v>
      </c>
      <c r="M11" s="6" t="inlineStr">
        <is>
          <t>3h</t>
        </is>
      </c>
      <c r="N11" s="6" t="n">
        <v>19.3</v>
      </c>
      <c r="O11" s="6" t="n">
        <v>32.8</v>
      </c>
      <c r="P11" s="6" t="n">
        <v>42.8</v>
      </c>
      <c r="Q11" s="6" t="n">
        <v>57.1</v>
      </c>
      <c r="R11" s="6" t="n">
        <v>68.90000000000001</v>
      </c>
      <c r="S11" s="6" t="n">
        <v>81.8</v>
      </c>
      <c r="T11" s="6" t="n">
        <v>95.8</v>
      </c>
      <c r="U11" s="6" t="n">
        <v>116.5</v>
      </c>
      <c r="V11" s="6" t="n">
        <v>133.9</v>
      </c>
      <c r="W11" s="6" t="n">
        <v>152.9</v>
      </c>
      <c r="X11" s="6" t="n">
        <v>180.9</v>
      </c>
      <c r="Y11" s="6" t="n">
        <v>204.5</v>
      </c>
    </row>
    <row r="12">
      <c r="A12" s="6" t="n">
        <v>2019</v>
      </c>
      <c r="B12" s="7" t="n">
        <v>3</v>
      </c>
      <c r="C12" s="7" t="n">
        <v>5.6</v>
      </c>
      <c r="D12" s="7" t="n">
        <v>7.2</v>
      </c>
      <c r="E12" s="7" t="n">
        <v>12.6</v>
      </c>
      <c r="F12" s="7" t="n">
        <v>16.5</v>
      </c>
      <c r="G12" s="7" t="n">
        <v>17.9</v>
      </c>
      <c r="H12" s="7" t="n">
        <v>19.5</v>
      </c>
      <c r="I12" s="7" t="n">
        <v>27.8</v>
      </c>
      <c r="J12" s="7" t="n">
        <v>30.5</v>
      </c>
      <c r="K12" s="7" t="n">
        <v>30.6</v>
      </c>
      <c r="M12" s="6" t="inlineStr">
        <is>
          <t>6h</t>
        </is>
      </c>
      <c r="N12" s="6" t="n">
        <v>21.8</v>
      </c>
      <c r="O12" s="6" t="n">
        <v>37.6</v>
      </c>
      <c r="P12" s="6" t="n">
        <v>49.9</v>
      </c>
      <c r="Q12" s="6" t="n">
        <v>68.09999999999999</v>
      </c>
      <c r="R12" s="6" t="n">
        <v>83.59999999999999</v>
      </c>
      <c r="S12" s="6" t="n">
        <v>101.1</v>
      </c>
      <c r="T12" s="6" t="n">
        <v>120.8</v>
      </c>
      <c r="U12" s="6" t="n">
        <v>150.8</v>
      </c>
      <c r="V12" s="6" t="n">
        <v>176.9</v>
      </c>
      <c r="W12" s="6" t="n">
        <v>206.4</v>
      </c>
      <c r="X12" s="6" t="n">
        <v>251.3</v>
      </c>
      <c r="Y12" s="6" t="n">
        <v>290.4</v>
      </c>
    </row>
    <row r="13">
      <c r="A13" s="6" t="n">
        <v>2020</v>
      </c>
      <c r="B13" s="7" t="n">
        <v>6.2</v>
      </c>
      <c r="C13" s="7" t="n">
        <v>12.2</v>
      </c>
      <c r="D13" s="7" t="n">
        <v>17</v>
      </c>
      <c r="E13" s="7" t="n">
        <v>24.4</v>
      </c>
      <c r="F13" s="7" t="n">
        <v>28.4</v>
      </c>
      <c r="G13" s="7" t="n">
        <v>30</v>
      </c>
      <c r="H13" s="7" t="n">
        <v>30</v>
      </c>
      <c r="I13" s="7" t="n">
        <v>31.2</v>
      </c>
      <c r="J13" s="7" t="n">
        <v>45.7</v>
      </c>
      <c r="K13" s="7" t="n">
        <v>45.8</v>
      </c>
      <c r="M13" s="6" t="inlineStr">
        <is>
          <t>12h</t>
        </is>
      </c>
      <c r="N13" s="6" t="n">
        <v>24.7</v>
      </c>
      <c r="O13" s="6" t="n">
        <v>43.7</v>
      </c>
      <c r="P13" s="6" t="n">
        <v>59.1</v>
      </c>
      <c r="Q13" s="6" t="n">
        <v>82.59999999999999</v>
      </c>
      <c r="R13" s="6" t="n">
        <v>103.5</v>
      </c>
      <c r="S13" s="6" t="n">
        <v>127.6</v>
      </c>
      <c r="T13" s="6" t="n">
        <v>155.7</v>
      </c>
      <c r="U13" s="6" t="n">
        <v>199.9</v>
      </c>
      <c r="V13" s="6" t="n">
        <v>239.7</v>
      </c>
      <c r="W13" s="6" t="n">
        <v>286</v>
      </c>
      <c r="X13" s="6" t="n">
        <v>359.2</v>
      </c>
      <c r="Y13" s="6" t="n">
        <v>425.2</v>
      </c>
    </row>
    <row r="14">
      <c r="M14" s="6" t="inlineStr">
        <is>
          <t>24h</t>
        </is>
      </c>
      <c r="N14" s="6" t="n">
        <v>29</v>
      </c>
      <c r="O14" s="6" t="n">
        <v>51.3</v>
      </c>
      <c r="P14" s="6" t="n">
        <v>69.5</v>
      </c>
      <c r="Q14" s="6" t="n">
        <v>97.3</v>
      </c>
      <c r="R14" s="6" t="n">
        <v>122.2</v>
      </c>
      <c r="S14" s="6" t="n">
        <v>151.1</v>
      </c>
      <c r="T14" s="6" t="n">
        <v>184.7</v>
      </c>
      <c r="U14" s="6" t="n">
        <v>237.9</v>
      </c>
      <c r="V14" s="6" t="n">
        <v>286</v>
      </c>
      <c r="W14" s="6" t="n">
        <v>342.3</v>
      </c>
      <c r="X14" s="6" t="n">
        <v>431.4</v>
      </c>
      <c r="Y14" s="6" t="n">
        <v>512.1</v>
      </c>
    </row>
    <row r="16">
      <c r="A16" s="2" t="inlineStr">
        <is>
          <t>AMS AFTER gap filling (mm)  -  yellow = added or changed by gap filling</t>
        </is>
      </c>
      <c r="M16" s="3" t="inlineStr">
        <is>
          <t>IDF - intensity (mm/hr) [x=duration(min)]</t>
        </is>
      </c>
    </row>
    <row r="17">
      <c r="A17" s="4" t="inlineStr">
        <is>
          <t>Water year</t>
        </is>
      </c>
      <c r="B17" s="5" t="inlineStr">
        <is>
          <t>5min</t>
        </is>
      </c>
      <c r="C17" s="5" t="inlineStr">
        <is>
          <t>10min</t>
        </is>
      </c>
      <c r="D17" s="5" t="inlineStr">
        <is>
          <t>15min</t>
        </is>
      </c>
      <c r="E17" s="5" t="inlineStr">
        <is>
          <t>30min</t>
        </is>
      </c>
      <c r="F17" s="5" t="inlineStr">
        <is>
          <t>1h</t>
        </is>
      </c>
      <c r="G17" s="5" t="inlineStr">
        <is>
          <t>2h</t>
        </is>
      </c>
      <c r="H17" s="5" t="inlineStr">
        <is>
          <t>3h</t>
        </is>
      </c>
      <c r="I17" s="5" t="inlineStr">
        <is>
          <t>6h</t>
        </is>
      </c>
      <c r="J17" s="5" t="inlineStr">
        <is>
          <t>12h</t>
        </is>
      </c>
      <c r="K17" s="5" t="inlineStr">
        <is>
          <t>24h</t>
        </is>
      </c>
      <c r="M17" t="inlineStr">
        <is>
          <t>Duration(min)</t>
        </is>
      </c>
      <c r="N17" t="inlineStr">
        <is>
          <t>2 yr</t>
        </is>
      </c>
      <c r="O17" t="inlineStr">
        <is>
          <t>5 yr</t>
        </is>
      </c>
      <c r="P17" t="inlineStr">
        <is>
          <t>10 yr</t>
        </is>
      </c>
      <c r="Q17" t="inlineStr">
        <is>
          <t>25 yr</t>
        </is>
      </c>
      <c r="R17" t="inlineStr">
        <is>
          <t>50 yr</t>
        </is>
      </c>
      <c r="S17" t="inlineStr">
        <is>
          <t>100 yr</t>
        </is>
      </c>
      <c r="T17" t="inlineStr">
        <is>
          <t>200 yr</t>
        </is>
      </c>
      <c r="U17" t="inlineStr">
        <is>
          <t>500 yr</t>
        </is>
      </c>
      <c r="V17" t="inlineStr">
        <is>
          <t>1000 yr</t>
        </is>
      </c>
      <c r="W17" t="inlineStr">
        <is>
          <t>2000 yr</t>
        </is>
      </c>
      <c r="X17" t="inlineStr">
        <is>
          <t>5000 yr</t>
        </is>
      </c>
      <c r="Y17" t="inlineStr">
        <is>
          <t>10000 yr</t>
        </is>
      </c>
    </row>
    <row r="18">
      <c r="A18" s="6" t="n">
        <v>2012</v>
      </c>
      <c r="B18" s="7" t="n">
        <v>3</v>
      </c>
      <c r="C18" s="7" t="n">
        <v>5</v>
      </c>
      <c r="D18" s="7" t="n">
        <v>6</v>
      </c>
      <c r="E18" s="7" t="n">
        <v>7.8</v>
      </c>
      <c r="F18" s="7" t="n">
        <v>9</v>
      </c>
      <c r="G18" s="7" t="n">
        <v>12</v>
      </c>
      <c r="H18" s="7" t="n">
        <v>12</v>
      </c>
      <c r="I18" s="7" t="n">
        <v>12.1</v>
      </c>
      <c r="J18" s="7" t="n">
        <v>13.9</v>
      </c>
      <c r="K18" s="7" t="n">
        <v>14.1</v>
      </c>
      <c r="M18" t="n">
        <v>5</v>
      </c>
      <c r="N18" t="n">
        <v>53.6</v>
      </c>
      <c r="O18" t="n">
        <v>91.09999999999999</v>
      </c>
      <c r="P18" t="n">
        <v>121.6</v>
      </c>
      <c r="Q18" t="n">
        <v>168.3</v>
      </c>
      <c r="R18" t="n">
        <v>209.8</v>
      </c>
      <c r="S18" t="n">
        <v>257.9</v>
      </c>
      <c r="T18" t="n">
        <v>313.9</v>
      </c>
      <c r="U18" t="n">
        <v>402.2</v>
      </c>
      <c r="V18" t="n">
        <v>482</v>
      </c>
      <c r="W18" t="n">
        <v>575</v>
      </c>
      <c r="X18" t="n">
        <v>722.1</v>
      </c>
      <c r="Y18" t="n">
        <v>854.9</v>
      </c>
    </row>
    <row r="19">
      <c r="A19" s="6" t="n">
        <v>2013</v>
      </c>
      <c r="B19" s="7" t="n">
        <v>7.6</v>
      </c>
      <c r="C19" s="7" t="n">
        <v>12.2</v>
      </c>
      <c r="D19" s="7" t="n">
        <v>14.6</v>
      </c>
      <c r="E19" s="7" t="n">
        <v>16.2</v>
      </c>
      <c r="F19" s="7" t="n">
        <v>19.7</v>
      </c>
      <c r="G19" s="7" t="n">
        <v>21</v>
      </c>
      <c r="H19" s="7" t="n">
        <v>21.4</v>
      </c>
      <c r="I19" s="7" t="n">
        <v>21.4</v>
      </c>
      <c r="J19" s="7" t="n">
        <v>21.5</v>
      </c>
      <c r="K19" s="7" t="n">
        <v>28.9</v>
      </c>
      <c r="M19" t="n">
        <v>10</v>
      </c>
      <c r="N19" t="n">
        <v>43.1</v>
      </c>
      <c r="O19" t="n">
        <v>74.3</v>
      </c>
      <c r="P19" t="n">
        <v>99.40000000000001</v>
      </c>
      <c r="Q19" t="n">
        <v>137.3</v>
      </c>
      <c r="R19" t="n">
        <v>170.6</v>
      </c>
      <c r="S19" t="n">
        <v>208.9</v>
      </c>
      <c r="T19" t="n">
        <v>253.1</v>
      </c>
      <c r="U19" t="n">
        <v>322.1</v>
      </c>
      <c r="V19" t="n">
        <v>383.7</v>
      </c>
      <c r="W19" t="n">
        <v>454.9</v>
      </c>
      <c r="X19" t="n">
        <v>566.3</v>
      </c>
      <c r="Y19" t="n">
        <v>665.9</v>
      </c>
    </row>
    <row r="20">
      <c r="A20" s="6" t="n">
        <v>2014</v>
      </c>
      <c r="B20" s="7" t="n">
        <v>7.2</v>
      </c>
      <c r="C20" s="7" t="n">
        <v>10.6</v>
      </c>
      <c r="D20" s="7" t="n">
        <v>12.4</v>
      </c>
      <c r="E20" s="7" t="n">
        <v>14.6</v>
      </c>
      <c r="F20" s="7" t="n">
        <v>14.6</v>
      </c>
      <c r="G20" s="7" t="n">
        <v>16.6</v>
      </c>
      <c r="H20" s="7" t="n">
        <v>17.1</v>
      </c>
      <c r="I20" s="7" t="n">
        <v>29.3</v>
      </c>
      <c r="J20" s="7" t="n">
        <v>30.5</v>
      </c>
      <c r="K20" s="7" t="n">
        <v>36</v>
      </c>
      <c r="M20" t="n">
        <v>15</v>
      </c>
      <c r="N20" t="n">
        <v>35.9</v>
      </c>
      <c r="O20" t="n">
        <v>62</v>
      </c>
      <c r="P20" t="n">
        <v>82.8</v>
      </c>
      <c r="Q20" t="n">
        <v>114</v>
      </c>
      <c r="R20" t="n">
        <v>141.3</v>
      </c>
      <c r="S20" t="n">
        <v>172.5</v>
      </c>
      <c r="T20" t="n">
        <v>208.3</v>
      </c>
      <c r="U20" t="n">
        <v>263.9</v>
      </c>
      <c r="V20" t="n">
        <v>313.3</v>
      </c>
      <c r="W20" t="n">
        <v>370.1</v>
      </c>
      <c r="X20" t="n">
        <v>458.4</v>
      </c>
      <c r="Y20" t="n">
        <v>536.9</v>
      </c>
    </row>
    <row r="21">
      <c r="A21" s="6" t="n">
        <v>2015</v>
      </c>
      <c r="B21" s="7" t="n">
        <v>4.6</v>
      </c>
      <c r="C21" s="7" t="n">
        <v>5.4</v>
      </c>
      <c r="D21" s="7" t="n">
        <v>6</v>
      </c>
      <c r="E21" s="7" t="n">
        <v>9</v>
      </c>
      <c r="F21" s="7" t="n">
        <v>14.8</v>
      </c>
      <c r="G21" s="7" t="n">
        <v>15.2</v>
      </c>
      <c r="H21" s="7" t="n">
        <v>17.5</v>
      </c>
      <c r="I21" s="7" t="n">
        <v>24.4</v>
      </c>
      <c r="J21" s="7" t="n">
        <v>24.5</v>
      </c>
      <c r="K21" s="7" t="n">
        <v>24.6</v>
      </c>
      <c r="M21" t="n">
        <v>30</v>
      </c>
      <c r="N21" t="n">
        <v>24.6</v>
      </c>
      <c r="O21" t="n">
        <v>42.4</v>
      </c>
      <c r="P21" t="n">
        <v>55.9</v>
      </c>
      <c r="Q21" t="n">
        <v>75.5</v>
      </c>
      <c r="R21" t="n">
        <v>92</v>
      </c>
      <c r="S21" t="n">
        <v>110.3</v>
      </c>
      <c r="T21" t="n">
        <v>130.5</v>
      </c>
      <c r="U21" t="n">
        <v>160.8</v>
      </c>
      <c r="V21" t="n">
        <v>186.8</v>
      </c>
      <c r="W21" t="n">
        <v>215.7</v>
      </c>
      <c r="X21" t="n">
        <v>258.9</v>
      </c>
      <c r="Y21" t="n">
        <v>296</v>
      </c>
    </row>
    <row r="22">
      <c r="A22" s="6" t="n">
        <v>2016</v>
      </c>
      <c r="B22" s="7" t="n">
        <v>14.2</v>
      </c>
      <c r="C22" s="7" t="n">
        <v>23</v>
      </c>
      <c r="D22" s="7" t="n">
        <v>26.6</v>
      </c>
      <c r="E22" s="7" t="n">
        <v>27.8</v>
      </c>
      <c r="F22" s="7" t="n">
        <v>28</v>
      </c>
      <c r="G22" s="7" t="n">
        <v>28.1</v>
      </c>
      <c r="H22" s="7" t="n">
        <v>28.1</v>
      </c>
      <c r="I22" s="7" t="n">
        <v>28.3</v>
      </c>
      <c r="J22" s="7" t="n">
        <v>28.8</v>
      </c>
      <c r="K22" s="7" t="n">
        <v>46</v>
      </c>
      <c r="M22" t="n">
        <v>60</v>
      </c>
      <c r="N22" t="n">
        <v>14.7</v>
      </c>
      <c r="O22" t="n">
        <v>24.8</v>
      </c>
      <c r="P22" t="n">
        <v>32.5</v>
      </c>
      <c r="Q22" t="n">
        <v>43.3</v>
      </c>
      <c r="R22" t="n">
        <v>52.2</v>
      </c>
      <c r="S22" t="n">
        <v>62</v>
      </c>
      <c r="T22" t="n">
        <v>72.59999999999999</v>
      </c>
      <c r="U22" t="n">
        <v>88.3</v>
      </c>
      <c r="V22" t="n">
        <v>101.5</v>
      </c>
      <c r="W22" t="n">
        <v>115.9</v>
      </c>
      <c r="X22" t="n">
        <v>137.2</v>
      </c>
      <c r="Y22" t="n">
        <v>155.2</v>
      </c>
    </row>
    <row r="23">
      <c r="A23" s="6" t="n">
        <v>2017</v>
      </c>
      <c r="B23" s="7" t="n">
        <v>5.2</v>
      </c>
      <c r="C23" s="7" t="n">
        <v>8</v>
      </c>
      <c r="D23" s="7" t="n">
        <v>9.800000000000001</v>
      </c>
      <c r="E23" s="7" t="n">
        <v>15.6</v>
      </c>
      <c r="F23" s="7" t="n">
        <v>15.7</v>
      </c>
      <c r="G23" s="7" t="n">
        <v>19.4</v>
      </c>
      <c r="H23" s="7" t="n">
        <v>19.4</v>
      </c>
      <c r="I23" s="7" t="n">
        <v>19.4</v>
      </c>
      <c r="J23" s="7" t="n">
        <v>19.5</v>
      </c>
      <c r="K23" s="7" t="n">
        <v>19.6</v>
      </c>
      <c r="M23" t="n">
        <v>120</v>
      </c>
      <c r="N23" t="n">
        <v>8.9</v>
      </c>
      <c r="O23" t="n">
        <v>15</v>
      </c>
      <c r="P23" t="n">
        <v>19.5</v>
      </c>
      <c r="Q23" t="n">
        <v>26</v>
      </c>
      <c r="R23" t="n">
        <v>31.2</v>
      </c>
      <c r="S23" t="n">
        <v>37</v>
      </c>
      <c r="T23" t="n">
        <v>43.2</v>
      </c>
      <c r="U23" t="n">
        <v>52.3</v>
      </c>
      <c r="V23" t="n">
        <v>60</v>
      </c>
      <c r="W23" t="n">
        <v>68.3</v>
      </c>
      <c r="X23" t="n">
        <v>80.5</v>
      </c>
      <c r="Y23" t="n">
        <v>90.7</v>
      </c>
    </row>
    <row r="24">
      <c r="A24" s="6" t="n">
        <v>2018</v>
      </c>
      <c r="B24" s="7" t="n">
        <v>2.6</v>
      </c>
      <c r="C24" s="7" t="n">
        <v>3.8</v>
      </c>
      <c r="D24" s="7" t="n">
        <v>5.6</v>
      </c>
      <c r="E24" s="7" t="n">
        <v>9</v>
      </c>
      <c r="F24" s="7" t="n">
        <v>10.8</v>
      </c>
      <c r="G24" s="7" t="n">
        <v>13.5</v>
      </c>
      <c r="H24" s="7" t="n">
        <v>18.4</v>
      </c>
      <c r="I24" s="7" t="n">
        <v>21.5</v>
      </c>
      <c r="J24" s="7" t="n">
        <v>25</v>
      </c>
      <c r="K24" s="7" t="n">
        <v>36.6</v>
      </c>
      <c r="M24" t="n">
        <v>180</v>
      </c>
      <c r="N24" t="n">
        <v>6.4</v>
      </c>
      <c r="O24" t="n">
        <v>10.9</v>
      </c>
      <c r="P24" t="n">
        <v>14.3</v>
      </c>
      <c r="Q24" t="n">
        <v>19</v>
      </c>
      <c r="R24" t="n">
        <v>23</v>
      </c>
      <c r="S24" t="n">
        <v>27.3</v>
      </c>
      <c r="T24" t="n">
        <v>31.9</v>
      </c>
      <c r="U24" t="n">
        <v>38.8</v>
      </c>
      <c r="V24" t="n">
        <v>44.6</v>
      </c>
      <c r="W24" t="n">
        <v>51</v>
      </c>
      <c r="X24" t="n">
        <v>60.3</v>
      </c>
      <c r="Y24" t="n">
        <v>68.2</v>
      </c>
    </row>
    <row r="25">
      <c r="A25" s="6" t="n">
        <v>2019</v>
      </c>
      <c r="B25" s="7" t="n">
        <v>3</v>
      </c>
      <c r="C25" s="7" t="n">
        <v>5.6</v>
      </c>
      <c r="D25" s="7" t="n">
        <v>7.2</v>
      </c>
      <c r="E25" s="7" t="n">
        <v>12.6</v>
      </c>
      <c r="F25" s="7" t="n">
        <v>16.5</v>
      </c>
      <c r="G25" s="7" t="n">
        <v>17.9</v>
      </c>
      <c r="H25" s="7" t="n">
        <v>19.5</v>
      </c>
      <c r="I25" s="7" t="n">
        <v>27.8</v>
      </c>
      <c r="J25" s="7" t="n">
        <v>30.5</v>
      </c>
      <c r="K25" s="7" t="n">
        <v>30.6</v>
      </c>
      <c r="M25" t="n">
        <v>360</v>
      </c>
      <c r="N25" t="n">
        <v>3.6</v>
      </c>
      <c r="O25" t="n">
        <v>6.3</v>
      </c>
      <c r="P25" t="n">
        <v>8.300000000000001</v>
      </c>
      <c r="Q25" t="n">
        <v>11.3</v>
      </c>
      <c r="R25" t="n">
        <v>13.9</v>
      </c>
      <c r="S25" t="n">
        <v>16.9</v>
      </c>
      <c r="T25" t="n">
        <v>20.1</v>
      </c>
      <c r="U25" t="n">
        <v>25.1</v>
      </c>
      <c r="V25" t="n">
        <v>29.5</v>
      </c>
      <c r="W25" t="n">
        <v>34.4</v>
      </c>
      <c r="X25" t="n">
        <v>41.9</v>
      </c>
      <c r="Y25" t="n">
        <v>48.4</v>
      </c>
    </row>
    <row r="26">
      <c r="A26" s="6" t="n">
        <v>2020</v>
      </c>
      <c r="B26" s="7" t="n">
        <v>6.2</v>
      </c>
      <c r="C26" s="7" t="n">
        <v>12.2</v>
      </c>
      <c r="D26" s="7" t="n">
        <v>17</v>
      </c>
      <c r="E26" s="7" t="n">
        <v>24.4</v>
      </c>
      <c r="F26" s="7" t="n">
        <v>28.4</v>
      </c>
      <c r="G26" s="7" t="n">
        <v>30</v>
      </c>
      <c r="H26" s="7" t="n">
        <v>30</v>
      </c>
      <c r="I26" s="7" t="n">
        <v>31.2</v>
      </c>
      <c r="J26" s="7" t="n">
        <v>45.7</v>
      </c>
      <c r="K26" s="7" t="n">
        <v>45.8</v>
      </c>
      <c r="M26" t="n">
        <v>720</v>
      </c>
      <c r="N26" t="n">
        <v>2.1</v>
      </c>
      <c r="O26" t="n">
        <v>3.6</v>
      </c>
      <c r="P26" t="n">
        <v>4.9</v>
      </c>
      <c r="Q26" t="n">
        <v>6.9</v>
      </c>
      <c r="R26" t="n">
        <v>8.6</v>
      </c>
      <c r="S26" t="n">
        <v>10.6</v>
      </c>
      <c r="T26" t="n">
        <v>13</v>
      </c>
      <c r="U26" t="n">
        <v>16.7</v>
      </c>
      <c r="V26" t="n">
        <v>20</v>
      </c>
      <c r="W26" t="n">
        <v>23.8</v>
      </c>
      <c r="X26" t="n">
        <v>29.9</v>
      </c>
      <c r="Y26" t="n">
        <v>35.4</v>
      </c>
    </row>
    <row r="27">
      <c r="M27" t="n">
        <v>1440</v>
      </c>
      <c r="N27" t="n">
        <v>1.2</v>
      </c>
      <c r="O27" t="n">
        <v>2.1</v>
      </c>
      <c r="P27" t="n">
        <v>2.9</v>
      </c>
      <c r="Q27" t="n">
        <v>4.1</v>
      </c>
      <c r="R27" t="n">
        <v>5.1</v>
      </c>
      <c r="S27" t="n">
        <v>6.3</v>
      </c>
      <c r="T27" t="n">
        <v>7.7</v>
      </c>
      <c r="U27" t="n">
        <v>9.9</v>
      </c>
      <c r="V27" t="n">
        <v>11.9</v>
      </c>
      <c r="W27" t="n">
        <v>14.3</v>
      </c>
      <c r="X27" t="n">
        <v>18</v>
      </c>
      <c r="Y27" t="n">
        <v>21.3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27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</cols>
  <sheetData>
    <row r="1">
      <c r="A1" s="1" t="inlineStr">
        <is>
          <t>Gauge 21  |  FL397706AF  |  Sunub near Al Ansab</t>
        </is>
      </c>
    </row>
    <row r="3">
      <c r="A3" s="2" t="inlineStr">
        <is>
          <t>AMS BEFORE gap filling (observed only, mm)</t>
        </is>
      </c>
      <c r="M3" s="3" t="inlineStr">
        <is>
          <t>IDF - design rainfall DEPTH (mm)</t>
        </is>
      </c>
    </row>
    <row r="4">
      <c r="A4" s="4" t="inlineStr">
        <is>
          <t>Water year</t>
        </is>
      </c>
      <c r="B4" s="5" t="inlineStr">
        <is>
          <t>5min</t>
        </is>
      </c>
      <c r="C4" s="5" t="inlineStr">
        <is>
          <t>10min</t>
        </is>
      </c>
      <c r="D4" s="5" t="inlineStr">
        <is>
          <t>15min</t>
        </is>
      </c>
      <c r="E4" s="5" t="inlineStr">
        <is>
          <t>30min</t>
        </is>
      </c>
      <c r="F4" s="5" t="inlineStr">
        <is>
          <t>1h</t>
        </is>
      </c>
      <c r="G4" s="5" t="inlineStr">
        <is>
          <t>2h</t>
        </is>
      </c>
      <c r="H4" s="5" t="inlineStr">
        <is>
          <t>3h</t>
        </is>
      </c>
      <c r="I4" s="5" t="inlineStr">
        <is>
          <t>6h</t>
        </is>
      </c>
      <c r="J4" s="5" t="inlineStr">
        <is>
          <t>12h</t>
        </is>
      </c>
      <c r="K4" s="5" t="inlineStr">
        <is>
          <t>24h</t>
        </is>
      </c>
      <c r="M4" s="4" t="inlineStr">
        <is>
          <t>Duration \ RP</t>
        </is>
      </c>
      <c r="N4" s="4" t="n">
        <v>2</v>
      </c>
      <c r="O4" s="4" t="n">
        <v>5</v>
      </c>
      <c r="P4" s="4" t="n">
        <v>10</v>
      </c>
      <c r="Q4" s="4" t="n">
        <v>25</v>
      </c>
      <c r="R4" s="4" t="n">
        <v>50</v>
      </c>
      <c r="S4" s="4" t="n">
        <v>100</v>
      </c>
      <c r="T4" s="4" t="n">
        <v>200</v>
      </c>
      <c r="U4" s="4" t="n">
        <v>500</v>
      </c>
      <c r="V4" s="4" t="n">
        <v>1000</v>
      </c>
      <c r="W4" s="4" t="n">
        <v>2000</v>
      </c>
      <c r="X4" s="4" t="n">
        <v>5000</v>
      </c>
      <c r="Y4" s="4" t="n">
        <v>10000</v>
      </c>
    </row>
    <row r="5">
      <c r="A5" s="6" t="n">
        <v>2016</v>
      </c>
      <c r="B5" s="7" t="n">
        <v>2</v>
      </c>
      <c r="C5" s="7" t="n">
        <v>2.6</v>
      </c>
      <c r="D5" s="7" t="n">
        <v>3</v>
      </c>
      <c r="E5" s="7" t="n">
        <v>4</v>
      </c>
      <c r="F5" s="7" t="n">
        <v>4</v>
      </c>
      <c r="G5" s="7" t="n">
        <v>4</v>
      </c>
      <c r="H5" s="7" t="n">
        <v>4</v>
      </c>
      <c r="I5" s="7" t="n">
        <v>4</v>
      </c>
      <c r="J5" s="7" t="n">
        <v>4</v>
      </c>
      <c r="K5" s="7" t="n">
        <v>4</v>
      </c>
      <c r="M5" s="6" t="inlineStr">
        <is>
          <t>5min</t>
        </is>
      </c>
      <c r="N5" s="6" t="n">
        <v>4.2</v>
      </c>
      <c r="O5" s="6" t="n">
        <v>7</v>
      </c>
      <c r="P5" s="6" t="n">
        <v>9.199999999999999</v>
      </c>
      <c r="Q5" s="6" t="n">
        <v>12.3</v>
      </c>
      <c r="R5" s="6" t="n">
        <v>14.9</v>
      </c>
      <c r="S5" s="6" t="n">
        <v>17.7</v>
      </c>
      <c r="T5" s="6" t="n">
        <v>20.9</v>
      </c>
      <c r="U5" s="6" t="n">
        <v>25.7</v>
      </c>
      <c r="V5" s="6" t="n">
        <v>29.8</v>
      </c>
      <c r="W5" s="6" t="n">
        <v>34.3</v>
      </c>
      <c r="X5" s="6" t="n">
        <v>41.1</v>
      </c>
      <c r="Y5" s="6" t="n">
        <v>46.9</v>
      </c>
    </row>
    <row r="6">
      <c r="A6" s="6" t="n">
        <v>2017</v>
      </c>
      <c r="B6" s="7" t="n">
        <v>5.2</v>
      </c>
      <c r="C6" s="7" t="n">
        <v>8.6</v>
      </c>
      <c r="D6" s="7" t="n">
        <v>9.199999999999999</v>
      </c>
      <c r="E6" s="7" t="n">
        <v>14.2</v>
      </c>
      <c r="F6" s="7" t="n">
        <v>15.2</v>
      </c>
      <c r="G6" s="7" t="n">
        <v>15.2</v>
      </c>
      <c r="H6" s="7" t="n">
        <v>15.2</v>
      </c>
      <c r="I6" s="7" t="n">
        <v>15.2</v>
      </c>
      <c r="J6" s="7" t="n">
        <v>15.2</v>
      </c>
      <c r="K6" s="7" t="n">
        <v>15.2</v>
      </c>
      <c r="M6" s="6" t="inlineStr">
        <is>
          <t>10min</t>
        </is>
      </c>
      <c r="N6" s="6" t="n">
        <v>6.7</v>
      </c>
      <c r="O6" s="6" t="n">
        <v>11.5</v>
      </c>
      <c r="P6" s="6" t="n">
        <v>15.3</v>
      </c>
      <c r="Q6" s="6" t="n">
        <v>21.1</v>
      </c>
      <c r="R6" s="6" t="n">
        <v>26.1</v>
      </c>
      <c r="S6" s="6" t="n">
        <v>31.8</v>
      </c>
      <c r="T6" s="6" t="n">
        <v>38.3</v>
      </c>
      <c r="U6" s="6" t="n">
        <v>48.4</v>
      </c>
      <c r="V6" s="6" t="n">
        <v>57.4</v>
      </c>
      <c r="W6" s="6" t="n">
        <v>67.7</v>
      </c>
      <c r="X6" s="6" t="n">
        <v>83.7</v>
      </c>
      <c r="Y6" s="6" t="n">
        <v>97.90000000000001</v>
      </c>
    </row>
    <row r="7">
      <c r="A7" s="6" t="n">
        <v>2018</v>
      </c>
      <c r="B7" s="7" t="n">
        <v>2.6</v>
      </c>
      <c r="C7" s="7" t="n">
        <v>3.4</v>
      </c>
      <c r="D7" s="7" t="n">
        <v>4</v>
      </c>
      <c r="E7" s="7" t="n">
        <v>5.2</v>
      </c>
      <c r="F7" s="7" t="n">
        <v>6.5</v>
      </c>
      <c r="G7" s="7" t="n">
        <v>10.5</v>
      </c>
      <c r="H7" s="7" t="n">
        <v>12</v>
      </c>
      <c r="I7" s="7" t="n">
        <v>14.2</v>
      </c>
      <c r="J7" s="7" t="n">
        <v>24</v>
      </c>
      <c r="K7" s="7" t="n">
        <v>28.2</v>
      </c>
      <c r="M7" s="6" t="inlineStr">
        <is>
          <t>15min</t>
        </is>
      </c>
      <c r="N7" s="6" t="n">
        <v>8.4</v>
      </c>
      <c r="O7" s="6" t="n">
        <v>14.7</v>
      </c>
      <c r="P7" s="6" t="n">
        <v>19.7</v>
      </c>
      <c r="Q7" s="6" t="n">
        <v>27.3</v>
      </c>
      <c r="R7" s="6" t="n">
        <v>34.1</v>
      </c>
      <c r="S7" s="6" t="n">
        <v>41.8</v>
      </c>
      <c r="T7" s="6" t="n">
        <v>50.8</v>
      </c>
      <c r="U7" s="6" t="n">
        <v>64.8</v>
      </c>
      <c r="V7" s="6" t="n">
        <v>77.3</v>
      </c>
      <c r="W7" s="6" t="n">
        <v>91.8</v>
      </c>
      <c r="X7" s="6" t="n">
        <v>114.5</v>
      </c>
      <c r="Y7" s="6" t="n">
        <v>134.8</v>
      </c>
    </row>
    <row r="8">
      <c r="A8" s="6" t="n">
        <v>2019</v>
      </c>
      <c r="B8" s="7" t="n">
        <v>9</v>
      </c>
      <c r="C8" s="7" t="n">
        <v>12.4</v>
      </c>
      <c r="D8" s="7" t="n">
        <v>18.8</v>
      </c>
      <c r="E8" s="7" t="n">
        <v>25.8</v>
      </c>
      <c r="F8" s="7" t="n">
        <v>29.6</v>
      </c>
      <c r="G8" s="7" t="n">
        <v>30.2</v>
      </c>
      <c r="H8" s="7" t="n">
        <v>30.4</v>
      </c>
      <c r="I8" s="7" t="n">
        <v>30.4</v>
      </c>
      <c r="J8" s="7" t="n">
        <v>30.4</v>
      </c>
      <c r="K8" s="7" t="n">
        <v>36.4</v>
      </c>
      <c r="M8" s="6" t="inlineStr">
        <is>
          <t>30min</t>
        </is>
      </c>
      <c r="N8" s="6" t="n">
        <v>11.5</v>
      </c>
      <c r="O8" s="6" t="n">
        <v>20.2</v>
      </c>
      <c r="P8" s="6" t="n">
        <v>26.9</v>
      </c>
      <c r="Q8" s="6" t="n">
        <v>36.6</v>
      </c>
      <c r="R8" s="6" t="n">
        <v>44.8</v>
      </c>
      <c r="S8" s="6" t="n">
        <v>53.8</v>
      </c>
      <c r="T8" s="6" t="n">
        <v>64</v>
      </c>
      <c r="U8" s="6" t="n">
        <v>79.09999999999999</v>
      </c>
      <c r="V8" s="6" t="n">
        <v>92.2</v>
      </c>
      <c r="W8" s="6" t="n">
        <v>106.8</v>
      </c>
      <c r="X8" s="6" t="n">
        <v>128.7</v>
      </c>
      <c r="Y8" s="6" t="n">
        <v>147.5</v>
      </c>
    </row>
    <row r="9">
      <c r="A9" s="6" t="n">
        <v>2020</v>
      </c>
      <c r="B9" s="7" t="n">
        <v>6.4</v>
      </c>
      <c r="C9" s="7" t="n">
        <v>12.8</v>
      </c>
      <c r="D9" s="7" t="n">
        <v>16.6</v>
      </c>
      <c r="E9" s="7" t="n">
        <v>27.2</v>
      </c>
      <c r="F9" s="7" t="n">
        <v>30.8</v>
      </c>
      <c r="G9" s="7" t="n">
        <v>34</v>
      </c>
      <c r="H9" s="7" t="n">
        <v>34.4</v>
      </c>
      <c r="I9" s="7" t="n">
        <v>37.2</v>
      </c>
      <c r="J9" s="7" t="n">
        <v>37.4</v>
      </c>
      <c r="K9" s="7" t="n">
        <v>56.4</v>
      </c>
      <c r="M9" s="6" t="inlineStr">
        <is>
          <t>1h</t>
        </is>
      </c>
      <c r="N9" s="6" t="n">
        <v>14.3</v>
      </c>
      <c r="O9" s="6" t="n">
        <v>24.9</v>
      </c>
      <c r="P9" s="6" t="n">
        <v>32.9</v>
      </c>
      <c r="Q9" s="6" t="n">
        <v>44.2</v>
      </c>
      <c r="R9" s="6" t="n">
        <v>53.6</v>
      </c>
      <c r="S9" s="6" t="n">
        <v>63.8</v>
      </c>
      <c r="T9" s="6" t="n">
        <v>75</v>
      </c>
      <c r="U9" s="6" t="n">
        <v>91.5</v>
      </c>
      <c r="V9" s="6" t="n">
        <v>105.4</v>
      </c>
      <c r="W9" s="6" t="n">
        <v>120.7</v>
      </c>
      <c r="X9" s="6" t="n">
        <v>143.2</v>
      </c>
      <c r="Y9" s="6" t="n">
        <v>162.2</v>
      </c>
    </row>
    <row r="10">
      <c r="M10" s="6" t="inlineStr">
        <is>
          <t>2h</t>
        </is>
      </c>
      <c r="N10" s="6" t="n">
        <v>16.9</v>
      </c>
      <c r="O10" s="6" t="n">
        <v>29.8</v>
      </c>
      <c r="P10" s="6" t="n">
        <v>39.7</v>
      </c>
      <c r="Q10" s="6" t="n">
        <v>54</v>
      </c>
      <c r="R10" s="6" t="n">
        <v>65.90000000000001</v>
      </c>
      <c r="S10" s="6" t="n">
        <v>79.09999999999999</v>
      </c>
      <c r="T10" s="6" t="n">
        <v>93.7</v>
      </c>
      <c r="U10" s="6" t="n">
        <v>115.5</v>
      </c>
      <c r="V10" s="6" t="n">
        <v>134.1</v>
      </c>
      <c r="W10" s="6" t="n">
        <v>154.8</v>
      </c>
      <c r="X10" s="6" t="n">
        <v>185.7</v>
      </c>
      <c r="Y10" s="6" t="n">
        <v>212.1</v>
      </c>
    </row>
    <row r="11">
      <c r="M11" s="6" t="inlineStr">
        <is>
          <t>3h</t>
        </is>
      </c>
      <c r="N11" s="6" t="n">
        <v>18.2</v>
      </c>
      <c r="O11" s="6" t="n">
        <v>32.5</v>
      </c>
      <c r="P11" s="6" t="n">
        <v>43.8</v>
      </c>
      <c r="Q11" s="6" t="n">
        <v>60.5</v>
      </c>
      <c r="R11" s="6" t="n">
        <v>74.90000000000001</v>
      </c>
      <c r="S11" s="6" t="n">
        <v>91.3</v>
      </c>
      <c r="T11" s="6" t="n">
        <v>109.9</v>
      </c>
      <c r="U11" s="6" t="n">
        <v>138.5</v>
      </c>
      <c r="V11" s="6" t="n">
        <v>163.5</v>
      </c>
      <c r="W11" s="6" t="n">
        <v>192.1</v>
      </c>
      <c r="X11" s="6" t="n">
        <v>236</v>
      </c>
      <c r="Y11" s="6" t="n">
        <v>274.6</v>
      </c>
    </row>
    <row r="12">
      <c r="A12" s="2" t="inlineStr">
        <is>
          <t>AMS AFTER gap filling (mm)  -  yellow = added or changed by gap filling</t>
        </is>
      </c>
      <c r="M12" s="6" t="inlineStr">
        <is>
          <t>6h</t>
        </is>
      </c>
      <c r="N12" s="6" t="n">
        <v>20.8</v>
      </c>
      <c r="O12" s="6" t="n">
        <v>38</v>
      </c>
      <c r="P12" s="6" t="n">
        <v>52.3</v>
      </c>
      <c r="Q12" s="6" t="n">
        <v>74.59999999999999</v>
      </c>
      <c r="R12" s="6" t="n">
        <v>94.8</v>
      </c>
      <c r="S12" s="6" t="n">
        <v>118.6</v>
      </c>
      <c r="T12" s="6" t="n">
        <v>146.8</v>
      </c>
      <c r="U12" s="6" t="n">
        <v>192.2</v>
      </c>
      <c r="V12" s="6" t="n">
        <v>234</v>
      </c>
      <c r="W12" s="6" t="n">
        <v>283.5</v>
      </c>
      <c r="X12" s="6" t="n">
        <v>363.3</v>
      </c>
      <c r="Y12" s="6" t="n">
        <v>436.7</v>
      </c>
    </row>
    <row r="13">
      <c r="A13" s="4" t="inlineStr">
        <is>
          <t>Water year</t>
        </is>
      </c>
      <c r="B13" s="5" t="inlineStr">
        <is>
          <t>5min</t>
        </is>
      </c>
      <c r="C13" s="5" t="inlineStr">
        <is>
          <t>10min</t>
        </is>
      </c>
      <c r="D13" s="5" t="inlineStr">
        <is>
          <t>15min</t>
        </is>
      </c>
      <c r="E13" s="5" t="inlineStr">
        <is>
          <t>30min</t>
        </is>
      </c>
      <c r="F13" s="5" t="inlineStr">
        <is>
          <t>1h</t>
        </is>
      </c>
      <c r="G13" s="5" t="inlineStr">
        <is>
          <t>2h</t>
        </is>
      </c>
      <c r="H13" s="5" t="inlineStr">
        <is>
          <t>3h</t>
        </is>
      </c>
      <c r="I13" s="5" t="inlineStr">
        <is>
          <t>6h</t>
        </is>
      </c>
      <c r="J13" s="5" t="inlineStr">
        <is>
          <t>12h</t>
        </is>
      </c>
      <c r="K13" s="5" t="inlineStr">
        <is>
          <t>24h</t>
        </is>
      </c>
      <c r="M13" s="6" t="inlineStr">
        <is>
          <t>12h</t>
        </is>
      </c>
      <c r="N13" s="6" t="n">
        <v>23.8</v>
      </c>
      <c r="O13" s="6" t="n">
        <v>44.4</v>
      </c>
      <c r="P13" s="6" t="n">
        <v>62.3</v>
      </c>
      <c r="Q13" s="6" t="n">
        <v>91.2</v>
      </c>
      <c r="R13" s="6" t="n">
        <v>118.4</v>
      </c>
      <c r="S13" s="6" t="n">
        <v>151.5</v>
      </c>
      <c r="T13" s="6" t="n">
        <v>191.8</v>
      </c>
      <c r="U13" s="6" t="n">
        <v>259.1</v>
      </c>
      <c r="V13" s="6" t="n">
        <v>323.2</v>
      </c>
      <c r="W13" s="6" t="n">
        <v>401.6</v>
      </c>
      <c r="X13" s="6" t="n">
        <v>532.4</v>
      </c>
      <c r="Y13" s="6" t="n">
        <v>657.2</v>
      </c>
    </row>
    <row r="14">
      <c r="A14" s="6" t="n">
        <v>2016</v>
      </c>
      <c r="B14" s="7" t="n">
        <v>2</v>
      </c>
      <c r="C14" s="7" t="n">
        <v>2.6</v>
      </c>
      <c r="D14" s="7" t="n">
        <v>3</v>
      </c>
      <c r="E14" s="7" t="n">
        <v>4</v>
      </c>
      <c r="F14" s="7" t="n">
        <v>4</v>
      </c>
      <c r="G14" s="7" t="n">
        <v>4</v>
      </c>
      <c r="H14" s="7" t="n">
        <v>4</v>
      </c>
      <c r="I14" s="7" t="n">
        <v>4</v>
      </c>
      <c r="J14" s="7" t="n">
        <v>4</v>
      </c>
      <c r="K14" s="7" t="n">
        <v>4</v>
      </c>
      <c r="M14" s="6" t="inlineStr">
        <is>
          <t>24h</t>
        </is>
      </c>
      <c r="N14" s="6" t="n">
        <v>28.9</v>
      </c>
      <c r="O14" s="6" t="n">
        <v>55.1</v>
      </c>
      <c r="P14" s="6" t="n">
        <v>77.90000000000001</v>
      </c>
      <c r="Q14" s="6" t="n">
        <v>115.1</v>
      </c>
      <c r="R14" s="6" t="n">
        <v>150.4</v>
      </c>
      <c r="S14" s="6" t="n">
        <v>193.6</v>
      </c>
      <c r="T14" s="6" t="n">
        <v>246.6</v>
      </c>
      <c r="U14" s="6" t="n">
        <v>335.6</v>
      </c>
      <c r="V14" s="6" t="n">
        <v>421.1</v>
      </c>
      <c r="W14" s="6" t="n">
        <v>526.2</v>
      </c>
      <c r="X14" s="6" t="n">
        <v>703</v>
      </c>
      <c r="Y14" s="6" t="n">
        <v>872.9</v>
      </c>
    </row>
    <row r="15">
      <c r="A15" s="6" t="n">
        <v>2017</v>
      </c>
      <c r="B15" s="7" t="n">
        <v>5.2</v>
      </c>
      <c r="C15" s="7" t="n">
        <v>8.6</v>
      </c>
      <c r="D15" s="7" t="n">
        <v>9.199999999999999</v>
      </c>
      <c r="E15" s="7" t="n">
        <v>14.2</v>
      </c>
      <c r="F15" s="7" t="n">
        <v>15.2</v>
      </c>
      <c r="G15" s="7" t="n">
        <v>15.2</v>
      </c>
      <c r="H15" s="7" t="n">
        <v>15.2</v>
      </c>
      <c r="I15" s="7" t="n">
        <v>15.2</v>
      </c>
      <c r="J15" s="7" t="n">
        <v>15.2</v>
      </c>
      <c r="K15" s="7" t="n">
        <v>15.2</v>
      </c>
    </row>
    <row r="16">
      <c r="A16" s="6" t="n">
        <v>2018</v>
      </c>
      <c r="B16" s="7" t="n">
        <v>2.6</v>
      </c>
      <c r="C16" s="7" t="n">
        <v>3.4</v>
      </c>
      <c r="D16" s="7" t="n">
        <v>4</v>
      </c>
      <c r="E16" s="7" t="n">
        <v>5.2</v>
      </c>
      <c r="F16" s="7" t="n">
        <v>6.5</v>
      </c>
      <c r="G16" s="7" t="n">
        <v>10.5</v>
      </c>
      <c r="H16" s="7" t="n">
        <v>12</v>
      </c>
      <c r="I16" s="7" t="n">
        <v>14.2</v>
      </c>
      <c r="J16" s="7" t="n">
        <v>24</v>
      </c>
      <c r="K16" s="7" t="n">
        <v>28.2</v>
      </c>
      <c r="M16" s="3" t="inlineStr">
        <is>
          <t>IDF - intensity (mm/hr) [x=duration(min)]</t>
        </is>
      </c>
    </row>
    <row r="17">
      <c r="A17" s="6" t="n">
        <v>2019</v>
      </c>
      <c r="B17" s="7" t="n">
        <v>9</v>
      </c>
      <c r="C17" s="7" t="n">
        <v>12.4</v>
      </c>
      <c r="D17" s="7" t="n">
        <v>18.8</v>
      </c>
      <c r="E17" s="7" t="n">
        <v>25.8</v>
      </c>
      <c r="F17" s="7" t="n">
        <v>29.6</v>
      </c>
      <c r="G17" s="7" t="n">
        <v>30.2</v>
      </c>
      <c r="H17" s="7" t="n">
        <v>30.4</v>
      </c>
      <c r="I17" s="7" t="n">
        <v>30.4</v>
      </c>
      <c r="J17" s="7" t="n">
        <v>30.4</v>
      </c>
      <c r="K17" s="7" t="n">
        <v>36.4</v>
      </c>
      <c r="M17" t="inlineStr">
        <is>
          <t>Duration(min)</t>
        </is>
      </c>
      <c r="N17" t="inlineStr">
        <is>
          <t>2 yr</t>
        </is>
      </c>
      <c r="O17" t="inlineStr">
        <is>
          <t>5 yr</t>
        </is>
      </c>
      <c r="P17" t="inlineStr">
        <is>
          <t>10 yr</t>
        </is>
      </c>
      <c r="Q17" t="inlineStr">
        <is>
          <t>25 yr</t>
        </is>
      </c>
      <c r="R17" t="inlineStr">
        <is>
          <t>50 yr</t>
        </is>
      </c>
      <c r="S17" t="inlineStr">
        <is>
          <t>100 yr</t>
        </is>
      </c>
      <c r="T17" t="inlineStr">
        <is>
          <t>200 yr</t>
        </is>
      </c>
      <c r="U17" t="inlineStr">
        <is>
          <t>500 yr</t>
        </is>
      </c>
      <c r="V17" t="inlineStr">
        <is>
          <t>1000 yr</t>
        </is>
      </c>
      <c r="W17" t="inlineStr">
        <is>
          <t>2000 yr</t>
        </is>
      </c>
      <c r="X17" t="inlineStr">
        <is>
          <t>5000 yr</t>
        </is>
      </c>
      <c r="Y17" t="inlineStr">
        <is>
          <t>10000 yr</t>
        </is>
      </c>
    </row>
    <row r="18">
      <c r="A18" s="6" t="n">
        <v>2020</v>
      </c>
      <c r="B18" s="7" t="n">
        <v>6.4</v>
      </c>
      <c r="C18" s="7" t="n">
        <v>12.8</v>
      </c>
      <c r="D18" s="7" t="n">
        <v>16.6</v>
      </c>
      <c r="E18" s="7" t="n">
        <v>27.2</v>
      </c>
      <c r="F18" s="7" t="n">
        <v>30.8</v>
      </c>
      <c r="G18" s="7" t="n">
        <v>34</v>
      </c>
      <c r="H18" s="7" t="n">
        <v>34.4</v>
      </c>
      <c r="I18" s="7" t="n">
        <v>37.2</v>
      </c>
      <c r="J18" s="7" t="n">
        <v>37.4</v>
      </c>
      <c r="K18" s="7" t="n">
        <v>56.4</v>
      </c>
      <c r="M18" t="n">
        <v>5</v>
      </c>
      <c r="N18" t="n">
        <v>50.6</v>
      </c>
      <c r="O18" t="n">
        <v>84.3</v>
      </c>
      <c r="P18" t="n">
        <v>110</v>
      </c>
      <c r="Q18" t="n">
        <v>147.1</v>
      </c>
      <c r="R18" t="n">
        <v>178.4</v>
      </c>
      <c r="S18" t="n">
        <v>212.9</v>
      </c>
      <c r="T18" t="n">
        <v>251.2</v>
      </c>
      <c r="U18" t="n">
        <v>308.4</v>
      </c>
      <c r="V18" t="n">
        <v>357.4</v>
      </c>
      <c r="W18" t="n">
        <v>411.8</v>
      </c>
      <c r="X18" t="n">
        <v>493.2</v>
      </c>
      <c r="Y18" t="n">
        <v>562.9</v>
      </c>
    </row>
    <row r="19">
      <c r="M19" t="n">
        <v>10</v>
      </c>
      <c r="N19" t="n">
        <v>40.3</v>
      </c>
      <c r="O19" t="n">
        <v>69.09999999999999</v>
      </c>
      <c r="P19" t="n">
        <v>92</v>
      </c>
      <c r="Q19" t="n">
        <v>126.4</v>
      </c>
      <c r="R19" t="n">
        <v>156.4</v>
      </c>
      <c r="S19" t="n">
        <v>190.6</v>
      </c>
      <c r="T19" t="n">
        <v>229.8</v>
      </c>
      <c r="U19" t="n">
        <v>290.5</v>
      </c>
      <c r="V19" t="n">
        <v>344.4</v>
      </c>
      <c r="W19" t="n">
        <v>406.2</v>
      </c>
      <c r="X19" t="n">
        <v>502.2</v>
      </c>
      <c r="Y19" t="n">
        <v>587.3</v>
      </c>
    </row>
    <row r="20">
      <c r="M20" t="n">
        <v>15</v>
      </c>
      <c r="N20" t="n">
        <v>33.6</v>
      </c>
      <c r="O20" t="n">
        <v>58.6</v>
      </c>
      <c r="P20" t="n">
        <v>78.8</v>
      </c>
      <c r="Q20" t="n">
        <v>109.3</v>
      </c>
      <c r="R20" t="n">
        <v>136.3</v>
      </c>
      <c r="S20" t="n">
        <v>167.3</v>
      </c>
      <c r="T20" t="n">
        <v>203</v>
      </c>
      <c r="U20" t="n">
        <v>259</v>
      </c>
      <c r="V20" t="n">
        <v>309.1</v>
      </c>
      <c r="W20" t="n">
        <v>367.1</v>
      </c>
      <c r="X20" t="n">
        <v>457.9</v>
      </c>
      <c r="Y20" t="n">
        <v>539.3</v>
      </c>
    </row>
    <row r="21">
      <c r="M21" t="n">
        <v>30</v>
      </c>
      <c r="N21" t="n">
        <v>23.1</v>
      </c>
      <c r="O21" t="n">
        <v>40.5</v>
      </c>
      <c r="P21" t="n">
        <v>53.8</v>
      </c>
      <c r="Q21" t="n">
        <v>73.2</v>
      </c>
      <c r="R21" t="n">
        <v>89.5</v>
      </c>
      <c r="S21" t="n">
        <v>107.7</v>
      </c>
      <c r="T21" t="n">
        <v>127.9</v>
      </c>
      <c r="U21" t="n">
        <v>158.3</v>
      </c>
      <c r="V21" t="n">
        <v>184.4</v>
      </c>
      <c r="W21" t="n">
        <v>213.5</v>
      </c>
      <c r="X21" t="n">
        <v>257.3</v>
      </c>
      <c r="Y21" t="n">
        <v>295</v>
      </c>
    </row>
    <row r="22">
      <c r="M22" t="n">
        <v>60</v>
      </c>
      <c r="N22" t="n">
        <v>14.3</v>
      </c>
      <c r="O22" t="n">
        <v>24.9</v>
      </c>
      <c r="P22" t="n">
        <v>32.9</v>
      </c>
      <c r="Q22" t="n">
        <v>44.2</v>
      </c>
      <c r="R22" t="n">
        <v>53.6</v>
      </c>
      <c r="S22" t="n">
        <v>63.8</v>
      </c>
      <c r="T22" t="n">
        <v>75</v>
      </c>
      <c r="U22" t="n">
        <v>91.5</v>
      </c>
      <c r="V22" t="n">
        <v>105.4</v>
      </c>
      <c r="W22" t="n">
        <v>120.7</v>
      </c>
      <c r="X22" t="n">
        <v>143.2</v>
      </c>
      <c r="Y22" t="n">
        <v>162.2</v>
      </c>
    </row>
    <row r="23">
      <c r="M23" t="n">
        <v>120</v>
      </c>
      <c r="N23" t="n">
        <v>8.4</v>
      </c>
      <c r="O23" t="n">
        <v>14.9</v>
      </c>
      <c r="P23" t="n">
        <v>19.9</v>
      </c>
      <c r="Q23" t="n">
        <v>27</v>
      </c>
      <c r="R23" t="n">
        <v>33</v>
      </c>
      <c r="S23" t="n">
        <v>39.6</v>
      </c>
      <c r="T23" t="n">
        <v>46.9</v>
      </c>
      <c r="U23" t="n">
        <v>57.8</v>
      </c>
      <c r="V23" t="n">
        <v>67.09999999999999</v>
      </c>
      <c r="W23" t="n">
        <v>77.40000000000001</v>
      </c>
      <c r="X23" t="n">
        <v>92.8</v>
      </c>
      <c r="Y23" t="n">
        <v>106</v>
      </c>
    </row>
    <row r="24">
      <c r="M24" t="n">
        <v>180</v>
      </c>
      <c r="N24" t="n">
        <v>6.1</v>
      </c>
      <c r="O24" t="n">
        <v>10.8</v>
      </c>
      <c r="P24" t="n">
        <v>14.6</v>
      </c>
      <c r="Q24" t="n">
        <v>20.2</v>
      </c>
      <c r="R24" t="n">
        <v>25</v>
      </c>
      <c r="S24" t="n">
        <v>30.4</v>
      </c>
      <c r="T24" t="n">
        <v>36.6</v>
      </c>
      <c r="U24" t="n">
        <v>46.2</v>
      </c>
      <c r="V24" t="n">
        <v>54.5</v>
      </c>
      <c r="W24" t="n">
        <v>64</v>
      </c>
      <c r="X24" t="n">
        <v>78.7</v>
      </c>
      <c r="Y24" t="n">
        <v>91.5</v>
      </c>
    </row>
    <row r="25">
      <c r="M25" t="n">
        <v>360</v>
      </c>
      <c r="N25" t="n">
        <v>3.5</v>
      </c>
      <c r="O25" t="n">
        <v>6.3</v>
      </c>
      <c r="P25" t="n">
        <v>8.699999999999999</v>
      </c>
      <c r="Q25" t="n">
        <v>12.4</v>
      </c>
      <c r="R25" t="n">
        <v>15.8</v>
      </c>
      <c r="S25" t="n">
        <v>19.8</v>
      </c>
      <c r="T25" t="n">
        <v>24.5</v>
      </c>
      <c r="U25" t="n">
        <v>32</v>
      </c>
      <c r="V25" t="n">
        <v>39</v>
      </c>
      <c r="W25" t="n">
        <v>47.2</v>
      </c>
      <c r="X25" t="n">
        <v>60.5</v>
      </c>
      <c r="Y25" t="n">
        <v>72.8</v>
      </c>
    </row>
    <row r="26">
      <c r="M26" t="n">
        <v>720</v>
      </c>
      <c r="N26" t="n">
        <v>2</v>
      </c>
      <c r="O26" t="n">
        <v>3.7</v>
      </c>
      <c r="P26" t="n">
        <v>5.2</v>
      </c>
      <c r="Q26" t="n">
        <v>7.6</v>
      </c>
      <c r="R26" t="n">
        <v>9.9</v>
      </c>
      <c r="S26" t="n">
        <v>12.6</v>
      </c>
      <c r="T26" t="n">
        <v>16</v>
      </c>
      <c r="U26" t="n">
        <v>21.6</v>
      </c>
      <c r="V26" t="n">
        <v>26.9</v>
      </c>
      <c r="W26" t="n">
        <v>33.5</v>
      </c>
      <c r="X26" t="n">
        <v>44.4</v>
      </c>
      <c r="Y26" t="n">
        <v>54.8</v>
      </c>
    </row>
    <row r="27">
      <c r="M27" t="n">
        <v>1440</v>
      </c>
      <c r="N27" t="n">
        <v>1.2</v>
      </c>
      <c r="O27" t="n">
        <v>2.3</v>
      </c>
      <c r="P27" t="n">
        <v>3.2</v>
      </c>
      <c r="Q27" t="n">
        <v>4.8</v>
      </c>
      <c r="R27" t="n">
        <v>6.3</v>
      </c>
      <c r="S27" t="n">
        <v>8.1</v>
      </c>
      <c r="T27" t="n">
        <v>10.3</v>
      </c>
      <c r="U27" t="n">
        <v>14</v>
      </c>
      <c r="V27" t="n">
        <v>17.5</v>
      </c>
      <c r="W27" t="n">
        <v>21.9</v>
      </c>
      <c r="X27" t="n">
        <v>29.3</v>
      </c>
      <c r="Y27" t="n">
        <v>36.4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60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</cols>
  <sheetData>
    <row r="1">
      <c r="A1" s="1" t="inlineStr">
        <is>
          <t>Gauge 22  |  FL593824AF  |  Amerat at Amerat Wali Office</t>
        </is>
      </c>
    </row>
    <row r="3">
      <c r="A3" s="2" t="inlineStr">
        <is>
          <t>AMS BEFORE gap filling (observed only, mm)</t>
        </is>
      </c>
      <c r="M3" s="3" t="inlineStr">
        <is>
          <t>IDF - design rainfall DEPTH (mm)</t>
        </is>
      </c>
    </row>
    <row r="4">
      <c r="A4" s="4" t="inlineStr">
        <is>
          <t>Water year</t>
        </is>
      </c>
      <c r="B4" s="5" t="inlineStr">
        <is>
          <t>5min</t>
        </is>
      </c>
      <c r="C4" s="5" t="inlineStr">
        <is>
          <t>10min</t>
        </is>
      </c>
      <c r="D4" s="5" t="inlineStr">
        <is>
          <t>15min</t>
        </is>
      </c>
      <c r="E4" s="5" t="inlineStr">
        <is>
          <t>30min</t>
        </is>
      </c>
      <c r="F4" s="5" t="inlineStr">
        <is>
          <t>1h</t>
        </is>
      </c>
      <c r="G4" s="5" t="inlineStr">
        <is>
          <t>2h</t>
        </is>
      </c>
      <c r="H4" s="5" t="inlineStr">
        <is>
          <t>3h</t>
        </is>
      </c>
      <c r="I4" s="5" t="inlineStr">
        <is>
          <t>6h</t>
        </is>
      </c>
      <c r="J4" s="5" t="inlineStr">
        <is>
          <t>12h</t>
        </is>
      </c>
      <c r="K4" s="5" t="inlineStr">
        <is>
          <t>24h</t>
        </is>
      </c>
      <c r="M4" s="4" t="inlineStr">
        <is>
          <t>Duration \ RP</t>
        </is>
      </c>
      <c r="N4" s="4" t="n">
        <v>2</v>
      </c>
      <c r="O4" s="4" t="n">
        <v>5</v>
      </c>
      <c r="P4" s="4" t="n">
        <v>10</v>
      </c>
      <c r="Q4" s="4" t="n">
        <v>25</v>
      </c>
      <c r="R4" s="4" t="n">
        <v>50</v>
      </c>
      <c r="S4" s="4" t="n">
        <v>100</v>
      </c>
      <c r="T4" s="4" t="n">
        <v>200</v>
      </c>
      <c r="U4" s="4" t="n">
        <v>500</v>
      </c>
      <c r="V4" s="4" t="n">
        <v>1000</v>
      </c>
      <c r="W4" s="4" t="n">
        <v>2000</v>
      </c>
      <c r="X4" s="4" t="n">
        <v>5000</v>
      </c>
      <c r="Y4" s="4" t="n">
        <v>10000</v>
      </c>
    </row>
    <row r="5">
      <c r="A5" s="6" t="n">
        <v>1995</v>
      </c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>
        <v>21.4</v>
      </c>
      <c r="M5" s="6" t="inlineStr">
        <is>
          <t>5min</t>
        </is>
      </c>
      <c r="N5" s="6" t="n">
        <v>4.2</v>
      </c>
      <c r="O5" s="6" t="n">
        <v>6.9</v>
      </c>
      <c r="P5" s="6" t="n">
        <v>8.9</v>
      </c>
      <c r="Q5" s="6" t="n">
        <v>11.6</v>
      </c>
      <c r="R5" s="6" t="n">
        <v>13.8</v>
      </c>
      <c r="S5" s="6" t="n">
        <v>16.1</v>
      </c>
      <c r="T5" s="6" t="n">
        <v>18.6</v>
      </c>
      <c r="U5" s="6" t="n">
        <v>22.3</v>
      </c>
      <c r="V5" s="6" t="n">
        <v>25.2</v>
      </c>
      <c r="W5" s="6" t="n">
        <v>28.5</v>
      </c>
      <c r="X5" s="6" t="n">
        <v>33.1</v>
      </c>
      <c r="Y5" s="6" t="n">
        <v>36.9</v>
      </c>
    </row>
    <row r="6">
      <c r="A6" s="6" t="n">
        <v>1996</v>
      </c>
      <c r="B6" s="7" t="n"/>
      <c r="C6" s="7" t="n"/>
      <c r="D6" s="7" t="n"/>
      <c r="E6" s="7" t="n"/>
      <c r="F6" s="7" t="n"/>
      <c r="G6" s="7" t="n"/>
      <c r="H6" s="7" t="n"/>
      <c r="I6" s="7" t="n"/>
      <c r="J6" s="7" t="n"/>
      <c r="K6" s="7" t="n">
        <v>39.6</v>
      </c>
      <c r="M6" s="6" t="inlineStr">
        <is>
          <t>10min</t>
        </is>
      </c>
      <c r="N6" s="6" t="n">
        <v>6.6</v>
      </c>
      <c r="O6" s="6" t="n">
        <v>11</v>
      </c>
      <c r="P6" s="6" t="n">
        <v>14.3</v>
      </c>
      <c r="Q6" s="6" t="n">
        <v>19</v>
      </c>
      <c r="R6" s="6" t="n">
        <v>22.9</v>
      </c>
      <c r="S6" s="6" t="n">
        <v>27.2</v>
      </c>
      <c r="T6" s="6" t="n">
        <v>32</v>
      </c>
      <c r="U6" s="6" t="n">
        <v>39</v>
      </c>
      <c r="V6" s="6" t="n">
        <v>44.9</v>
      </c>
      <c r="W6" s="6" t="n">
        <v>51.5</v>
      </c>
      <c r="X6" s="6" t="n">
        <v>61.2</v>
      </c>
      <c r="Y6" s="6" t="n">
        <v>69.40000000000001</v>
      </c>
    </row>
    <row r="7">
      <c r="A7" s="6" t="n">
        <v>1997</v>
      </c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>
        <v>59.4</v>
      </c>
      <c r="M7" s="6" t="inlineStr">
        <is>
          <t>15min</t>
        </is>
      </c>
      <c r="N7" s="6" t="n">
        <v>8.199999999999999</v>
      </c>
      <c r="O7" s="6" t="n">
        <v>13.9</v>
      </c>
      <c r="P7" s="6" t="n">
        <v>18.3</v>
      </c>
      <c r="Q7" s="6" t="n">
        <v>24.7</v>
      </c>
      <c r="R7" s="6" t="n">
        <v>30.2</v>
      </c>
      <c r="S7" s="6" t="n">
        <v>36.2</v>
      </c>
      <c r="T7" s="6" t="n">
        <v>43</v>
      </c>
      <c r="U7" s="6" t="n">
        <v>53.2</v>
      </c>
      <c r="V7" s="6" t="n">
        <v>62</v>
      </c>
      <c r="W7" s="6" t="n">
        <v>71.90000000000001</v>
      </c>
      <c r="X7" s="6" t="n">
        <v>86.7</v>
      </c>
      <c r="Y7" s="6" t="n">
        <v>99.5</v>
      </c>
    </row>
    <row r="8">
      <c r="A8" s="6" t="n">
        <v>1998</v>
      </c>
      <c r="B8" s="7" t="n">
        <v>4.8</v>
      </c>
      <c r="C8" s="7" t="n">
        <v>5.2</v>
      </c>
      <c r="D8" s="7" t="n">
        <v>6.7</v>
      </c>
      <c r="E8" s="7" t="n">
        <v>10.3</v>
      </c>
      <c r="F8" s="7" t="n">
        <v>13.4</v>
      </c>
      <c r="G8" s="7" t="n">
        <v>14.5</v>
      </c>
      <c r="H8" s="7" t="n">
        <v>15.8</v>
      </c>
      <c r="I8" s="7" t="n">
        <v>16.8</v>
      </c>
      <c r="J8" s="7" t="n">
        <v>33.4</v>
      </c>
      <c r="K8" s="7" t="n">
        <v>66.8</v>
      </c>
      <c r="M8" s="6" t="inlineStr">
        <is>
          <t>30min</t>
        </is>
      </c>
      <c r="N8" s="6" t="n">
        <v>11.1</v>
      </c>
      <c r="O8" s="6" t="n">
        <v>19.1</v>
      </c>
      <c r="P8" s="6" t="n">
        <v>25</v>
      </c>
      <c r="Q8" s="6" t="n">
        <v>33.3</v>
      </c>
      <c r="R8" s="6" t="n">
        <v>40.2</v>
      </c>
      <c r="S8" s="6" t="n">
        <v>47.6</v>
      </c>
      <c r="T8" s="6" t="n">
        <v>55.7</v>
      </c>
      <c r="U8" s="6" t="n">
        <v>67.5</v>
      </c>
      <c r="V8" s="6" t="n">
        <v>77.40000000000001</v>
      </c>
      <c r="W8" s="6" t="n">
        <v>88.09999999999999</v>
      </c>
      <c r="X8" s="6" t="n">
        <v>103.9</v>
      </c>
      <c r="Y8" s="6" t="n">
        <v>117.1</v>
      </c>
    </row>
    <row r="9">
      <c r="A9" s="6" t="n">
        <v>1999</v>
      </c>
      <c r="B9" s="7" t="n">
        <v>2.2</v>
      </c>
      <c r="C9" s="7" t="n">
        <v>3.2</v>
      </c>
      <c r="D9" s="7" t="n">
        <v>4</v>
      </c>
      <c r="E9" s="7" t="n">
        <v>4.7</v>
      </c>
      <c r="F9" s="7" t="n">
        <v>5.5</v>
      </c>
      <c r="G9" s="7" t="n">
        <v>6.1</v>
      </c>
      <c r="H9" s="7" t="n">
        <v>6.5</v>
      </c>
      <c r="I9" s="7" t="n">
        <v>13</v>
      </c>
      <c r="J9" s="7" t="n">
        <v>26</v>
      </c>
      <c r="K9" s="7" t="n">
        <v>52</v>
      </c>
      <c r="M9" s="6" t="inlineStr">
        <is>
          <t>1h</t>
        </is>
      </c>
      <c r="N9" s="6" t="n">
        <v>13.9</v>
      </c>
      <c r="O9" s="6" t="n">
        <v>23.8</v>
      </c>
      <c r="P9" s="6" t="n">
        <v>31.2</v>
      </c>
      <c r="Q9" s="6" t="n">
        <v>41.6</v>
      </c>
      <c r="R9" s="6" t="n">
        <v>50.1</v>
      </c>
      <c r="S9" s="6" t="n">
        <v>59.4</v>
      </c>
      <c r="T9" s="6" t="n">
        <v>69.40000000000001</v>
      </c>
      <c r="U9" s="6" t="n">
        <v>84.09999999999999</v>
      </c>
      <c r="V9" s="6" t="n">
        <v>96.3</v>
      </c>
      <c r="W9" s="6" t="n">
        <v>109.7</v>
      </c>
      <c r="X9" s="6" t="n">
        <v>129.2</v>
      </c>
      <c r="Y9" s="6" t="n">
        <v>145.5</v>
      </c>
    </row>
    <row r="10">
      <c r="A10" s="6" t="n">
        <v>2000</v>
      </c>
      <c r="B10" s="7" t="n">
        <v>0.5</v>
      </c>
      <c r="C10" s="7" t="n">
        <v>0.6</v>
      </c>
      <c r="D10" s="7" t="n">
        <v>0.6</v>
      </c>
      <c r="E10" s="7" t="n">
        <v>0.7</v>
      </c>
      <c r="F10" s="7" t="n">
        <v>0.7</v>
      </c>
      <c r="G10" s="7" t="n">
        <v>0.7</v>
      </c>
      <c r="H10" s="7" t="n">
        <v>0.8</v>
      </c>
      <c r="I10" s="7" t="n">
        <v>0.8</v>
      </c>
      <c r="J10" s="7" t="n">
        <v>0.9</v>
      </c>
      <c r="K10" s="7" t="n">
        <v>1.2</v>
      </c>
      <c r="M10" s="6" t="inlineStr">
        <is>
          <t>2h</t>
        </is>
      </c>
      <c r="N10" s="6" t="n">
        <v>16.1</v>
      </c>
      <c r="O10" s="6" t="n">
        <v>28.2</v>
      </c>
      <c r="P10" s="6" t="n">
        <v>37.6</v>
      </c>
      <c r="Q10" s="6" t="n">
        <v>51.2</v>
      </c>
      <c r="R10" s="6" t="n">
        <v>62.8</v>
      </c>
      <c r="S10" s="6" t="n">
        <v>75.7</v>
      </c>
      <c r="T10" s="6" t="n">
        <v>90.09999999999999</v>
      </c>
      <c r="U10" s="6" t="n">
        <v>112</v>
      </c>
      <c r="V10" s="6" t="n">
        <v>130.8</v>
      </c>
      <c r="W10" s="6" t="n">
        <v>152</v>
      </c>
      <c r="X10" s="6" t="n">
        <v>183.9</v>
      </c>
      <c r="Y10" s="6" t="n">
        <v>211.6</v>
      </c>
    </row>
    <row r="11">
      <c r="A11" s="6" t="n">
        <v>2001</v>
      </c>
      <c r="B11" s="7" t="n">
        <v>1.5</v>
      </c>
      <c r="C11" s="7" t="n">
        <v>2.8</v>
      </c>
      <c r="D11" s="7" t="n">
        <v>3.9</v>
      </c>
      <c r="E11" s="7" t="n">
        <v>4.7</v>
      </c>
      <c r="F11" s="7" t="n">
        <v>5.9</v>
      </c>
      <c r="G11" s="7" t="n">
        <v>6.1</v>
      </c>
      <c r="H11" s="7" t="n">
        <v>7.7</v>
      </c>
      <c r="I11" s="7" t="n">
        <v>8.199999999999999</v>
      </c>
      <c r="J11" s="7" t="n">
        <v>8.300000000000001</v>
      </c>
      <c r="K11" s="7" t="n">
        <v>8.5</v>
      </c>
      <c r="M11" s="6" t="inlineStr">
        <is>
          <t>3h</t>
        </is>
      </c>
      <c r="N11" s="6" t="n">
        <v>17.4</v>
      </c>
      <c r="O11" s="6" t="n">
        <v>30.8</v>
      </c>
      <c r="P11" s="6" t="n">
        <v>41.5</v>
      </c>
      <c r="Q11" s="6" t="n">
        <v>57.8</v>
      </c>
      <c r="R11" s="6" t="n">
        <v>72.09999999999999</v>
      </c>
      <c r="S11" s="6" t="n">
        <v>88.59999999999999</v>
      </c>
      <c r="T11" s="6" t="n">
        <v>107.6</v>
      </c>
      <c r="U11" s="6" t="n">
        <v>137.2</v>
      </c>
      <c r="V11" s="6" t="n">
        <v>163.8</v>
      </c>
      <c r="W11" s="6" t="n">
        <v>194.4</v>
      </c>
      <c r="X11" s="6" t="n">
        <v>242.4</v>
      </c>
      <c r="Y11" s="6" t="n">
        <v>285.3</v>
      </c>
    </row>
    <row r="12">
      <c r="A12" s="6" t="n">
        <v>2002</v>
      </c>
      <c r="B12" s="7" t="n"/>
      <c r="C12" s="7" t="n"/>
      <c r="D12" s="7" t="n"/>
      <c r="E12" s="7" t="n"/>
      <c r="F12" s="7" t="n"/>
      <c r="G12" s="7" t="n"/>
      <c r="H12" s="7" t="n"/>
      <c r="I12" s="7" t="n"/>
      <c r="J12" s="7" t="n"/>
      <c r="K12" s="7" t="n"/>
      <c r="M12" s="6" t="inlineStr">
        <is>
          <t>6h</t>
        </is>
      </c>
      <c r="N12" s="6" t="n">
        <v>20</v>
      </c>
      <c r="O12" s="6" t="n">
        <v>36.2</v>
      </c>
      <c r="P12" s="6" t="n">
        <v>50</v>
      </c>
      <c r="Q12" s="6" t="n">
        <v>72</v>
      </c>
      <c r="R12" s="6" t="n">
        <v>92.40000000000001</v>
      </c>
      <c r="S12" s="6" t="n">
        <v>116.8</v>
      </c>
      <c r="T12" s="6" t="n">
        <v>146.2</v>
      </c>
      <c r="U12" s="6" t="n">
        <v>194.4</v>
      </c>
      <c r="V12" s="6" t="n">
        <v>239.7</v>
      </c>
      <c r="W12" s="6" t="n">
        <v>294.4</v>
      </c>
      <c r="X12" s="6" t="n">
        <v>384.3</v>
      </c>
      <c r="Y12" s="6" t="n">
        <v>468.7</v>
      </c>
    </row>
    <row r="13">
      <c r="A13" s="6" t="n">
        <v>2003</v>
      </c>
      <c r="B13" s="7" t="n">
        <v>4.4</v>
      </c>
      <c r="C13" s="7" t="n">
        <v>8.800000000000001</v>
      </c>
      <c r="D13" s="7" t="n">
        <v>11.1</v>
      </c>
      <c r="E13" s="7" t="n">
        <v>13.7</v>
      </c>
      <c r="F13" s="7" t="n">
        <v>14.1</v>
      </c>
      <c r="G13" s="7" t="n">
        <v>14.2</v>
      </c>
      <c r="H13" s="7" t="n">
        <v>14.2</v>
      </c>
      <c r="I13" s="7" t="n">
        <v>14.7</v>
      </c>
      <c r="J13" s="7" t="n">
        <v>20.6</v>
      </c>
      <c r="K13" s="7" t="n">
        <v>20.9</v>
      </c>
      <c r="M13" s="6" t="inlineStr">
        <is>
          <t>12h</t>
        </is>
      </c>
      <c r="N13" s="6" t="n">
        <v>22.8</v>
      </c>
      <c r="O13" s="6" t="n">
        <v>42</v>
      </c>
      <c r="P13" s="6" t="n">
        <v>58.9</v>
      </c>
      <c r="Q13" s="6" t="n">
        <v>86.7</v>
      </c>
      <c r="R13" s="6" t="n">
        <v>113.4</v>
      </c>
      <c r="S13" s="6" t="n">
        <v>146.2</v>
      </c>
      <c r="T13" s="6" t="n">
        <v>186.9</v>
      </c>
      <c r="U13" s="6" t="n">
        <v>255.8</v>
      </c>
      <c r="V13" s="6" t="n">
        <v>322.6</v>
      </c>
      <c r="W13" s="6" t="n">
        <v>405.3</v>
      </c>
      <c r="X13" s="6" t="n">
        <v>545.9</v>
      </c>
      <c r="Y13" s="6" t="n">
        <v>682.1</v>
      </c>
    </row>
    <row r="14">
      <c r="A14" s="6" t="n">
        <v>2004</v>
      </c>
      <c r="B14" s="7" t="n">
        <v>13.6</v>
      </c>
      <c r="C14" s="7" t="n">
        <v>17.7</v>
      </c>
      <c r="D14" s="7" t="n">
        <v>17.9</v>
      </c>
      <c r="E14" s="7" t="n">
        <v>17.9</v>
      </c>
      <c r="F14" s="7" t="n">
        <v>18</v>
      </c>
      <c r="G14" s="7" t="n">
        <v>18.1</v>
      </c>
      <c r="H14" s="7" t="n">
        <v>18.1</v>
      </c>
      <c r="I14" s="7" t="n">
        <v>18.2</v>
      </c>
      <c r="J14" s="7" t="n">
        <v>18.4</v>
      </c>
      <c r="K14" s="7" t="n">
        <v>18.7</v>
      </c>
      <c r="M14" s="6" t="inlineStr">
        <is>
          <t>24h</t>
        </is>
      </c>
      <c r="N14" s="6" t="n">
        <v>29.2</v>
      </c>
      <c r="O14" s="6" t="n">
        <v>55</v>
      </c>
      <c r="P14" s="6" t="n">
        <v>77.59999999999999</v>
      </c>
      <c r="Q14" s="6" t="n">
        <v>114.7</v>
      </c>
      <c r="R14" s="6" t="n">
        <v>149.9</v>
      </c>
      <c r="S14" s="6" t="n">
        <v>193.2</v>
      </c>
      <c r="T14" s="6" t="n">
        <v>246.5</v>
      </c>
      <c r="U14" s="6" t="n">
        <v>336.4</v>
      </c>
      <c r="V14" s="6" t="n">
        <v>423</v>
      </c>
      <c r="W14" s="6" t="n">
        <v>529.9</v>
      </c>
      <c r="X14" s="6" t="n">
        <v>710.4</v>
      </c>
      <c r="Y14" s="6" t="n">
        <v>884.4</v>
      </c>
    </row>
    <row r="15">
      <c r="A15" s="6" t="n">
        <v>2005</v>
      </c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>
        <v>29</v>
      </c>
    </row>
    <row r="16">
      <c r="A16" s="6" t="n">
        <v>2006</v>
      </c>
      <c r="B16" s="7" t="n">
        <v>8.6</v>
      </c>
      <c r="C16" s="7" t="n">
        <v>14.6</v>
      </c>
      <c r="D16" s="7" t="n">
        <v>18</v>
      </c>
      <c r="E16" s="7" t="n">
        <v>24.2</v>
      </c>
      <c r="F16" s="7" t="n">
        <v>32.4</v>
      </c>
      <c r="G16" s="7" t="n">
        <v>32.6</v>
      </c>
      <c r="H16" s="7" t="n">
        <v>32.7</v>
      </c>
      <c r="I16" s="7" t="n">
        <v>32.8</v>
      </c>
      <c r="J16" s="7" t="n">
        <v>37.6</v>
      </c>
      <c r="K16" s="7" t="n">
        <v>44.6</v>
      </c>
      <c r="M16" s="3" t="inlineStr">
        <is>
          <t>IDF - intensity (mm/hr) [x=duration(min)]</t>
        </is>
      </c>
    </row>
    <row r="17">
      <c r="A17" s="6" t="n">
        <v>2007</v>
      </c>
      <c r="B17" s="7" t="n">
        <v>10</v>
      </c>
      <c r="C17" s="7" t="n">
        <v>18.2</v>
      </c>
      <c r="D17" s="7" t="n">
        <v>26</v>
      </c>
      <c r="E17" s="7" t="n">
        <v>48.6</v>
      </c>
      <c r="F17" s="7" t="n">
        <v>81</v>
      </c>
      <c r="G17" s="7" t="n">
        <v>116.2</v>
      </c>
      <c r="H17" s="7" t="n">
        <v>157.6</v>
      </c>
      <c r="I17" s="7" t="n">
        <v>205.8</v>
      </c>
      <c r="J17" s="7" t="n">
        <v>350.8</v>
      </c>
      <c r="K17" s="7" t="n">
        <v>438.3</v>
      </c>
      <c r="M17" t="inlineStr">
        <is>
          <t>Duration(min)</t>
        </is>
      </c>
      <c r="N17" t="inlineStr">
        <is>
          <t>2 yr</t>
        </is>
      </c>
      <c r="O17" t="inlineStr">
        <is>
          <t>5 yr</t>
        </is>
      </c>
      <c r="P17" t="inlineStr">
        <is>
          <t>10 yr</t>
        </is>
      </c>
      <c r="Q17" t="inlineStr">
        <is>
          <t>25 yr</t>
        </is>
      </c>
      <c r="R17" t="inlineStr">
        <is>
          <t>50 yr</t>
        </is>
      </c>
      <c r="S17" t="inlineStr">
        <is>
          <t>100 yr</t>
        </is>
      </c>
      <c r="T17" t="inlineStr">
        <is>
          <t>200 yr</t>
        </is>
      </c>
      <c r="U17" t="inlineStr">
        <is>
          <t>500 yr</t>
        </is>
      </c>
      <c r="V17" t="inlineStr">
        <is>
          <t>1000 yr</t>
        </is>
      </c>
      <c r="W17" t="inlineStr">
        <is>
          <t>2000 yr</t>
        </is>
      </c>
      <c r="X17" t="inlineStr">
        <is>
          <t>5000 yr</t>
        </is>
      </c>
      <c r="Y17" t="inlineStr">
        <is>
          <t>10000 yr</t>
        </is>
      </c>
    </row>
    <row r="18">
      <c r="A18" s="6" t="n">
        <v>2008</v>
      </c>
      <c r="B18" s="7" t="n">
        <v>2.4</v>
      </c>
      <c r="C18" s="7" t="n">
        <v>3.8</v>
      </c>
      <c r="D18" s="7" t="n">
        <v>4.3</v>
      </c>
      <c r="E18" s="7" t="n">
        <v>4.4</v>
      </c>
      <c r="F18" s="7" t="n">
        <v>4.4</v>
      </c>
      <c r="G18" s="7" t="n">
        <v>4.5</v>
      </c>
      <c r="H18" s="7" t="n">
        <v>4.6</v>
      </c>
      <c r="I18" s="7" t="n">
        <v>4.6</v>
      </c>
      <c r="J18" s="7" t="n">
        <v>4.7</v>
      </c>
      <c r="K18" s="7" t="n">
        <v>4.8</v>
      </c>
      <c r="M18" t="n">
        <v>5</v>
      </c>
      <c r="N18" t="n">
        <v>50.7</v>
      </c>
      <c r="O18" t="n">
        <v>82.7</v>
      </c>
      <c r="P18" t="n">
        <v>106.2</v>
      </c>
      <c r="Q18" t="n">
        <v>138.7</v>
      </c>
      <c r="R18" t="n">
        <v>165.1</v>
      </c>
      <c r="S18" t="n">
        <v>193.3</v>
      </c>
      <c r="T18" t="n">
        <v>223.5</v>
      </c>
      <c r="U18" t="n">
        <v>267.1</v>
      </c>
      <c r="V18" t="n">
        <v>302.9</v>
      </c>
      <c r="W18" t="n">
        <v>341.6</v>
      </c>
      <c r="X18" t="n">
        <v>397.2</v>
      </c>
      <c r="Y18" t="n">
        <v>443.1</v>
      </c>
    </row>
    <row r="19">
      <c r="A19" s="6" t="n">
        <v>2009</v>
      </c>
      <c r="B19" s="7" t="n">
        <v>11.2</v>
      </c>
      <c r="C19" s="7" t="n">
        <v>15.8</v>
      </c>
      <c r="D19" s="7" t="n">
        <v>18.4</v>
      </c>
      <c r="E19" s="7" t="n">
        <v>26.4</v>
      </c>
      <c r="F19" s="7" t="n">
        <v>32.2</v>
      </c>
      <c r="G19" s="7" t="n">
        <v>32.2</v>
      </c>
      <c r="H19" s="7" t="n">
        <v>32.3</v>
      </c>
      <c r="I19" s="7" t="n">
        <v>32.5</v>
      </c>
      <c r="J19" s="7" t="n">
        <v>35.1</v>
      </c>
      <c r="K19" s="7" t="n">
        <v>37.2</v>
      </c>
      <c r="M19" t="n">
        <v>10</v>
      </c>
      <c r="N19" t="n">
        <v>39.8</v>
      </c>
      <c r="O19" t="n">
        <v>65.90000000000001</v>
      </c>
      <c r="P19" t="n">
        <v>85.7</v>
      </c>
      <c r="Q19" t="n">
        <v>113.9</v>
      </c>
      <c r="R19" t="n">
        <v>137.5</v>
      </c>
      <c r="S19" t="n">
        <v>163.3</v>
      </c>
      <c r="T19" t="n">
        <v>191.7</v>
      </c>
      <c r="U19" t="n">
        <v>233.8</v>
      </c>
      <c r="V19" t="n">
        <v>269.4</v>
      </c>
      <c r="W19" t="n">
        <v>308.7</v>
      </c>
      <c r="X19" t="n">
        <v>367</v>
      </c>
      <c r="Y19" t="n">
        <v>416.4</v>
      </c>
    </row>
    <row r="20">
      <c r="A20" s="6" t="n">
        <v>2010</v>
      </c>
      <c r="B20" s="7" t="n">
        <v>4.4</v>
      </c>
      <c r="C20" s="7" t="n">
        <v>8</v>
      </c>
      <c r="D20" s="7" t="n">
        <v>10.2</v>
      </c>
      <c r="E20" s="7" t="n">
        <v>13.6</v>
      </c>
      <c r="F20" s="7" t="n">
        <v>23.8</v>
      </c>
      <c r="G20" s="7" t="n">
        <v>33.4</v>
      </c>
      <c r="H20" s="7" t="n">
        <v>45</v>
      </c>
      <c r="I20" s="7" t="n">
        <v>83.40000000000001</v>
      </c>
      <c r="J20" s="7" t="n">
        <v>139</v>
      </c>
      <c r="K20" s="7" t="n">
        <v>190.7</v>
      </c>
      <c r="M20" t="n">
        <v>15</v>
      </c>
      <c r="N20" t="n">
        <v>32.9</v>
      </c>
      <c r="O20" t="n">
        <v>55.7</v>
      </c>
      <c r="P20" t="n">
        <v>73.3</v>
      </c>
      <c r="Q20" t="n">
        <v>99</v>
      </c>
      <c r="R20" t="n">
        <v>120.7</v>
      </c>
      <c r="S20" t="n">
        <v>144.9</v>
      </c>
      <c r="T20" t="n">
        <v>172</v>
      </c>
      <c r="U20" t="n">
        <v>212.8</v>
      </c>
      <c r="V20" t="n">
        <v>248</v>
      </c>
      <c r="W20" t="n">
        <v>287.4</v>
      </c>
      <c r="X20" t="n">
        <v>346.9</v>
      </c>
      <c r="Y20" t="n">
        <v>398.2</v>
      </c>
    </row>
    <row r="21">
      <c r="A21" s="6" t="n">
        <v>2011</v>
      </c>
      <c r="B21" s="7" t="n">
        <v>2.6</v>
      </c>
      <c r="C21" s="7" t="n">
        <v>3.6</v>
      </c>
      <c r="D21" s="7" t="n">
        <v>4.2</v>
      </c>
      <c r="E21" s="7" t="n">
        <v>6.6</v>
      </c>
      <c r="F21" s="7" t="n">
        <v>7.5</v>
      </c>
      <c r="G21" s="7" t="n">
        <v>7.8</v>
      </c>
      <c r="H21" s="7" t="n">
        <v>8.1</v>
      </c>
      <c r="I21" s="7" t="n">
        <v>8.5</v>
      </c>
      <c r="J21" s="7" t="n">
        <v>8.6</v>
      </c>
      <c r="K21" s="7" t="n">
        <v>10.7</v>
      </c>
      <c r="M21" t="n">
        <v>30</v>
      </c>
      <c r="N21" t="n">
        <v>22.2</v>
      </c>
      <c r="O21" t="n">
        <v>38.1</v>
      </c>
      <c r="P21" t="n">
        <v>50</v>
      </c>
      <c r="Q21" t="n">
        <v>66.59999999999999</v>
      </c>
      <c r="R21" t="n">
        <v>80.3</v>
      </c>
      <c r="S21" t="n">
        <v>95.2</v>
      </c>
      <c r="T21" t="n">
        <v>111.3</v>
      </c>
      <c r="U21" t="n">
        <v>135</v>
      </c>
      <c r="V21" t="n">
        <v>154.7</v>
      </c>
      <c r="W21" t="n">
        <v>176.3</v>
      </c>
      <c r="X21" t="n">
        <v>207.8</v>
      </c>
      <c r="Y21" t="n">
        <v>234.2</v>
      </c>
    </row>
    <row r="22">
      <c r="A22" s="6" t="n">
        <v>2012</v>
      </c>
      <c r="B22" s="7" t="n">
        <v>1.8</v>
      </c>
      <c r="C22" s="7" t="n">
        <v>3</v>
      </c>
      <c r="D22" s="7" t="n">
        <v>3.6</v>
      </c>
      <c r="E22" s="7" t="n">
        <v>5.2</v>
      </c>
      <c r="F22" s="7" t="n">
        <v>7.5</v>
      </c>
      <c r="G22" s="7" t="n">
        <v>9</v>
      </c>
      <c r="H22" s="7" t="n">
        <v>10.8</v>
      </c>
      <c r="I22" s="7" t="n">
        <v>11.1</v>
      </c>
      <c r="J22" s="7" t="n">
        <v>11.4</v>
      </c>
      <c r="K22" s="7" t="n">
        <v>11.6</v>
      </c>
      <c r="M22" t="n">
        <v>60</v>
      </c>
      <c r="N22" t="n">
        <v>13.9</v>
      </c>
      <c r="O22" t="n">
        <v>23.8</v>
      </c>
      <c r="P22" t="n">
        <v>31.2</v>
      </c>
      <c r="Q22" t="n">
        <v>41.6</v>
      </c>
      <c r="R22" t="n">
        <v>50.1</v>
      </c>
      <c r="S22" t="n">
        <v>59.4</v>
      </c>
      <c r="T22" t="n">
        <v>69.40000000000001</v>
      </c>
      <c r="U22" t="n">
        <v>84.09999999999999</v>
      </c>
      <c r="V22" t="n">
        <v>96.3</v>
      </c>
      <c r="W22" t="n">
        <v>109.7</v>
      </c>
      <c r="X22" t="n">
        <v>129.2</v>
      </c>
      <c r="Y22" t="n">
        <v>145.5</v>
      </c>
    </row>
    <row r="23">
      <c r="A23" s="6" t="n">
        <v>2013</v>
      </c>
      <c r="B23" s="7" t="n">
        <v>4</v>
      </c>
      <c r="C23" s="7" t="n">
        <v>5.2</v>
      </c>
      <c r="D23" s="7" t="n">
        <v>7</v>
      </c>
      <c r="E23" s="7" t="n">
        <v>11.8</v>
      </c>
      <c r="F23" s="7" t="n">
        <v>15.6</v>
      </c>
      <c r="G23" s="7" t="n">
        <v>24.8</v>
      </c>
      <c r="H23" s="7" t="n">
        <v>26.1</v>
      </c>
      <c r="I23" s="7" t="n">
        <v>27.2</v>
      </c>
      <c r="J23" s="7" t="n">
        <v>27.3</v>
      </c>
      <c r="K23" s="7" t="n">
        <v>27.4</v>
      </c>
      <c r="M23" t="n">
        <v>120</v>
      </c>
      <c r="N23" t="n">
        <v>8.1</v>
      </c>
      <c r="O23" t="n">
        <v>14.1</v>
      </c>
      <c r="P23" t="n">
        <v>18.8</v>
      </c>
      <c r="Q23" t="n">
        <v>25.6</v>
      </c>
      <c r="R23" t="n">
        <v>31.4</v>
      </c>
      <c r="S23" t="n">
        <v>37.8</v>
      </c>
      <c r="T23" t="n">
        <v>45.1</v>
      </c>
      <c r="U23" t="n">
        <v>56</v>
      </c>
      <c r="V23" t="n">
        <v>65.40000000000001</v>
      </c>
      <c r="W23" t="n">
        <v>76</v>
      </c>
      <c r="X23" t="n">
        <v>92</v>
      </c>
      <c r="Y23" t="n">
        <v>105.8</v>
      </c>
    </row>
    <row r="24">
      <c r="A24" s="6" t="n">
        <v>2014</v>
      </c>
      <c r="B24" s="7" t="n">
        <v>2</v>
      </c>
      <c r="C24" s="7" t="n">
        <v>3.6</v>
      </c>
      <c r="D24" s="7" t="n">
        <v>5.4</v>
      </c>
      <c r="E24" s="7" t="n">
        <v>9.800000000000001</v>
      </c>
      <c r="F24" s="7" t="n">
        <v>10.4</v>
      </c>
      <c r="G24" s="7" t="n">
        <v>11.8</v>
      </c>
      <c r="H24" s="7" t="n">
        <v>16.2</v>
      </c>
      <c r="I24" s="7" t="n">
        <v>24.5</v>
      </c>
      <c r="J24" s="7" t="n">
        <v>27.8</v>
      </c>
      <c r="K24" s="7" t="n">
        <v>36.2</v>
      </c>
      <c r="M24" t="n">
        <v>180</v>
      </c>
      <c r="N24" t="n">
        <v>5.8</v>
      </c>
      <c r="O24" t="n">
        <v>10.3</v>
      </c>
      <c r="P24" t="n">
        <v>13.8</v>
      </c>
      <c r="Q24" t="n">
        <v>19.3</v>
      </c>
      <c r="R24" t="n">
        <v>24</v>
      </c>
      <c r="S24" t="n">
        <v>29.5</v>
      </c>
      <c r="T24" t="n">
        <v>35.9</v>
      </c>
      <c r="U24" t="n">
        <v>45.7</v>
      </c>
      <c r="V24" t="n">
        <v>54.6</v>
      </c>
      <c r="W24" t="n">
        <v>64.8</v>
      </c>
      <c r="X24" t="n">
        <v>80.8</v>
      </c>
      <c r="Y24" t="n">
        <v>95.09999999999999</v>
      </c>
    </row>
    <row r="25">
      <c r="A25" s="6" t="n">
        <v>2015</v>
      </c>
      <c r="B25" s="7" t="n">
        <v>7.4</v>
      </c>
      <c r="C25" s="7" t="n">
        <v>7.5</v>
      </c>
      <c r="D25" s="7" t="n">
        <v>7.5</v>
      </c>
      <c r="E25" s="7" t="n">
        <v>7.6</v>
      </c>
      <c r="F25" s="7" t="n">
        <v>7.8</v>
      </c>
      <c r="G25" s="7" t="n">
        <v>8.199999999999999</v>
      </c>
      <c r="H25" s="7" t="n">
        <v>8.5</v>
      </c>
      <c r="I25" s="7" t="n">
        <v>9.699999999999999</v>
      </c>
      <c r="J25" s="7" t="n">
        <v>12</v>
      </c>
      <c r="K25" s="7" t="n">
        <v>16.6</v>
      </c>
      <c r="M25" t="n">
        <v>360</v>
      </c>
      <c r="N25" t="n">
        <v>3.3</v>
      </c>
      <c r="O25" t="n">
        <v>6</v>
      </c>
      <c r="P25" t="n">
        <v>8.300000000000001</v>
      </c>
      <c r="Q25" t="n">
        <v>12</v>
      </c>
      <c r="R25" t="n">
        <v>15.4</v>
      </c>
      <c r="S25" t="n">
        <v>19.5</v>
      </c>
      <c r="T25" t="n">
        <v>24.4</v>
      </c>
      <c r="U25" t="n">
        <v>32.4</v>
      </c>
      <c r="V25" t="n">
        <v>40</v>
      </c>
      <c r="W25" t="n">
        <v>49.1</v>
      </c>
      <c r="X25" t="n">
        <v>64</v>
      </c>
      <c r="Y25" t="n">
        <v>78.09999999999999</v>
      </c>
    </row>
    <row r="26">
      <c r="A26" s="6" t="n">
        <v>2016</v>
      </c>
      <c r="B26" s="7" t="n">
        <v>6.6</v>
      </c>
      <c r="C26" s="7" t="n">
        <v>12.2</v>
      </c>
      <c r="D26" s="7" t="n">
        <v>17</v>
      </c>
      <c r="E26" s="7" t="n">
        <v>27.4</v>
      </c>
      <c r="F26" s="7" t="n">
        <v>36.6</v>
      </c>
      <c r="G26" s="7" t="n">
        <v>40.6</v>
      </c>
      <c r="H26" s="7" t="n">
        <v>43.6</v>
      </c>
      <c r="I26" s="7" t="n">
        <v>46.1</v>
      </c>
      <c r="J26" s="7" t="n">
        <v>46.7</v>
      </c>
      <c r="K26" s="7" t="n">
        <v>59.8</v>
      </c>
      <c r="M26" t="n">
        <v>720</v>
      </c>
      <c r="N26" t="n">
        <v>1.9</v>
      </c>
      <c r="O26" t="n">
        <v>3.5</v>
      </c>
      <c r="P26" t="n">
        <v>4.9</v>
      </c>
      <c r="Q26" t="n">
        <v>7.2</v>
      </c>
      <c r="R26" t="n">
        <v>9.4</v>
      </c>
      <c r="S26" t="n">
        <v>12.2</v>
      </c>
      <c r="T26" t="n">
        <v>15.6</v>
      </c>
      <c r="U26" t="n">
        <v>21.3</v>
      </c>
      <c r="V26" t="n">
        <v>26.9</v>
      </c>
      <c r="W26" t="n">
        <v>33.8</v>
      </c>
      <c r="X26" t="n">
        <v>45.5</v>
      </c>
      <c r="Y26" t="n">
        <v>56.8</v>
      </c>
    </row>
    <row r="27">
      <c r="A27" s="6" t="n">
        <v>2017</v>
      </c>
      <c r="B27" s="7" t="n">
        <v>14.6</v>
      </c>
      <c r="C27" s="7" t="n">
        <v>19.8</v>
      </c>
      <c r="D27" s="7" t="n">
        <v>28.4</v>
      </c>
      <c r="E27" s="7" t="n">
        <v>40.4</v>
      </c>
      <c r="F27" s="7" t="n">
        <v>42.8</v>
      </c>
      <c r="G27" s="7" t="n">
        <v>42.8</v>
      </c>
      <c r="H27" s="7" t="n">
        <v>42.8</v>
      </c>
      <c r="I27" s="7" t="n">
        <v>42.8</v>
      </c>
      <c r="J27" s="7" t="n">
        <v>42.8</v>
      </c>
      <c r="K27" s="7" t="n">
        <v>42.8</v>
      </c>
      <c r="M27" t="n">
        <v>1440</v>
      </c>
      <c r="N27" t="n">
        <v>1.2</v>
      </c>
      <c r="O27" t="n">
        <v>2.3</v>
      </c>
      <c r="P27" t="n">
        <v>3.2</v>
      </c>
      <c r="Q27" t="n">
        <v>4.8</v>
      </c>
      <c r="R27" t="n">
        <v>6.2</v>
      </c>
      <c r="S27" t="n">
        <v>8.1</v>
      </c>
      <c r="T27" t="n">
        <v>10.3</v>
      </c>
      <c r="U27" t="n">
        <v>14</v>
      </c>
      <c r="V27" t="n">
        <v>17.6</v>
      </c>
      <c r="W27" t="n">
        <v>22.1</v>
      </c>
      <c r="X27" t="n">
        <v>29.6</v>
      </c>
      <c r="Y27" t="n">
        <v>36.8</v>
      </c>
    </row>
    <row r="28">
      <c r="A28" s="6" t="n">
        <v>2018</v>
      </c>
      <c r="B28" s="7" t="n">
        <v>0.8</v>
      </c>
      <c r="C28" s="7" t="n">
        <v>1.6</v>
      </c>
      <c r="D28" s="7" t="n">
        <v>2</v>
      </c>
      <c r="E28" s="7" t="n">
        <v>3</v>
      </c>
      <c r="F28" s="7" t="n">
        <v>5</v>
      </c>
      <c r="G28" s="7" t="n">
        <v>7.4</v>
      </c>
      <c r="H28" s="7" t="n">
        <v>7.4</v>
      </c>
      <c r="I28" s="7" t="n">
        <v>7.6</v>
      </c>
      <c r="J28" s="7" t="n">
        <v>9.4</v>
      </c>
      <c r="K28" s="7" t="n">
        <v>17</v>
      </c>
    </row>
    <row r="29">
      <c r="A29" s="6" t="n">
        <v>2019</v>
      </c>
      <c r="B29" s="7" t="n">
        <v>7</v>
      </c>
      <c r="C29" s="7" t="n">
        <v>7</v>
      </c>
      <c r="D29" s="7" t="n">
        <v>7.4</v>
      </c>
      <c r="E29" s="7" t="n">
        <v>14.4</v>
      </c>
      <c r="F29" s="7" t="n">
        <v>18.2</v>
      </c>
      <c r="G29" s="7" t="n">
        <v>19.2</v>
      </c>
      <c r="H29" s="7" t="n">
        <v>19.2</v>
      </c>
      <c r="I29" s="7" t="n">
        <v>27.7</v>
      </c>
      <c r="J29" s="7" t="n">
        <v>31.2</v>
      </c>
      <c r="K29" s="7" t="n">
        <v>49.6</v>
      </c>
    </row>
    <row r="30">
      <c r="A30" s="6" t="n">
        <v>2020</v>
      </c>
      <c r="B30" s="7" t="n"/>
      <c r="C30" s="7" t="n"/>
      <c r="D30" s="7" t="n">
        <v>12.5</v>
      </c>
      <c r="E30" s="7" t="n">
        <v>17.8</v>
      </c>
      <c r="F30" s="7" t="n">
        <v>30.4</v>
      </c>
      <c r="G30" s="7" t="n">
        <v>33.8</v>
      </c>
      <c r="H30" s="7" t="n">
        <v>34.8</v>
      </c>
      <c r="I30" s="7" t="n">
        <v>38</v>
      </c>
      <c r="J30" s="7" t="n">
        <v>38</v>
      </c>
      <c r="K30" s="7" t="n">
        <v>46.6</v>
      </c>
    </row>
    <row r="33">
      <c r="A33" s="2" t="inlineStr">
        <is>
          <t>AMS AFTER gap filling (mm)  -  yellow = added or changed by gap filling</t>
        </is>
      </c>
    </row>
    <row r="34">
      <c r="A34" s="4" t="inlineStr">
        <is>
          <t>Water year</t>
        </is>
      </c>
      <c r="B34" s="5" t="inlineStr">
        <is>
          <t>5min</t>
        </is>
      </c>
      <c r="C34" s="5" t="inlineStr">
        <is>
          <t>10min</t>
        </is>
      </c>
      <c r="D34" s="5" t="inlineStr">
        <is>
          <t>15min</t>
        </is>
      </c>
      <c r="E34" s="5" t="inlineStr">
        <is>
          <t>30min</t>
        </is>
      </c>
      <c r="F34" s="5" t="inlineStr">
        <is>
          <t>1h</t>
        </is>
      </c>
      <c r="G34" s="5" t="inlineStr">
        <is>
          <t>2h</t>
        </is>
      </c>
      <c r="H34" s="5" t="inlineStr">
        <is>
          <t>3h</t>
        </is>
      </c>
      <c r="I34" s="5" t="inlineStr">
        <is>
          <t>6h</t>
        </is>
      </c>
      <c r="J34" s="5" t="inlineStr">
        <is>
          <t>12h</t>
        </is>
      </c>
      <c r="K34" s="5" t="inlineStr">
        <is>
          <t>24h</t>
        </is>
      </c>
    </row>
    <row r="35">
      <c r="A35" s="6" t="n">
        <v>1995</v>
      </c>
      <c r="B35" s="7" t="n"/>
      <c r="C35" s="7" t="n"/>
      <c r="D35" s="7" t="n"/>
      <c r="E35" s="7" t="n"/>
      <c r="F35" s="7" t="n"/>
      <c r="G35" s="7" t="n"/>
      <c r="H35" s="7" t="n"/>
      <c r="I35" s="7" t="n"/>
      <c r="J35" s="7" t="n"/>
      <c r="K35" s="8" t="n">
        <v>78.09999999999999</v>
      </c>
    </row>
    <row r="36">
      <c r="A36" s="6" t="n">
        <v>1996</v>
      </c>
      <c r="B36" s="7" t="n"/>
      <c r="C36" s="7" t="n"/>
      <c r="D36" s="7" t="n"/>
      <c r="E36" s="7" t="n"/>
      <c r="F36" s="7" t="n"/>
      <c r="G36" s="7" t="n"/>
      <c r="H36" s="7" t="n"/>
      <c r="I36" s="7" t="n"/>
      <c r="J36" s="7" t="n"/>
      <c r="K36" s="7" t="n">
        <v>39.6</v>
      </c>
    </row>
    <row r="37">
      <c r="A37" s="6" t="n">
        <v>1997</v>
      </c>
      <c r="B37" s="7" t="n"/>
      <c r="C37" s="7" t="n"/>
      <c r="D37" s="7" t="n"/>
      <c r="E37" s="7" t="n"/>
      <c r="F37" s="7" t="n"/>
      <c r="G37" s="7" t="n"/>
      <c r="H37" s="7" t="n"/>
      <c r="I37" s="7" t="n"/>
      <c r="J37" s="7" t="n"/>
      <c r="K37" s="7" t="n">
        <v>59.4</v>
      </c>
    </row>
    <row r="38">
      <c r="A38" s="6" t="n">
        <v>1998</v>
      </c>
      <c r="B38" s="7" t="n">
        <v>4.8</v>
      </c>
      <c r="C38" s="7" t="n">
        <v>5.2</v>
      </c>
      <c r="D38" s="7" t="n">
        <v>6.7</v>
      </c>
      <c r="E38" s="7" t="n">
        <v>10.3</v>
      </c>
      <c r="F38" s="7" t="n">
        <v>13.4</v>
      </c>
      <c r="G38" s="7" t="n">
        <v>14.5</v>
      </c>
      <c r="H38" s="7" t="n">
        <v>15.8</v>
      </c>
      <c r="I38" s="7" t="n">
        <v>16.8</v>
      </c>
      <c r="J38" s="7" t="n">
        <v>33.4</v>
      </c>
      <c r="K38" s="7" t="n">
        <v>66.8</v>
      </c>
    </row>
    <row r="39">
      <c r="A39" s="6" t="n">
        <v>1999</v>
      </c>
      <c r="B39" s="7" t="n">
        <v>2.2</v>
      </c>
      <c r="C39" s="7" t="n">
        <v>3.2</v>
      </c>
      <c r="D39" s="7" t="n">
        <v>4</v>
      </c>
      <c r="E39" s="7" t="n">
        <v>4.7</v>
      </c>
      <c r="F39" s="7" t="n">
        <v>5.5</v>
      </c>
      <c r="G39" s="7" t="n">
        <v>6.1</v>
      </c>
      <c r="H39" s="7" t="n">
        <v>6.5</v>
      </c>
      <c r="I39" s="7" t="n">
        <v>13</v>
      </c>
      <c r="J39" s="7" t="n">
        <v>26</v>
      </c>
      <c r="K39" s="7" t="n">
        <v>52</v>
      </c>
    </row>
    <row r="40">
      <c r="A40" s="6" t="n">
        <v>2000</v>
      </c>
      <c r="B40" s="7" t="n">
        <v>0.5</v>
      </c>
      <c r="C40" s="7" t="n">
        <v>0.6</v>
      </c>
      <c r="D40" s="7" t="n">
        <v>0.6</v>
      </c>
      <c r="E40" s="7" t="n">
        <v>0.7</v>
      </c>
      <c r="F40" s="7" t="n">
        <v>0.7</v>
      </c>
      <c r="G40" s="7" t="n">
        <v>0.7</v>
      </c>
      <c r="H40" s="7" t="n">
        <v>0.8</v>
      </c>
      <c r="I40" s="7" t="n">
        <v>0.8</v>
      </c>
      <c r="J40" s="7" t="n">
        <v>0.9</v>
      </c>
      <c r="K40" s="7" t="n">
        <v>1.2</v>
      </c>
    </row>
    <row r="41">
      <c r="A41" s="6" t="n">
        <v>2001</v>
      </c>
      <c r="B41" s="8" t="n">
        <v>2</v>
      </c>
      <c r="C41" s="8" t="n">
        <v>3.9</v>
      </c>
      <c r="D41" s="8" t="n">
        <v>4.7</v>
      </c>
      <c r="E41" s="8" t="n">
        <v>5.6</v>
      </c>
      <c r="F41" s="7" t="n">
        <v>5.9</v>
      </c>
      <c r="G41" s="7" t="n">
        <v>6.1</v>
      </c>
      <c r="H41" s="7" t="n">
        <v>7.7</v>
      </c>
      <c r="I41" s="7" t="n">
        <v>8.199999999999999</v>
      </c>
      <c r="J41" s="7" t="n">
        <v>8.300000000000001</v>
      </c>
      <c r="K41" s="8" t="n">
        <v>12.9</v>
      </c>
    </row>
    <row r="42">
      <c r="A42" s="6" t="n">
        <v>2002</v>
      </c>
      <c r="B42" s="8" t="n">
        <v>1.3</v>
      </c>
      <c r="C42" s="8" t="n">
        <v>2.4</v>
      </c>
      <c r="D42" s="8" t="n">
        <v>3.6</v>
      </c>
      <c r="E42" s="8" t="n">
        <v>5.6</v>
      </c>
      <c r="F42" s="8" t="n">
        <v>7.6</v>
      </c>
      <c r="G42" s="8" t="n">
        <v>9.800000000000001</v>
      </c>
      <c r="H42" s="8" t="n">
        <v>11.2</v>
      </c>
      <c r="I42" s="8" t="n">
        <v>13.4</v>
      </c>
      <c r="J42" s="8" t="n">
        <v>13.4</v>
      </c>
      <c r="K42" s="8" t="n">
        <v>13.4</v>
      </c>
    </row>
    <row r="43">
      <c r="A43" s="6" t="n">
        <v>2003</v>
      </c>
      <c r="B43" s="7" t="n">
        <v>4.4</v>
      </c>
      <c r="C43" s="7" t="n">
        <v>8.800000000000001</v>
      </c>
      <c r="D43" s="7" t="n">
        <v>11.1</v>
      </c>
      <c r="E43" s="7" t="n">
        <v>13.7</v>
      </c>
      <c r="F43" s="7" t="n">
        <v>14.1</v>
      </c>
      <c r="G43" s="7" t="n">
        <v>14.2</v>
      </c>
      <c r="H43" s="7" t="n">
        <v>14.2</v>
      </c>
      <c r="I43" s="7" t="n">
        <v>14.7</v>
      </c>
      <c r="J43" s="7" t="n">
        <v>20.6</v>
      </c>
      <c r="K43" s="8" t="n">
        <v>23.4</v>
      </c>
    </row>
    <row r="44">
      <c r="A44" s="6" t="n">
        <v>2004</v>
      </c>
      <c r="B44" s="7" t="n">
        <v>13.6</v>
      </c>
      <c r="C44" s="7" t="n">
        <v>17.7</v>
      </c>
      <c r="D44" s="7" t="n">
        <v>17.9</v>
      </c>
      <c r="E44" s="7" t="n">
        <v>17.9</v>
      </c>
      <c r="F44" s="7" t="n">
        <v>18</v>
      </c>
      <c r="G44" s="7" t="n">
        <v>18.1</v>
      </c>
      <c r="H44" s="7" t="n">
        <v>18.1</v>
      </c>
      <c r="I44" s="7" t="n">
        <v>18.2</v>
      </c>
      <c r="J44" s="7" t="n">
        <v>18.4</v>
      </c>
      <c r="K44" s="7" t="n">
        <v>18.7</v>
      </c>
    </row>
    <row r="45">
      <c r="A45" s="6" t="n">
        <v>2005</v>
      </c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  <c r="K45" s="7" t="n">
        <v>29</v>
      </c>
    </row>
    <row r="46">
      <c r="A46" s="6" t="n">
        <v>2006</v>
      </c>
      <c r="B46" s="7" t="n">
        <v>8.6</v>
      </c>
      <c r="C46" s="7" t="n">
        <v>14.6</v>
      </c>
      <c r="D46" s="7" t="n">
        <v>18</v>
      </c>
      <c r="E46" s="7" t="n">
        <v>24.2</v>
      </c>
      <c r="F46" s="7" t="n">
        <v>32.4</v>
      </c>
      <c r="G46" s="7" t="n">
        <v>32.6</v>
      </c>
      <c r="H46" s="7" t="n">
        <v>32.7</v>
      </c>
      <c r="I46" s="7" t="n">
        <v>32.8</v>
      </c>
      <c r="J46" s="7" t="n">
        <v>37.6</v>
      </c>
      <c r="K46" s="7" t="n">
        <v>44.6</v>
      </c>
    </row>
    <row r="47">
      <c r="A47" s="6" t="n">
        <v>2007</v>
      </c>
      <c r="B47" s="7" t="n">
        <v>10</v>
      </c>
      <c r="C47" s="7" t="n">
        <v>18.2</v>
      </c>
      <c r="D47" s="7" t="n">
        <v>26</v>
      </c>
      <c r="E47" s="7" t="n">
        <v>48.6</v>
      </c>
      <c r="F47" s="7" t="n">
        <v>81</v>
      </c>
      <c r="G47" s="7" t="n">
        <v>116.2</v>
      </c>
      <c r="H47" s="7" t="n">
        <v>157.6</v>
      </c>
      <c r="I47" s="7" t="n">
        <v>205.8</v>
      </c>
      <c r="J47" s="7" t="n">
        <v>350.8</v>
      </c>
      <c r="K47" s="7" t="n">
        <v>438.3</v>
      </c>
    </row>
    <row r="48">
      <c r="A48" s="6" t="n">
        <v>2008</v>
      </c>
      <c r="B48" s="7" t="n">
        <v>2.4</v>
      </c>
      <c r="C48" s="7" t="n">
        <v>3.8</v>
      </c>
      <c r="D48" s="7" t="n">
        <v>4.3</v>
      </c>
      <c r="E48" s="7" t="n">
        <v>4.4</v>
      </c>
      <c r="F48" s="7" t="n">
        <v>4.4</v>
      </c>
      <c r="G48" s="7" t="n">
        <v>4.5</v>
      </c>
      <c r="H48" s="7" t="n">
        <v>4.6</v>
      </c>
      <c r="I48" s="7" t="n">
        <v>4.6</v>
      </c>
      <c r="J48" s="7" t="n">
        <v>4.7</v>
      </c>
      <c r="K48" s="7" t="n">
        <v>4.8</v>
      </c>
    </row>
    <row r="49">
      <c r="A49" s="6" t="n">
        <v>2009</v>
      </c>
      <c r="B49" s="7" t="n">
        <v>11.2</v>
      </c>
      <c r="C49" s="7" t="n">
        <v>15.8</v>
      </c>
      <c r="D49" s="7" t="n">
        <v>18.4</v>
      </c>
      <c r="E49" s="7" t="n">
        <v>26.4</v>
      </c>
      <c r="F49" s="7" t="n">
        <v>32.2</v>
      </c>
      <c r="G49" s="7" t="n">
        <v>32.2</v>
      </c>
      <c r="H49" s="7" t="n">
        <v>32.3</v>
      </c>
      <c r="I49" s="7" t="n">
        <v>32.5</v>
      </c>
      <c r="J49" s="7" t="n">
        <v>35.1</v>
      </c>
      <c r="K49" s="7" t="n">
        <v>37.2</v>
      </c>
    </row>
    <row r="50">
      <c r="A50" s="6" t="n">
        <v>2010</v>
      </c>
      <c r="B50" s="7" t="n">
        <v>4.4</v>
      </c>
      <c r="C50" s="7" t="n">
        <v>8</v>
      </c>
      <c r="D50" s="7" t="n">
        <v>10.2</v>
      </c>
      <c r="E50" s="7" t="n">
        <v>13.6</v>
      </c>
      <c r="F50" s="7" t="n">
        <v>23.8</v>
      </c>
      <c r="G50" s="7" t="n">
        <v>33.4</v>
      </c>
      <c r="H50" s="7" t="n">
        <v>45</v>
      </c>
      <c r="I50" s="7" t="n">
        <v>83.40000000000001</v>
      </c>
      <c r="J50" s="7" t="n">
        <v>139</v>
      </c>
      <c r="K50" s="7" t="n">
        <v>190.7</v>
      </c>
    </row>
    <row r="51">
      <c r="A51" s="6" t="n">
        <v>2011</v>
      </c>
      <c r="B51" s="7" t="n">
        <v>2.6</v>
      </c>
      <c r="C51" s="7" t="n">
        <v>3.6</v>
      </c>
      <c r="D51" s="7" t="n">
        <v>4.2</v>
      </c>
      <c r="E51" s="7" t="n">
        <v>6.6</v>
      </c>
      <c r="F51" s="7" t="n">
        <v>7.5</v>
      </c>
      <c r="G51" s="7" t="n">
        <v>7.8</v>
      </c>
      <c r="H51" s="7" t="n">
        <v>8.1</v>
      </c>
      <c r="I51" s="7" t="n">
        <v>8.5</v>
      </c>
      <c r="J51" s="7" t="n">
        <v>8.6</v>
      </c>
      <c r="K51" s="7" t="n">
        <v>10.7</v>
      </c>
    </row>
    <row r="52">
      <c r="A52" s="6" t="n">
        <v>2012</v>
      </c>
      <c r="B52" s="7" t="n">
        <v>1.8</v>
      </c>
      <c r="C52" s="7" t="n">
        <v>3</v>
      </c>
      <c r="D52" s="7" t="n">
        <v>3.6</v>
      </c>
      <c r="E52" s="7" t="n">
        <v>5.2</v>
      </c>
      <c r="F52" s="7" t="n">
        <v>7.5</v>
      </c>
      <c r="G52" s="7" t="n">
        <v>9</v>
      </c>
      <c r="H52" s="7" t="n">
        <v>10.8</v>
      </c>
      <c r="I52" s="7" t="n">
        <v>11.1</v>
      </c>
      <c r="J52" s="7" t="n">
        <v>11.4</v>
      </c>
      <c r="K52" s="7" t="n">
        <v>11.6</v>
      </c>
    </row>
    <row r="53">
      <c r="A53" s="6" t="n">
        <v>2013</v>
      </c>
      <c r="B53" s="7" t="n">
        <v>4</v>
      </c>
      <c r="C53" s="7" t="n">
        <v>5.2</v>
      </c>
      <c r="D53" s="7" t="n">
        <v>7</v>
      </c>
      <c r="E53" s="7" t="n">
        <v>11.8</v>
      </c>
      <c r="F53" s="7" t="n">
        <v>15.6</v>
      </c>
      <c r="G53" s="7" t="n">
        <v>24.8</v>
      </c>
      <c r="H53" s="7" t="n">
        <v>26.1</v>
      </c>
      <c r="I53" s="7" t="n">
        <v>27.2</v>
      </c>
      <c r="J53" s="7" t="n">
        <v>27.3</v>
      </c>
      <c r="K53" s="7" t="n">
        <v>27.4</v>
      </c>
    </row>
    <row r="54">
      <c r="A54" s="6" t="n">
        <v>2014</v>
      </c>
      <c r="B54" s="7" t="n">
        <v>2</v>
      </c>
      <c r="C54" s="7" t="n">
        <v>3.6</v>
      </c>
      <c r="D54" s="7" t="n">
        <v>5.4</v>
      </c>
      <c r="E54" s="7" t="n">
        <v>9.800000000000001</v>
      </c>
      <c r="F54" s="7" t="n">
        <v>10.4</v>
      </c>
      <c r="G54" s="7" t="n">
        <v>11.8</v>
      </c>
      <c r="H54" s="7" t="n">
        <v>16.2</v>
      </c>
      <c r="I54" s="7" t="n">
        <v>24.5</v>
      </c>
      <c r="J54" s="7" t="n">
        <v>27.8</v>
      </c>
      <c r="K54" s="7" t="n">
        <v>36.2</v>
      </c>
    </row>
    <row r="55">
      <c r="A55" s="6" t="n">
        <v>2015</v>
      </c>
      <c r="B55" s="7" t="n">
        <v>7.4</v>
      </c>
      <c r="C55" s="7" t="n">
        <v>7.5</v>
      </c>
      <c r="D55" s="8" t="n">
        <v>7.9</v>
      </c>
      <c r="E55" s="8" t="n">
        <v>12.9</v>
      </c>
      <c r="F55" s="8" t="n">
        <v>18</v>
      </c>
      <c r="G55" s="8" t="n">
        <v>20.1</v>
      </c>
      <c r="H55" s="8" t="n">
        <v>22.2</v>
      </c>
      <c r="I55" s="8" t="n">
        <v>22.8</v>
      </c>
      <c r="J55" s="8" t="n">
        <v>22.9</v>
      </c>
      <c r="K55" s="8" t="n">
        <v>23</v>
      </c>
    </row>
    <row r="56">
      <c r="A56" s="6" t="n">
        <v>2016</v>
      </c>
      <c r="B56" s="7" t="n">
        <v>6.6</v>
      </c>
      <c r="C56" s="7" t="n">
        <v>12.2</v>
      </c>
      <c r="D56" s="7" t="n">
        <v>17</v>
      </c>
      <c r="E56" s="7" t="n">
        <v>27.4</v>
      </c>
      <c r="F56" s="7" t="n">
        <v>36.6</v>
      </c>
      <c r="G56" s="7" t="n">
        <v>40.6</v>
      </c>
      <c r="H56" s="7" t="n">
        <v>43.6</v>
      </c>
      <c r="I56" s="7" t="n">
        <v>46.1</v>
      </c>
      <c r="J56" s="7" t="n">
        <v>46.7</v>
      </c>
      <c r="K56" s="7" t="n">
        <v>59.8</v>
      </c>
    </row>
    <row r="57">
      <c r="A57" s="6" t="n">
        <v>2017</v>
      </c>
      <c r="B57" s="7" t="n">
        <v>14.6</v>
      </c>
      <c r="C57" s="7" t="n">
        <v>19.8</v>
      </c>
      <c r="D57" s="7" t="n">
        <v>28.4</v>
      </c>
      <c r="E57" s="7" t="n">
        <v>40.4</v>
      </c>
      <c r="F57" s="7" t="n">
        <v>42.8</v>
      </c>
      <c r="G57" s="7" t="n">
        <v>42.8</v>
      </c>
      <c r="H57" s="7" t="n">
        <v>42.8</v>
      </c>
      <c r="I57" s="7" t="n">
        <v>42.8</v>
      </c>
      <c r="J57" s="7" t="n">
        <v>42.8</v>
      </c>
      <c r="K57" s="7" t="n">
        <v>42.8</v>
      </c>
    </row>
    <row r="58">
      <c r="A58" s="6" t="n">
        <v>2018</v>
      </c>
      <c r="B58" s="7" t="n">
        <v>0.8</v>
      </c>
      <c r="C58" s="7" t="n">
        <v>1.6</v>
      </c>
      <c r="D58" s="7" t="n">
        <v>2</v>
      </c>
      <c r="E58" s="7" t="n">
        <v>3</v>
      </c>
      <c r="F58" s="7" t="n">
        <v>5</v>
      </c>
      <c r="G58" s="7" t="n">
        <v>7.4</v>
      </c>
      <c r="H58" s="7" t="n">
        <v>7.4</v>
      </c>
      <c r="I58" s="7" t="n">
        <v>7.6</v>
      </c>
      <c r="J58" s="7" t="n">
        <v>9.4</v>
      </c>
      <c r="K58" s="7" t="n">
        <v>17</v>
      </c>
    </row>
    <row r="59">
      <c r="A59" s="6" t="n">
        <v>2019</v>
      </c>
      <c r="B59" s="7" t="n">
        <v>7</v>
      </c>
      <c r="C59" s="7" t="n">
        <v>7</v>
      </c>
      <c r="D59" s="7" t="n">
        <v>7.4</v>
      </c>
      <c r="E59" s="7" t="n">
        <v>14.4</v>
      </c>
      <c r="F59" s="7" t="n">
        <v>18.2</v>
      </c>
      <c r="G59" s="7" t="n">
        <v>19.2</v>
      </c>
      <c r="H59" s="7" t="n">
        <v>19.2</v>
      </c>
      <c r="I59" s="7" t="n">
        <v>27.7</v>
      </c>
      <c r="J59" s="7" t="n">
        <v>31.2</v>
      </c>
      <c r="K59" s="7" t="n">
        <v>49.6</v>
      </c>
    </row>
    <row r="60">
      <c r="A60" s="6" t="n">
        <v>2020</v>
      </c>
      <c r="B60" s="7" t="n"/>
      <c r="C60" s="7" t="n"/>
      <c r="D60" s="7" t="n">
        <v>12.5</v>
      </c>
      <c r="E60" s="7" t="n">
        <v>17.8</v>
      </c>
      <c r="F60" s="7" t="n">
        <v>30.4</v>
      </c>
      <c r="G60" s="7" t="n">
        <v>33.8</v>
      </c>
      <c r="H60" s="7" t="n">
        <v>34.8</v>
      </c>
      <c r="I60" s="7" t="n">
        <v>38</v>
      </c>
      <c r="J60" s="7" t="n">
        <v>38</v>
      </c>
      <c r="K60" s="7" t="n">
        <v>46.6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27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</cols>
  <sheetData>
    <row r="1">
      <c r="A1" s="1" t="inlineStr">
        <is>
          <t>Gauge 26  |  FL182756AF  |  Bidbid at Health Center</t>
        </is>
      </c>
    </row>
    <row r="3">
      <c r="A3" s="2" t="inlineStr">
        <is>
          <t>AMS BEFORE gap filling (observed only, mm)</t>
        </is>
      </c>
      <c r="M3" s="3" t="inlineStr">
        <is>
          <t>IDF - design rainfall DEPTH (mm)</t>
        </is>
      </c>
    </row>
    <row r="4">
      <c r="A4" s="4" t="inlineStr">
        <is>
          <t>Water year</t>
        </is>
      </c>
      <c r="B4" s="5" t="inlineStr">
        <is>
          <t>5min</t>
        </is>
      </c>
      <c r="C4" s="5" t="inlineStr">
        <is>
          <t>10min</t>
        </is>
      </c>
      <c r="D4" s="5" t="inlineStr">
        <is>
          <t>15min</t>
        </is>
      </c>
      <c r="E4" s="5" t="inlineStr">
        <is>
          <t>30min</t>
        </is>
      </c>
      <c r="F4" s="5" t="inlineStr">
        <is>
          <t>1h</t>
        </is>
      </c>
      <c r="G4" s="5" t="inlineStr">
        <is>
          <t>2h</t>
        </is>
      </c>
      <c r="H4" s="5" t="inlineStr">
        <is>
          <t>3h</t>
        </is>
      </c>
      <c r="I4" s="5" t="inlineStr">
        <is>
          <t>6h</t>
        </is>
      </c>
      <c r="J4" s="5" t="inlineStr">
        <is>
          <t>12h</t>
        </is>
      </c>
      <c r="K4" s="5" t="inlineStr">
        <is>
          <t>24h</t>
        </is>
      </c>
      <c r="M4" s="4" t="inlineStr">
        <is>
          <t>Duration \ RP</t>
        </is>
      </c>
      <c r="N4" s="4" t="n">
        <v>2</v>
      </c>
      <c r="O4" s="4" t="n">
        <v>5</v>
      </c>
      <c r="P4" s="4" t="n">
        <v>10</v>
      </c>
      <c r="Q4" s="4" t="n">
        <v>25</v>
      </c>
      <c r="R4" s="4" t="n">
        <v>50</v>
      </c>
      <c r="S4" s="4" t="n">
        <v>100</v>
      </c>
      <c r="T4" s="4" t="n">
        <v>200</v>
      </c>
      <c r="U4" s="4" t="n">
        <v>500</v>
      </c>
      <c r="V4" s="4" t="n">
        <v>1000</v>
      </c>
      <c r="W4" s="4" t="n">
        <v>2000</v>
      </c>
      <c r="X4" s="4" t="n">
        <v>5000</v>
      </c>
      <c r="Y4" s="4" t="n">
        <v>10000</v>
      </c>
    </row>
    <row r="5">
      <c r="A5" s="6" t="n">
        <v>2017</v>
      </c>
      <c r="B5" s="7" t="n">
        <v>6.2</v>
      </c>
      <c r="C5" s="7" t="n">
        <v>6.2</v>
      </c>
      <c r="D5" s="7" t="n">
        <v>8.4</v>
      </c>
      <c r="E5" s="7" t="n">
        <v>8.4</v>
      </c>
      <c r="F5" s="7" t="n">
        <v>8.4</v>
      </c>
      <c r="G5" s="7" t="n">
        <v>8.4</v>
      </c>
      <c r="H5" s="7" t="n">
        <v>8.4</v>
      </c>
      <c r="I5" s="7" t="n">
        <v>8.4</v>
      </c>
      <c r="J5" s="7" t="n">
        <v>8.4</v>
      </c>
      <c r="K5" s="7" t="n">
        <v>8.5</v>
      </c>
      <c r="M5" s="6" t="inlineStr">
        <is>
          <t>5min</t>
        </is>
      </c>
      <c r="N5" s="6" t="n">
        <v>4.7</v>
      </c>
      <c r="O5" s="6" t="n">
        <v>7.7</v>
      </c>
      <c r="P5" s="6" t="n">
        <v>10.2</v>
      </c>
      <c r="Q5" s="6" t="n">
        <v>13.8</v>
      </c>
      <c r="R5" s="6" t="n">
        <v>17</v>
      </c>
      <c r="S5" s="6" t="n">
        <v>20.6</v>
      </c>
      <c r="T5" s="6" t="n">
        <v>24.7</v>
      </c>
      <c r="U5" s="6" t="n">
        <v>31.1</v>
      </c>
      <c r="V5" s="6" t="n">
        <v>36.6</v>
      </c>
      <c r="W5" s="6" t="n">
        <v>43</v>
      </c>
      <c r="X5" s="6" t="n">
        <v>52.9</v>
      </c>
      <c r="Y5" s="6" t="n">
        <v>61.6</v>
      </c>
    </row>
    <row r="6">
      <c r="A6" s="6" t="n">
        <v>2018</v>
      </c>
      <c r="B6" s="7" t="n">
        <v>5.2</v>
      </c>
      <c r="C6" s="7" t="n">
        <v>5.2</v>
      </c>
      <c r="D6" s="7" t="n">
        <v>5.2</v>
      </c>
      <c r="E6" s="7" t="n">
        <v>5.2</v>
      </c>
      <c r="F6" s="7" t="n">
        <v>5.2</v>
      </c>
      <c r="G6" s="7" t="n">
        <v>5.3</v>
      </c>
      <c r="H6" s="7" t="n">
        <v>5.3</v>
      </c>
      <c r="I6" s="7" t="n">
        <v>5.5</v>
      </c>
      <c r="J6" s="7" t="n">
        <v>5.8</v>
      </c>
      <c r="K6" s="7" t="n">
        <v>5.8</v>
      </c>
      <c r="M6" s="6" t="inlineStr">
        <is>
          <t>10min</t>
        </is>
      </c>
      <c r="N6" s="6" t="n">
        <v>7.6</v>
      </c>
      <c r="O6" s="6" t="n">
        <v>12.7</v>
      </c>
      <c r="P6" s="6" t="n">
        <v>16.8</v>
      </c>
      <c r="Q6" s="6" t="n">
        <v>22.6</v>
      </c>
      <c r="R6" s="6" t="n">
        <v>27.6</v>
      </c>
      <c r="S6" s="6" t="n">
        <v>33.3</v>
      </c>
      <c r="T6" s="6" t="n">
        <v>39.6</v>
      </c>
      <c r="U6" s="6" t="n">
        <v>49.2</v>
      </c>
      <c r="V6" s="6" t="n">
        <v>57.5</v>
      </c>
      <c r="W6" s="6" t="n">
        <v>66.90000000000001</v>
      </c>
      <c r="X6" s="6" t="n">
        <v>81.2</v>
      </c>
      <c r="Y6" s="6" t="n">
        <v>93.59999999999999</v>
      </c>
    </row>
    <row r="7">
      <c r="A7" s="6" t="n">
        <v>2019</v>
      </c>
      <c r="B7" s="7" t="n">
        <v>5.4</v>
      </c>
      <c r="C7" s="7" t="n">
        <v>8.199999999999999</v>
      </c>
      <c r="D7" s="7" t="n">
        <v>11</v>
      </c>
      <c r="E7" s="7" t="n">
        <v>17.6</v>
      </c>
      <c r="F7" s="7" t="n">
        <v>26.9</v>
      </c>
      <c r="G7" s="7" t="n">
        <v>32.6</v>
      </c>
      <c r="H7" s="7" t="n">
        <v>34</v>
      </c>
      <c r="I7" s="7" t="n">
        <v>34.1</v>
      </c>
      <c r="J7" s="7" t="n">
        <v>34.2</v>
      </c>
      <c r="K7" s="7" t="n">
        <v>47.4</v>
      </c>
      <c r="M7" s="6" t="inlineStr">
        <is>
          <t>15min</t>
        </is>
      </c>
      <c r="N7" s="6" t="n">
        <v>9.5</v>
      </c>
      <c r="O7" s="6" t="n">
        <v>16</v>
      </c>
      <c r="P7" s="6" t="n">
        <v>21.1</v>
      </c>
      <c r="Q7" s="6" t="n">
        <v>28.5</v>
      </c>
      <c r="R7" s="6" t="n">
        <v>34.8</v>
      </c>
      <c r="S7" s="6" t="n">
        <v>41.8</v>
      </c>
      <c r="T7" s="6" t="n">
        <v>49.7</v>
      </c>
      <c r="U7" s="6" t="n">
        <v>61.7</v>
      </c>
      <c r="V7" s="6" t="n">
        <v>72</v>
      </c>
      <c r="W7" s="6" t="n">
        <v>83.7</v>
      </c>
      <c r="X7" s="6" t="n">
        <v>101.4</v>
      </c>
      <c r="Y7" s="6" t="n">
        <v>116.7</v>
      </c>
    </row>
    <row r="8">
      <c r="M8" s="6" t="inlineStr">
        <is>
          <t>30min</t>
        </is>
      </c>
      <c r="N8" s="6" t="n">
        <v>13.1</v>
      </c>
      <c r="O8" s="6" t="n">
        <v>21.9</v>
      </c>
      <c r="P8" s="6" t="n">
        <v>28.4</v>
      </c>
      <c r="Q8" s="6" t="n">
        <v>37.5</v>
      </c>
      <c r="R8" s="6" t="n">
        <v>44.9</v>
      </c>
      <c r="S8" s="6" t="n">
        <v>52.9</v>
      </c>
      <c r="T8" s="6" t="n">
        <v>61.5</v>
      </c>
      <c r="U8" s="6" t="n">
        <v>74</v>
      </c>
      <c r="V8" s="6" t="n">
        <v>84.40000000000001</v>
      </c>
      <c r="W8" s="6" t="n">
        <v>95.7</v>
      </c>
      <c r="X8" s="6" t="n">
        <v>112</v>
      </c>
      <c r="Y8" s="6" t="n">
        <v>125.6</v>
      </c>
    </row>
    <row r="9">
      <c r="M9" s="6" t="inlineStr">
        <is>
          <t>1h</t>
        </is>
      </c>
      <c r="N9" s="6" t="n">
        <v>15.6</v>
      </c>
      <c r="O9" s="6" t="n">
        <v>25.7</v>
      </c>
      <c r="P9" s="6" t="n">
        <v>32.9</v>
      </c>
      <c r="Q9" s="6" t="n">
        <v>42.9</v>
      </c>
      <c r="R9" s="6" t="n">
        <v>50.9</v>
      </c>
      <c r="S9" s="6" t="n">
        <v>59.3</v>
      </c>
      <c r="T9" s="6" t="n">
        <v>68.3</v>
      </c>
      <c r="U9" s="6" t="n">
        <v>81.09999999999999</v>
      </c>
      <c r="V9" s="6" t="n">
        <v>91.5</v>
      </c>
      <c r="W9" s="6" t="n">
        <v>102.6</v>
      </c>
      <c r="X9" s="6" t="n">
        <v>118.5</v>
      </c>
      <c r="Y9" s="6" t="n">
        <v>131.4</v>
      </c>
    </row>
    <row r="10">
      <c r="A10" s="2" t="inlineStr">
        <is>
          <t>AMS AFTER gap filling (mm)  -  yellow = added or changed by gap filling</t>
        </is>
      </c>
      <c r="M10" s="6" t="inlineStr">
        <is>
          <t>2h</t>
        </is>
      </c>
      <c r="N10" s="6" t="n">
        <v>18.7</v>
      </c>
      <c r="O10" s="6" t="n">
        <v>30.7</v>
      </c>
      <c r="P10" s="6" t="n">
        <v>39.3</v>
      </c>
      <c r="Q10" s="6" t="n">
        <v>51</v>
      </c>
      <c r="R10" s="6" t="n">
        <v>60.4</v>
      </c>
      <c r="S10" s="6" t="n">
        <v>70.3</v>
      </c>
      <c r="T10" s="6" t="n">
        <v>80.8</v>
      </c>
      <c r="U10" s="6" t="n">
        <v>95.8</v>
      </c>
      <c r="V10" s="6" t="n">
        <v>107.9</v>
      </c>
      <c r="W10" s="6" t="n">
        <v>120.8</v>
      </c>
      <c r="X10" s="6" t="n">
        <v>139.1</v>
      </c>
      <c r="Y10" s="6" t="n">
        <v>154</v>
      </c>
    </row>
    <row r="11">
      <c r="A11" s="4" t="inlineStr">
        <is>
          <t>Water year</t>
        </is>
      </c>
      <c r="B11" s="5" t="inlineStr">
        <is>
          <t>5min</t>
        </is>
      </c>
      <c r="C11" s="5" t="inlineStr">
        <is>
          <t>10min</t>
        </is>
      </c>
      <c r="D11" s="5" t="inlineStr">
        <is>
          <t>15min</t>
        </is>
      </c>
      <c r="E11" s="5" t="inlineStr">
        <is>
          <t>30min</t>
        </is>
      </c>
      <c r="F11" s="5" t="inlineStr">
        <is>
          <t>1h</t>
        </is>
      </c>
      <c r="G11" s="5" t="inlineStr">
        <is>
          <t>2h</t>
        </is>
      </c>
      <c r="H11" s="5" t="inlineStr">
        <is>
          <t>3h</t>
        </is>
      </c>
      <c r="I11" s="5" t="inlineStr">
        <is>
          <t>6h</t>
        </is>
      </c>
      <c r="J11" s="5" t="inlineStr">
        <is>
          <t>12h</t>
        </is>
      </c>
      <c r="K11" s="5" t="inlineStr">
        <is>
          <t>24h</t>
        </is>
      </c>
      <c r="M11" s="6" t="inlineStr">
        <is>
          <t>3h</t>
        </is>
      </c>
      <c r="N11" s="6" t="n">
        <v>20.3</v>
      </c>
      <c r="O11" s="6" t="n">
        <v>33.4</v>
      </c>
      <c r="P11" s="6" t="n">
        <v>43</v>
      </c>
      <c r="Q11" s="6" t="n">
        <v>56.3</v>
      </c>
      <c r="R11" s="6" t="n">
        <v>67</v>
      </c>
      <c r="S11" s="6" t="n">
        <v>78.40000000000001</v>
      </c>
      <c r="T11" s="6" t="n">
        <v>90.59999999999999</v>
      </c>
      <c r="U11" s="6" t="n">
        <v>108.2</v>
      </c>
      <c r="V11" s="6" t="n">
        <v>122.7</v>
      </c>
      <c r="W11" s="6" t="n">
        <v>138.2</v>
      </c>
      <c r="X11" s="6" t="n">
        <v>160.5</v>
      </c>
      <c r="Y11" s="6" t="n">
        <v>178.8</v>
      </c>
    </row>
    <row r="12">
      <c r="A12" s="6" t="n">
        <v>2017</v>
      </c>
      <c r="B12" s="7" t="n">
        <v>6.2</v>
      </c>
      <c r="C12" s="7" t="n">
        <v>6.2</v>
      </c>
      <c r="D12" s="7" t="n">
        <v>8.4</v>
      </c>
      <c r="E12" s="7" t="n">
        <v>8.4</v>
      </c>
      <c r="F12" s="7" t="n">
        <v>8.4</v>
      </c>
      <c r="G12" s="7" t="n">
        <v>8.4</v>
      </c>
      <c r="H12" s="7" t="n">
        <v>8.4</v>
      </c>
      <c r="I12" s="7" t="n">
        <v>8.4</v>
      </c>
      <c r="J12" s="7" t="n">
        <v>8.4</v>
      </c>
      <c r="K12" s="7" t="n">
        <v>8.5</v>
      </c>
      <c r="M12" s="6" t="inlineStr">
        <is>
          <t>6h</t>
        </is>
      </c>
      <c r="N12" s="6" t="n">
        <v>22.8</v>
      </c>
      <c r="O12" s="6" t="n">
        <v>38.3</v>
      </c>
      <c r="P12" s="6" t="n">
        <v>50</v>
      </c>
      <c r="Q12" s="6" t="n">
        <v>66.8</v>
      </c>
      <c r="R12" s="6" t="n">
        <v>80.7</v>
      </c>
      <c r="S12" s="6" t="n">
        <v>96</v>
      </c>
      <c r="T12" s="6" t="n">
        <v>112.8</v>
      </c>
      <c r="U12" s="6" t="n">
        <v>137.7</v>
      </c>
      <c r="V12" s="6" t="n">
        <v>158.8</v>
      </c>
      <c r="W12" s="6" t="n">
        <v>182.1</v>
      </c>
      <c r="X12" s="6" t="n">
        <v>216.5</v>
      </c>
      <c r="Y12" s="6" t="n">
        <v>245.7</v>
      </c>
    </row>
    <row r="13">
      <c r="A13" s="6" t="n">
        <v>2018</v>
      </c>
      <c r="B13" s="7" t="n">
        <v>5.2</v>
      </c>
      <c r="C13" s="7" t="n">
        <v>5.2</v>
      </c>
      <c r="D13" s="7" t="n">
        <v>5.2</v>
      </c>
      <c r="E13" s="7" t="n">
        <v>5.2</v>
      </c>
      <c r="F13" s="7" t="n">
        <v>5.2</v>
      </c>
      <c r="G13" s="7" t="n">
        <v>5.3</v>
      </c>
      <c r="H13" s="7" t="n">
        <v>5.3</v>
      </c>
      <c r="I13" s="7" t="n">
        <v>5.5</v>
      </c>
      <c r="J13" s="7" t="n">
        <v>5.8</v>
      </c>
      <c r="K13" s="7" t="n">
        <v>5.8</v>
      </c>
      <c r="M13" s="6" t="inlineStr">
        <is>
          <t>12h</t>
        </is>
      </c>
      <c r="N13" s="6" t="n">
        <v>25.6</v>
      </c>
      <c r="O13" s="6" t="n">
        <v>44.4</v>
      </c>
      <c r="P13" s="6" t="n">
        <v>59.3</v>
      </c>
      <c r="Q13" s="6" t="n">
        <v>81.59999999999999</v>
      </c>
      <c r="R13" s="6" t="n">
        <v>101</v>
      </c>
      <c r="S13" s="6" t="n">
        <v>123.2</v>
      </c>
      <c r="T13" s="6" t="n">
        <v>148.5</v>
      </c>
      <c r="U13" s="6" t="n">
        <v>187.6</v>
      </c>
      <c r="V13" s="6" t="n">
        <v>222.2</v>
      </c>
      <c r="W13" s="6" t="n">
        <v>261.8</v>
      </c>
      <c r="X13" s="6" t="n">
        <v>323.1</v>
      </c>
      <c r="Y13" s="6" t="n">
        <v>377.5</v>
      </c>
    </row>
    <row r="14">
      <c r="A14" s="6" t="n">
        <v>2019</v>
      </c>
      <c r="B14" s="7" t="n">
        <v>5.4</v>
      </c>
      <c r="C14" s="7" t="n">
        <v>8.199999999999999</v>
      </c>
      <c r="D14" s="7" t="n">
        <v>11</v>
      </c>
      <c r="E14" s="7" t="n">
        <v>17.6</v>
      </c>
      <c r="F14" s="7" t="n">
        <v>26.9</v>
      </c>
      <c r="G14" s="7" t="n">
        <v>32.6</v>
      </c>
      <c r="H14" s="7" t="n">
        <v>34</v>
      </c>
      <c r="I14" s="7" t="n">
        <v>34.1</v>
      </c>
      <c r="J14" s="7" t="n">
        <v>34.2</v>
      </c>
      <c r="K14" s="7" t="n">
        <v>47.4</v>
      </c>
      <c r="M14" s="6" t="inlineStr">
        <is>
          <t>24h</t>
        </is>
      </c>
      <c r="N14" s="6" t="n">
        <v>29.5</v>
      </c>
      <c r="O14" s="6" t="n">
        <v>51</v>
      </c>
      <c r="P14" s="6" t="n">
        <v>68.3</v>
      </c>
      <c r="Q14" s="6" t="n">
        <v>94.2</v>
      </c>
      <c r="R14" s="6" t="n">
        <v>117</v>
      </c>
      <c r="S14" s="6" t="n">
        <v>143</v>
      </c>
      <c r="T14" s="6" t="n">
        <v>172.9</v>
      </c>
      <c r="U14" s="6" t="n">
        <v>219.5</v>
      </c>
      <c r="V14" s="6" t="n">
        <v>260.9</v>
      </c>
      <c r="W14" s="6" t="n">
        <v>308.6</v>
      </c>
      <c r="X14" s="6" t="n">
        <v>383</v>
      </c>
      <c r="Y14" s="6" t="n">
        <v>449.2</v>
      </c>
    </row>
    <row r="16">
      <c r="M16" s="3" t="inlineStr">
        <is>
          <t>IDF - intensity (mm/hr) [x=duration(min)]</t>
        </is>
      </c>
    </row>
    <row r="17">
      <c r="M17" t="inlineStr">
        <is>
          <t>Duration(min)</t>
        </is>
      </c>
      <c r="N17" t="inlineStr">
        <is>
          <t>2 yr</t>
        </is>
      </c>
      <c r="O17" t="inlineStr">
        <is>
          <t>5 yr</t>
        </is>
      </c>
      <c r="P17" t="inlineStr">
        <is>
          <t>10 yr</t>
        </is>
      </c>
      <c r="Q17" t="inlineStr">
        <is>
          <t>25 yr</t>
        </is>
      </c>
      <c r="R17" t="inlineStr">
        <is>
          <t>50 yr</t>
        </is>
      </c>
      <c r="S17" t="inlineStr">
        <is>
          <t>100 yr</t>
        </is>
      </c>
      <c r="T17" t="inlineStr">
        <is>
          <t>200 yr</t>
        </is>
      </c>
      <c r="U17" t="inlineStr">
        <is>
          <t>500 yr</t>
        </is>
      </c>
      <c r="V17" t="inlineStr">
        <is>
          <t>1000 yr</t>
        </is>
      </c>
      <c r="W17" t="inlineStr">
        <is>
          <t>2000 yr</t>
        </is>
      </c>
      <c r="X17" t="inlineStr">
        <is>
          <t>5000 yr</t>
        </is>
      </c>
      <c r="Y17" t="inlineStr">
        <is>
          <t>10000 yr</t>
        </is>
      </c>
    </row>
    <row r="18">
      <c r="M18" t="n">
        <v>5</v>
      </c>
      <c r="N18" t="n">
        <v>55.8</v>
      </c>
      <c r="O18" t="n">
        <v>92.8</v>
      </c>
      <c r="P18" t="n">
        <v>122.2</v>
      </c>
      <c r="Q18" t="n">
        <v>165.9</v>
      </c>
      <c r="R18" t="n">
        <v>204</v>
      </c>
      <c r="S18" t="n">
        <v>247.2</v>
      </c>
      <c r="T18" t="n">
        <v>296.5</v>
      </c>
      <c r="U18" t="n">
        <v>372.6</v>
      </c>
      <c r="V18" t="n">
        <v>439.7</v>
      </c>
      <c r="W18" t="n">
        <v>516.5</v>
      </c>
      <c r="X18" t="n">
        <v>635.1</v>
      </c>
      <c r="Y18" t="n">
        <v>739.8</v>
      </c>
    </row>
    <row r="19">
      <c r="M19" t="n">
        <v>10</v>
      </c>
      <c r="N19" t="n">
        <v>45.6</v>
      </c>
      <c r="O19" t="n">
        <v>76.5</v>
      </c>
      <c r="P19" t="n">
        <v>100.6</v>
      </c>
      <c r="Q19" t="n">
        <v>135.8</v>
      </c>
      <c r="R19" t="n">
        <v>165.9</v>
      </c>
      <c r="S19" t="n">
        <v>199.6</v>
      </c>
      <c r="T19" t="n">
        <v>237.6</v>
      </c>
      <c r="U19" t="n">
        <v>295.1</v>
      </c>
      <c r="V19" t="n">
        <v>345.1</v>
      </c>
      <c r="W19" t="n">
        <v>401.4</v>
      </c>
      <c r="X19" t="n">
        <v>487</v>
      </c>
      <c r="Y19" t="n">
        <v>561.4</v>
      </c>
    </row>
    <row r="20">
      <c r="M20" t="n">
        <v>15</v>
      </c>
      <c r="N20" t="n">
        <v>38.2</v>
      </c>
      <c r="O20" t="n">
        <v>64.2</v>
      </c>
      <c r="P20" t="n">
        <v>84.40000000000001</v>
      </c>
      <c r="Q20" t="n">
        <v>113.9</v>
      </c>
      <c r="R20" t="n">
        <v>139.1</v>
      </c>
      <c r="S20" t="n">
        <v>167.3</v>
      </c>
      <c r="T20" t="n">
        <v>198.9</v>
      </c>
      <c r="U20" t="n">
        <v>246.7</v>
      </c>
      <c r="V20" t="n">
        <v>288.2</v>
      </c>
      <c r="W20" t="n">
        <v>334.8</v>
      </c>
      <c r="X20" t="n">
        <v>405.5</v>
      </c>
      <c r="Y20" t="n">
        <v>466.7</v>
      </c>
    </row>
    <row r="21">
      <c r="M21" t="n">
        <v>30</v>
      </c>
      <c r="N21" t="n">
        <v>26.3</v>
      </c>
      <c r="O21" t="n">
        <v>43.9</v>
      </c>
      <c r="P21" t="n">
        <v>56.8</v>
      </c>
      <c r="Q21" t="n">
        <v>75</v>
      </c>
      <c r="R21" t="n">
        <v>89.8</v>
      </c>
      <c r="S21" t="n">
        <v>105.7</v>
      </c>
      <c r="T21" t="n">
        <v>123</v>
      </c>
      <c r="U21" t="n">
        <v>148</v>
      </c>
      <c r="V21" t="n">
        <v>168.8</v>
      </c>
      <c r="W21" t="n">
        <v>191.3</v>
      </c>
      <c r="X21" t="n">
        <v>224.1</v>
      </c>
      <c r="Y21" t="n">
        <v>251.3</v>
      </c>
    </row>
    <row r="22">
      <c r="M22" t="n">
        <v>60</v>
      </c>
      <c r="N22" t="n">
        <v>15.6</v>
      </c>
      <c r="O22" t="n">
        <v>25.7</v>
      </c>
      <c r="P22" t="n">
        <v>32.9</v>
      </c>
      <c r="Q22" t="n">
        <v>42.9</v>
      </c>
      <c r="R22" t="n">
        <v>50.9</v>
      </c>
      <c r="S22" t="n">
        <v>59.3</v>
      </c>
      <c r="T22" t="n">
        <v>68.3</v>
      </c>
      <c r="U22" t="n">
        <v>81.09999999999999</v>
      </c>
      <c r="V22" t="n">
        <v>91.5</v>
      </c>
      <c r="W22" t="n">
        <v>102.6</v>
      </c>
      <c r="X22" t="n">
        <v>118.5</v>
      </c>
      <c r="Y22" t="n">
        <v>131.4</v>
      </c>
    </row>
    <row r="23">
      <c r="M23" t="n">
        <v>120</v>
      </c>
      <c r="N23" t="n">
        <v>9.4</v>
      </c>
      <c r="O23" t="n">
        <v>15.3</v>
      </c>
      <c r="P23" t="n">
        <v>19.6</v>
      </c>
      <c r="Q23" t="n">
        <v>25.5</v>
      </c>
      <c r="R23" t="n">
        <v>30.2</v>
      </c>
      <c r="S23" t="n">
        <v>35.2</v>
      </c>
      <c r="T23" t="n">
        <v>40.4</v>
      </c>
      <c r="U23" t="n">
        <v>47.9</v>
      </c>
      <c r="V23" t="n">
        <v>53.9</v>
      </c>
      <c r="W23" t="n">
        <v>60.4</v>
      </c>
      <c r="X23" t="n">
        <v>69.5</v>
      </c>
      <c r="Y23" t="n">
        <v>77</v>
      </c>
    </row>
    <row r="24">
      <c r="M24" t="n">
        <v>180</v>
      </c>
      <c r="N24" t="n">
        <v>6.8</v>
      </c>
      <c r="O24" t="n">
        <v>11.1</v>
      </c>
      <c r="P24" t="n">
        <v>14.3</v>
      </c>
      <c r="Q24" t="n">
        <v>18.8</v>
      </c>
      <c r="R24" t="n">
        <v>22.3</v>
      </c>
      <c r="S24" t="n">
        <v>26.1</v>
      </c>
      <c r="T24" t="n">
        <v>30.2</v>
      </c>
      <c r="U24" t="n">
        <v>36.1</v>
      </c>
      <c r="V24" t="n">
        <v>40.9</v>
      </c>
      <c r="W24" t="n">
        <v>46.1</v>
      </c>
      <c r="X24" t="n">
        <v>53.5</v>
      </c>
      <c r="Y24" t="n">
        <v>59.6</v>
      </c>
    </row>
    <row r="25">
      <c r="M25" t="n">
        <v>360</v>
      </c>
      <c r="N25" t="n">
        <v>3.8</v>
      </c>
      <c r="O25" t="n">
        <v>6.4</v>
      </c>
      <c r="P25" t="n">
        <v>8.300000000000001</v>
      </c>
      <c r="Q25" t="n">
        <v>11.1</v>
      </c>
      <c r="R25" t="n">
        <v>13.5</v>
      </c>
      <c r="S25" t="n">
        <v>16</v>
      </c>
      <c r="T25" t="n">
        <v>18.8</v>
      </c>
      <c r="U25" t="n">
        <v>23</v>
      </c>
      <c r="V25" t="n">
        <v>26.5</v>
      </c>
      <c r="W25" t="n">
        <v>30.3</v>
      </c>
      <c r="X25" t="n">
        <v>36.1</v>
      </c>
      <c r="Y25" t="n">
        <v>41</v>
      </c>
    </row>
    <row r="26">
      <c r="M26" t="n">
        <v>720</v>
      </c>
      <c r="N26" t="n">
        <v>2.1</v>
      </c>
      <c r="O26" t="n">
        <v>3.7</v>
      </c>
      <c r="P26" t="n">
        <v>4.9</v>
      </c>
      <c r="Q26" t="n">
        <v>6.8</v>
      </c>
      <c r="R26" t="n">
        <v>8.4</v>
      </c>
      <c r="S26" t="n">
        <v>10.3</v>
      </c>
      <c r="T26" t="n">
        <v>12.4</v>
      </c>
      <c r="U26" t="n">
        <v>15.6</v>
      </c>
      <c r="V26" t="n">
        <v>18.5</v>
      </c>
      <c r="W26" t="n">
        <v>21.8</v>
      </c>
      <c r="X26" t="n">
        <v>26.9</v>
      </c>
      <c r="Y26" t="n">
        <v>31.5</v>
      </c>
    </row>
    <row r="27">
      <c r="M27" t="n">
        <v>1440</v>
      </c>
      <c r="N27" t="n">
        <v>1.2</v>
      </c>
      <c r="O27" t="n">
        <v>2.1</v>
      </c>
      <c r="P27" t="n">
        <v>2.8</v>
      </c>
      <c r="Q27" t="n">
        <v>3.9</v>
      </c>
      <c r="R27" t="n">
        <v>4.9</v>
      </c>
      <c r="S27" t="n">
        <v>6</v>
      </c>
      <c r="T27" t="n">
        <v>7.2</v>
      </c>
      <c r="U27" t="n">
        <v>9.1</v>
      </c>
      <c r="V27" t="n">
        <v>10.9</v>
      </c>
      <c r="W27" t="n">
        <v>12.9</v>
      </c>
      <c r="X27" t="n">
        <v>16</v>
      </c>
      <c r="Y27" t="n">
        <v>18.7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52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</cols>
  <sheetData>
    <row r="1">
      <c r="A1" s="1" t="inlineStr">
        <is>
          <t>Gauge 27  |  FL385022AF  |  JABAL AT TAYYIN 2</t>
        </is>
      </c>
    </row>
    <row r="3">
      <c r="A3" s="2" t="inlineStr">
        <is>
          <t>AMS BEFORE gap filling (observed only, mm)</t>
        </is>
      </c>
      <c r="M3" s="3" t="inlineStr">
        <is>
          <t>IDF - design rainfall DEPTH (mm)</t>
        </is>
      </c>
    </row>
    <row r="4">
      <c r="A4" s="4" t="inlineStr">
        <is>
          <t>Water year</t>
        </is>
      </c>
      <c r="B4" s="5" t="inlineStr">
        <is>
          <t>5min</t>
        </is>
      </c>
      <c r="C4" s="5" t="inlineStr">
        <is>
          <t>10min</t>
        </is>
      </c>
      <c r="D4" s="5" t="inlineStr">
        <is>
          <t>15min</t>
        </is>
      </c>
      <c r="E4" s="5" t="inlineStr">
        <is>
          <t>30min</t>
        </is>
      </c>
      <c r="F4" s="5" t="inlineStr">
        <is>
          <t>1h</t>
        </is>
      </c>
      <c r="G4" s="5" t="inlineStr">
        <is>
          <t>2h</t>
        </is>
      </c>
      <c r="H4" s="5" t="inlineStr">
        <is>
          <t>3h</t>
        </is>
      </c>
      <c r="I4" s="5" t="inlineStr">
        <is>
          <t>6h</t>
        </is>
      </c>
      <c r="J4" s="5" t="inlineStr">
        <is>
          <t>12h</t>
        </is>
      </c>
      <c r="K4" s="5" t="inlineStr">
        <is>
          <t>24h</t>
        </is>
      </c>
      <c r="M4" s="4" t="inlineStr">
        <is>
          <t>Duration \ RP</t>
        </is>
      </c>
      <c r="N4" s="4" t="n">
        <v>2</v>
      </c>
      <c r="O4" s="4" t="n">
        <v>5</v>
      </c>
      <c r="P4" s="4" t="n">
        <v>10</v>
      </c>
      <c r="Q4" s="4" t="n">
        <v>25</v>
      </c>
      <c r="R4" s="4" t="n">
        <v>50</v>
      </c>
      <c r="S4" s="4" t="n">
        <v>100</v>
      </c>
      <c r="T4" s="4" t="n">
        <v>200</v>
      </c>
      <c r="U4" s="4" t="n">
        <v>500</v>
      </c>
      <c r="V4" s="4" t="n">
        <v>1000</v>
      </c>
      <c r="W4" s="4" t="n">
        <v>2000</v>
      </c>
      <c r="X4" s="4" t="n">
        <v>5000</v>
      </c>
      <c r="Y4" s="4" t="n">
        <v>10000</v>
      </c>
    </row>
    <row r="5">
      <c r="A5" s="6" t="n">
        <v>1988</v>
      </c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>
        <v>41</v>
      </c>
      <c r="M5" s="6" t="inlineStr">
        <is>
          <t>5min</t>
        </is>
      </c>
      <c r="N5" s="6" t="n">
        <v>4.6</v>
      </c>
      <c r="O5" s="6" t="n">
        <v>7.4</v>
      </c>
      <c r="P5" s="6" t="n">
        <v>9.4</v>
      </c>
      <c r="Q5" s="6" t="n">
        <v>12.3</v>
      </c>
      <c r="R5" s="6" t="n">
        <v>14.6</v>
      </c>
      <c r="S5" s="6" t="n">
        <v>17.2</v>
      </c>
      <c r="T5" s="6" t="n">
        <v>19.9</v>
      </c>
      <c r="U5" s="6" t="n">
        <v>23.9</v>
      </c>
      <c r="V5" s="6" t="n">
        <v>27.2</v>
      </c>
      <c r="W5" s="6" t="n">
        <v>30.8</v>
      </c>
      <c r="X5" s="6" t="n">
        <v>36</v>
      </c>
      <c r="Y5" s="6" t="n">
        <v>40.4</v>
      </c>
    </row>
    <row r="6">
      <c r="A6" s="6" t="n">
        <v>1989</v>
      </c>
      <c r="B6" s="7" t="n"/>
      <c r="C6" s="7" t="n"/>
      <c r="D6" s="7" t="n"/>
      <c r="E6" s="7" t="n"/>
      <c r="F6" s="7" t="n"/>
      <c r="G6" s="7" t="n"/>
      <c r="H6" s="7" t="n"/>
      <c r="I6" s="7" t="n"/>
      <c r="J6" s="7" t="n"/>
      <c r="K6" s="7" t="n">
        <v>14.2</v>
      </c>
      <c r="M6" s="6" t="inlineStr">
        <is>
          <t>10min</t>
        </is>
      </c>
      <c r="N6" s="6" t="n">
        <v>7.4</v>
      </c>
      <c r="O6" s="6" t="n">
        <v>12.2</v>
      </c>
      <c r="P6" s="6" t="n">
        <v>15.8</v>
      </c>
      <c r="Q6" s="6" t="n">
        <v>20.9</v>
      </c>
      <c r="R6" s="6" t="n">
        <v>25.2</v>
      </c>
      <c r="S6" s="6" t="n">
        <v>29.9</v>
      </c>
      <c r="T6" s="6" t="n">
        <v>35</v>
      </c>
      <c r="U6" s="6" t="n">
        <v>42.7</v>
      </c>
      <c r="V6" s="6" t="n">
        <v>49.2</v>
      </c>
      <c r="W6" s="6" t="n">
        <v>56.4</v>
      </c>
      <c r="X6" s="6" t="n">
        <v>67</v>
      </c>
      <c r="Y6" s="6" t="n">
        <v>76.09999999999999</v>
      </c>
    </row>
    <row r="7">
      <c r="A7" s="6" t="n">
        <v>1990</v>
      </c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>
        <v>45.6</v>
      </c>
      <c r="M7" s="6" t="inlineStr">
        <is>
          <t>15min</t>
        </is>
      </c>
      <c r="N7" s="6" t="n">
        <v>9.300000000000001</v>
      </c>
      <c r="O7" s="6" t="n">
        <v>15.4</v>
      </c>
      <c r="P7" s="6" t="n">
        <v>20.1</v>
      </c>
      <c r="Q7" s="6" t="n">
        <v>26.9</v>
      </c>
      <c r="R7" s="6" t="n">
        <v>32.6</v>
      </c>
      <c r="S7" s="6" t="n">
        <v>38.9</v>
      </c>
      <c r="T7" s="6" t="n">
        <v>46</v>
      </c>
      <c r="U7" s="6" t="n">
        <v>56.5</v>
      </c>
      <c r="V7" s="6" t="n">
        <v>65.59999999999999</v>
      </c>
      <c r="W7" s="6" t="n">
        <v>75.7</v>
      </c>
      <c r="X7" s="6" t="n">
        <v>90.8</v>
      </c>
      <c r="Y7" s="6" t="n">
        <v>103.8</v>
      </c>
    </row>
    <row r="8">
      <c r="A8" s="6" t="n">
        <v>1991</v>
      </c>
      <c r="B8" s="7" t="n"/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M8" s="6" t="inlineStr">
        <is>
          <t>30min</t>
        </is>
      </c>
      <c r="N8" s="6" t="n">
        <v>13</v>
      </c>
      <c r="O8" s="6" t="n">
        <v>21.6</v>
      </c>
      <c r="P8" s="6" t="n">
        <v>27.9</v>
      </c>
      <c r="Q8" s="6" t="n">
        <v>36.7</v>
      </c>
      <c r="R8" s="6" t="n">
        <v>43.8</v>
      </c>
      <c r="S8" s="6" t="n">
        <v>51.4</v>
      </c>
      <c r="T8" s="6" t="n">
        <v>59.7</v>
      </c>
      <c r="U8" s="6" t="n">
        <v>71.59999999999999</v>
      </c>
      <c r="V8" s="6" t="n">
        <v>81.40000000000001</v>
      </c>
      <c r="W8" s="6" t="n">
        <v>92</v>
      </c>
      <c r="X8" s="6" t="n">
        <v>107.4</v>
      </c>
      <c r="Y8" s="6" t="n">
        <v>120.1</v>
      </c>
    </row>
    <row r="9">
      <c r="A9" s="6" t="n">
        <v>1992</v>
      </c>
      <c r="B9" s="7" t="n"/>
      <c r="C9" s="7" t="n"/>
      <c r="D9" s="7" t="n"/>
      <c r="E9" s="7" t="n"/>
      <c r="F9" s="7" t="n"/>
      <c r="G9" s="7" t="n"/>
      <c r="H9" s="7" t="n"/>
      <c r="I9" s="7" t="n"/>
      <c r="J9" s="7" t="n">
        <v>0.6</v>
      </c>
      <c r="K9" s="7" t="n">
        <v>0.8</v>
      </c>
      <c r="M9" s="6" t="inlineStr">
        <is>
          <t>1h</t>
        </is>
      </c>
      <c r="N9" s="6" t="n">
        <v>16.3</v>
      </c>
      <c r="O9" s="6" t="n">
        <v>27</v>
      </c>
      <c r="P9" s="6" t="n">
        <v>34.9</v>
      </c>
      <c r="Q9" s="6" t="n">
        <v>46</v>
      </c>
      <c r="R9" s="6" t="n">
        <v>55</v>
      </c>
      <c r="S9" s="6" t="n">
        <v>64.8</v>
      </c>
      <c r="T9" s="6" t="n">
        <v>75.40000000000001</v>
      </c>
      <c r="U9" s="6" t="n">
        <v>90.8</v>
      </c>
      <c r="V9" s="6" t="n">
        <v>103.6</v>
      </c>
      <c r="W9" s="6" t="n">
        <v>117.4</v>
      </c>
      <c r="X9" s="6" t="n">
        <v>137.6</v>
      </c>
      <c r="Y9" s="6" t="n">
        <v>154.4</v>
      </c>
    </row>
    <row r="10">
      <c r="A10" s="6" t="n">
        <v>1993</v>
      </c>
      <c r="B10" s="7" t="n"/>
      <c r="C10" s="7" t="n"/>
      <c r="D10" s="7" t="n"/>
      <c r="E10" s="7" t="n"/>
      <c r="F10" s="7" t="n">
        <v>0.6</v>
      </c>
      <c r="G10" s="7" t="n">
        <v>0.6</v>
      </c>
      <c r="H10" s="7" t="n">
        <v>0.7</v>
      </c>
      <c r="I10" s="7" t="n">
        <v>0.8</v>
      </c>
      <c r="J10" s="7" t="n">
        <v>1</v>
      </c>
      <c r="K10" s="7" t="n">
        <v>1.5</v>
      </c>
      <c r="M10" s="6" t="inlineStr">
        <is>
          <t>2h</t>
        </is>
      </c>
      <c r="N10" s="6" t="n">
        <v>19.2</v>
      </c>
      <c r="O10" s="6" t="n">
        <v>32.5</v>
      </c>
      <c r="P10" s="6" t="n">
        <v>42.7</v>
      </c>
      <c r="Q10" s="6" t="n">
        <v>57.3</v>
      </c>
      <c r="R10" s="6" t="n">
        <v>69.59999999999999</v>
      </c>
      <c r="S10" s="6" t="n">
        <v>83.2</v>
      </c>
      <c r="T10" s="6" t="n">
        <v>98.2</v>
      </c>
      <c r="U10" s="6" t="n">
        <v>120.6</v>
      </c>
      <c r="V10" s="6" t="n">
        <v>139.7</v>
      </c>
      <c r="W10" s="6" t="n">
        <v>161</v>
      </c>
      <c r="X10" s="6" t="n">
        <v>192.7</v>
      </c>
      <c r="Y10" s="6" t="n">
        <v>219.8</v>
      </c>
    </row>
    <row r="11">
      <c r="A11" s="6" t="n">
        <v>1994</v>
      </c>
      <c r="B11" s="7" t="n"/>
      <c r="C11" s="7" t="n"/>
      <c r="D11" s="7" t="n"/>
      <c r="E11" s="7" t="n"/>
      <c r="F11" s="7" t="n">
        <v>9.4</v>
      </c>
      <c r="G11" s="7" t="n">
        <v>10.8</v>
      </c>
      <c r="H11" s="7" t="n">
        <v>10.9</v>
      </c>
      <c r="I11" s="7" t="n">
        <v>16.4</v>
      </c>
      <c r="J11" s="7" t="n">
        <v>31</v>
      </c>
      <c r="K11" s="7" t="n">
        <v>34.7</v>
      </c>
      <c r="M11" s="6" t="inlineStr">
        <is>
          <t>3h</t>
        </is>
      </c>
      <c r="N11" s="6" t="n">
        <v>20.5</v>
      </c>
      <c r="O11" s="6" t="n">
        <v>35.6</v>
      </c>
      <c r="P11" s="6" t="n">
        <v>47.7</v>
      </c>
      <c r="Q11" s="6" t="n">
        <v>65.90000000000001</v>
      </c>
      <c r="R11" s="6" t="n">
        <v>81.8</v>
      </c>
      <c r="S11" s="6" t="n">
        <v>100</v>
      </c>
      <c r="T11" s="6" t="n">
        <v>121</v>
      </c>
      <c r="U11" s="6" t="n">
        <v>153.6</v>
      </c>
      <c r="V11" s="6" t="n">
        <v>182.6</v>
      </c>
      <c r="W11" s="6" t="n">
        <v>215.9</v>
      </c>
      <c r="X11" s="6" t="n">
        <v>267.9</v>
      </c>
      <c r="Y11" s="6" t="n">
        <v>314.3</v>
      </c>
    </row>
    <row r="12">
      <c r="A12" s="6" t="n">
        <v>1995</v>
      </c>
      <c r="B12" s="7" t="n"/>
      <c r="C12" s="7" t="n"/>
      <c r="D12" s="7" t="n"/>
      <c r="E12" s="7" t="n"/>
      <c r="F12" s="7" t="n">
        <v>39.6</v>
      </c>
      <c r="G12" s="7" t="n">
        <v>53.2</v>
      </c>
      <c r="H12" s="7" t="n">
        <v>58.4</v>
      </c>
      <c r="I12" s="7" t="n">
        <v>67.8</v>
      </c>
      <c r="J12" s="7" t="n">
        <v>97</v>
      </c>
      <c r="K12" s="7" t="n">
        <v>109.2</v>
      </c>
      <c r="M12" s="6" t="inlineStr">
        <is>
          <t>6h</t>
        </is>
      </c>
      <c r="N12" s="6" t="n">
        <v>23.3</v>
      </c>
      <c r="O12" s="6" t="n">
        <v>41.4</v>
      </c>
      <c r="P12" s="6" t="n">
        <v>56.5</v>
      </c>
      <c r="Q12" s="6" t="n">
        <v>80</v>
      </c>
      <c r="R12" s="6" t="n">
        <v>101.2</v>
      </c>
      <c r="S12" s="6" t="n">
        <v>126.3</v>
      </c>
      <c r="T12" s="6" t="n">
        <v>155.9</v>
      </c>
      <c r="U12" s="6" t="n">
        <v>203.6</v>
      </c>
      <c r="V12" s="6" t="n">
        <v>247.3</v>
      </c>
      <c r="W12" s="6" t="n">
        <v>299.2</v>
      </c>
      <c r="X12" s="6" t="n">
        <v>382.7</v>
      </c>
      <c r="Y12" s="6" t="n">
        <v>459.5</v>
      </c>
    </row>
    <row r="13">
      <c r="A13" s="6" t="n">
        <v>1996</v>
      </c>
      <c r="B13" s="7" t="n"/>
      <c r="C13" s="7" t="n"/>
      <c r="D13" s="7" t="n"/>
      <c r="E13" s="7" t="n"/>
      <c r="F13" s="7" t="n">
        <v>18</v>
      </c>
      <c r="G13" s="7" t="n">
        <v>18.1</v>
      </c>
      <c r="H13" s="7" t="n">
        <v>18.1</v>
      </c>
      <c r="I13" s="7" t="n">
        <v>19.1</v>
      </c>
      <c r="J13" s="7" t="n">
        <v>28.3</v>
      </c>
      <c r="K13" s="7" t="n">
        <v>56.6</v>
      </c>
      <c r="M13" s="6" t="inlineStr">
        <is>
          <t>12h</t>
        </is>
      </c>
      <c r="N13" s="6" t="n">
        <v>26.3</v>
      </c>
      <c r="O13" s="6" t="n">
        <v>47.8</v>
      </c>
      <c r="P13" s="6" t="n">
        <v>66.09999999999999</v>
      </c>
      <c r="Q13" s="6" t="n">
        <v>95.09999999999999</v>
      </c>
      <c r="R13" s="6" t="n">
        <v>121.9</v>
      </c>
      <c r="S13" s="6" t="n">
        <v>153.9</v>
      </c>
      <c r="T13" s="6" t="n">
        <v>192.3</v>
      </c>
      <c r="U13" s="6" t="n">
        <v>255.3</v>
      </c>
      <c r="V13" s="6" t="n">
        <v>314.2</v>
      </c>
      <c r="W13" s="6" t="n">
        <v>385.1</v>
      </c>
      <c r="X13" s="6" t="n">
        <v>501.4</v>
      </c>
      <c r="Y13" s="6" t="n">
        <v>610.2</v>
      </c>
    </row>
    <row r="14">
      <c r="A14" s="6" t="n">
        <v>1997</v>
      </c>
      <c r="B14" s="7" t="n"/>
      <c r="C14" s="7" t="n"/>
      <c r="D14" s="7" t="n"/>
      <c r="E14" s="7" t="n"/>
      <c r="F14" s="7" t="n"/>
      <c r="G14" s="7" t="n"/>
      <c r="H14" s="7" t="n"/>
      <c r="I14" s="7" t="n"/>
      <c r="J14" s="7" t="n"/>
      <c r="K14" s="7" t="n">
        <v>66</v>
      </c>
      <c r="M14" s="6" t="inlineStr">
        <is>
          <t>24h</t>
        </is>
      </c>
      <c r="N14" s="6" t="n">
        <v>31.2</v>
      </c>
      <c r="O14" s="6" t="n">
        <v>57.5</v>
      </c>
      <c r="P14" s="6" t="n">
        <v>79.7</v>
      </c>
      <c r="Q14" s="6" t="n">
        <v>114.7</v>
      </c>
      <c r="R14" s="6" t="n">
        <v>147</v>
      </c>
      <c r="S14" s="6" t="n">
        <v>185.5</v>
      </c>
      <c r="T14" s="6" t="n">
        <v>231.5</v>
      </c>
      <c r="U14" s="6" t="n">
        <v>306.7</v>
      </c>
      <c r="V14" s="6" t="n">
        <v>376.7</v>
      </c>
      <c r="W14" s="6" t="n">
        <v>460.8</v>
      </c>
      <c r="X14" s="6" t="n">
        <v>598</v>
      </c>
      <c r="Y14" s="6" t="n">
        <v>726.1</v>
      </c>
    </row>
    <row r="15">
      <c r="A15" s="6" t="n">
        <v>1998</v>
      </c>
      <c r="B15" s="7" t="n"/>
      <c r="C15" s="7" t="n"/>
      <c r="D15" s="7" t="n"/>
      <c r="E15" s="7" t="n"/>
      <c r="F15" s="7" t="n">
        <v>2.8</v>
      </c>
      <c r="G15" s="7" t="n">
        <v>4.8</v>
      </c>
      <c r="H15" s="7" t="n">
        <v>6.8</v>
      </c>
      <c r="I15" s="7" t="n">
        <v>11.4</v>
      </c>
      <c r="J15" s="7" t="n">
        <v>16.7</v>
      </c>
      <c r="K15" s="7" t="n">
        <v>32.6</v>
      </c>
    </row>
    <row r="16">
      <c r="A16" s="6" t="n">
        <v>1999</v>
      </c>
      <c r="B16" s="7" t="n"/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  <c r="M16" s="3" t="inlineStr">
        <is>
          <t>IDF - intensity (mm/hr) [x=duration(min)]</t>
        </is>
      </c>
    </row>
    <row r="17">
      <c r="A17" s="6" t="n">
        <v>2001</v>
      </c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M17" t="inlineStr">
        <is>
          <t>Duration(min)</t>
        </is>
      </c>
      <c r="N17" t="inlineStr">
        <is>
          <t>2 yr</t>
        </is>
      </c>
      <c r="O17" t="inlineStr">
        <is>
          <t>5 yr</t>
        </is>
      </c>
      <c r="P17" t="inlineStr">
        <is>
          <t>10 yr</t>
        </is>
      </c>
      <c r="Q17" t="inlineStr">
        <is>
          <t>25 yr</t>
        </is>
      </c>
      <c r="R17" t="inlineStr">
        <is>
          <t>50 yr</t>
        </is>
      </c>
      <c r="S17" t="inlineStr">
        <is>
          <t>100 yr</t>
        </is>
      </c>
      <c r="T17" t="inlineStr">
        <is>
          <t>200 yr</t>
        </is>
      </c>
      <c r="U17" t="inlineStr">
        <is>
          <t>500 yr</t>
        </is>
      </c>
      <c r="V17" t="inlineStr">
        <is>
          <t>1000 yr</t>
        </is>
      </c>
      <c r="W17" t="inlineStr">
        <is>
          <t>2000 yr</t>
        </is>
      </c>
      <c r="X17" t="inlineStr">
        <is>
          <t>5000 yr</t>
        </is>
      </c>
      <c r="Y17" t="inlineStr">
        <is>
          <t>10000 yr</t>
        </is>
      </c>
    </row>
    <row r="18">
      <c r="A18" s="6" t="n">
        <v>2002</v>
      </c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  <c r="K18" s="7" t="n"/>
      <c r="M18" t="n">
        <v>5</v>
      </c>
      <c r="N18" t="n">
        <v>55.4</v>
      </c>
      <c r="O18" t="n">
        <v>88.59999999999999</v>
      </c>
      <c r="P18" t="n">
        <v>113.2</v>
      </c>
      <c r="Q18" t="n">
        <v>147.6</v>
      </c>
      <c r="R18" t="n">
        <v>175.8</v>
      </c>
      <c r="S18" t="n">
        <v>206.1</v>
      </c>
      <c r="T18" t="n">
        <v>239</v>
      </c>
      <c r="U18" t="n">
        <v>286.7</v>
      </c>
      <c r="V18" t="n">
        <v>326.4</v>
      </c>
      <c r="W18" t="n">
        <v>369.5</v>
      </c>
      <c r="X18" t="n">
        <v>432.1</v>
      </c>
      <c r="Y18" t="n">
        <v>484.2</v>
      </c>
    </row>
    <row r="19">
      <c r="A19" s="6" t="n">
        <v>2003</v>
      </c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M19" t="n">
        <v>10</v>
      </c>
      <c r="N19" t="n">
        <v>44.6</v>
      </c>
      <c r="O19" t="n">
        <v>73</v>
      </c>
      <c r="P19" t="n">
        <v>94.5</v>
      </c>
      <c r="Q19" t="n">
        <v>125.3</v>
      </c>
      <c r="R19" t="n">
        <v>150.9</v>
      </c>
      <c r="S19" t="n">
        <v>179.1</v>
      </c>
      <c r="T19" t="n">
        <v>210.2</v>
      </c>
      <c r="U19" t="n">
        <v>256.2</v>
      </c>
      <c r="V19" t="n">
        <v>295.2</v>
      </c>
      <c r="W19" t="n">
        <v>338.3</v>
      </c>
      <c r="X19" t="n">
        <v>402.2</v>
      </c>
      <c r="Y19" t="n">
        <v>456.5</v>
      </c>
    </row>
    <row r="20">
      <c r="A20" s="6" t="n">
        <v>2004</v>
      </c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M20" t="n">
        <v>15</v>
      </c>
      <c r="N20" t="n">
        <v>37.4</v>
      </c>
      <c r="O20" t="n">
        <v>61.8</v>
      </c>
      <c r="P20" t="n">
        <v>80.5</v>
      </c>
      <c r="Q20" t="n">
        <v>107.6</v>
      </c>
      <c r="R20" t="n">
        <v>130.5</v>
      </c>
      <c r="S20" t="n">
        <v>155.8</v>
      </c>
      <c r="T20" t="n">
        <v>183.9</v>
      </c>
      <c r="U20" t="n">
        <v>226.2</v>
      </c>
      <c r="V20" t="n">
        <v>262.3</v>
      </c>
      <c r="W20" t="n">
        <v>302.7</v>
      </c>
      <c r="X20" t="n">
        <v>363.2</v>
      </c>
      <c r="Y20" t="n">
        <v>415.2</v>
      </c>
    </row>
    <row r="21">
      <c r="A21" s="6" t="n">
        <v>2005</v>
      </c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M21" t="n">
        <v>30</v>
      </c>
      <c r="N21" t="n">
        <v>26.1</v>
      </c>
      <c r="O21" t="n">
        <v>43.2</v>
      </c>
      <c r="P21" t="n">
        <v>55.8</v>
      </c>
      <c r="Q21" t="n">
        <v>73.3</v>
      </c>
      <c r="R21" t="n">
        <v>87.59999999999999</v>
      </c>
      <c r="S21" t="n">
        <v>102.9</v>
      </c>
      <c r="T21" t="n">
        <v>119.3</v>
      </c>
      <c r="U21" t="n">
        <v>143.1</v>
      </c>
      <c r="V21" t="n">
        <v>162.8</v>
      </c>
      <c r="W21" t="n">
        <v>184.1</v>
      </c>
      <c r="X21" t="n">
        <v>214.8</v>
      </c>
      <c r="Y21" t="n">
        <v>240.3</v>
      </c>
    </row>
    <row r="22">
      <c r="A22" s="6" t="n">
        <v>2006</v>
      </c>
      <c r="B22" s="7" t="n">
        <v>1.1</v>
      </c>
      <c r="C22" s="7" t="n">
        <v>2.2</v>
      </c>
      <c r="D22" s="7" t="n">
        <v>2.5</v>
      </c>
      <c r="E22" s="7" t="n">
        <v>3.2</v>
      </c>
      <c r="F22" s="7" t="n">
        <v>4</v>
      </c>
      <c r="G22" s="7" t="n">
        <v>4.1</v>
      </c>
      <c r="H22" s="7" t="n">
        <v>4.1</v>
      </c>
      <c r="I22" s="7" t="n">
        <v>4.3</v>
      </c>
      <c r="J22" s="7" t="n">
        <v>4.6</v>
      </c>
      <c r="K22" s="7" t="n">
        <v>5.2</v>
      </c>
      <c r="M22" t="n">
        <v>60</v>
      </c>
      <c r="N22" t="n">
        <v>16.3</v>
      </c>
      <c r="O22" t="n">
        <v>27</v>
      </c>
      <c r="P22" t="n">
        <v>34.9</v>
      </c>
      <c r="Q22" t="n">
        <v>46</v>
      </c>
      <c r="R22" t="n">
        <v>55</v>
      </c>
      <c r="S22" t="n">
        <v>64.8</v>
      </c>
      <c r="T22" t="n">
        <v>75.40000000000001</v>
      </c>
      <c r="U22" t="n">
        <v>90.8</v>
      </c>
      <c r="V22" t="n">
        <v>103.6</v>
      </c>
      <c r="W22" t="n">
        <v>117.4</v>
      </c>
      <c r="X22" t="n">
        <v>137.6</v>
      </c>
      <c r="Y22" t="n">
        <v>154.4</v>
      </c>
    </row>
    <row r="23">
      <c r="A23" s="6" t="n">
        <v>2007</v>
      </c>
      <c r="B23" s="7" t="n">
        <v>13.2</v>
      </c>
      <c r="C23" s="7" t="n">
        <v>20.2</v>
      </c>
      <c r="D23" s="7" t="n">
        <v>30.8</v>
      </c>
      <c r="E23" s="7" t="n">
        <v>40.6</v>
      </c>
      <c r="F23" s="7" t="n">
        <v>47.2</v>
      </c>
      <c r="G23" s="7" t="n">
        <v>61.4</v>
      </c>
      <c r="H23" s="7" t="n">
        <v>91</v>
      </c>
      <c r="I23" s="7" t="n">
        <v>146.8</v>
      </c>
      <c r="J23" s="7" t="n">
        <v>223.4</v>
      </c>
      <c r="K23" s="7" t="n">
        <v>290</v>
      </c>
      <c r="M23" t="n">
        <v>120</v>
      </c>
      <c r="N23" t="n">
        <v>9.6</v>
      </c>
      <c r="O23" t="n">
        <v>16.3</v>
      </c>
      <c r="P23" t="n">
        <v>21.3</v>
      </c>
      <c r="Q23" t="n">
        <v>28.7</v>
      </c>
      <c r="R23" t="n">
        <v>34.8</v>
      </c>
      <c r="S23" t="n">
        <v>41.6</v>
      </c>
      <c r="T23" t="n">
        <v>49.1</v>
      </c>
      <c r="U23" t="n">
        <v>60.3</v>
      </c>
      <c r="V23" t="n">
        <v>69.90000000000001</v>
      </c>
      <c r="W23" t="n">
        <v>80.5</v>
      </c>
      <c r="X23" t="n">
        <v>96.40000000000001</v>
      </c>
      <c r="Y23" t="n">
        <v>109.9</v>
      </c>
    </row>
    <row r="24">
      <c r="A24" s="6" t="n">
        <v>2008</v>
      </c>
      <c r="B24" s="7" t="n">
        <v>3</v>
      </c>
      <c r="C24" s="7" t="n">
        <v>3</v>
      </c>
      <c r="D24" s="7" t="n">
        <v>3.1</v>
      </c>
      <c r="E24" s="7" t="n">
        <v>3.1</v>
      </c>
      <c r="F24" s="7" t="n">
        <v>3.3</v>
      </c>
      <c r="G24" s="7" t="n">
        <v>3.6</v>
      </c>
      <c r="H24" s="7" t="n">
        <v>3.9</v>
      </c>
      <c r="I24" s="7" t="n">
        <v>4.7</v>
      </c>
      <c r="J24" s="7" t="n">
        <v>5.1</v>
      </c>
      <c r="K24" s="7" t="n">
        <v>5.9</v>
      </c>
      <c r="M24" t="n">
        <v>180</v>
      </c>
      <c r="N24" t="n">
        <v>6.8</v>
      </c>
      <c r="O24" t="n">
        <v>11.9</v>
      </c>
      <c r="P24" t="n">
        <v>15.9</v>
      </c>
      <c r="Q24" t="n">
        <v>22</v>
      </c>
      <c r="R24" t="n">
        <v>27.3</v>
      </c>
      <c r="S24" t="n">
        <v>33.3</v>
      </c>
      <c r="T24" t="n">
        <v>40.3</v>
      </c>
      <c r="U24" t="n">
        <v>51.2</v>
      </c>
      <c r="V24" t="n">
        <v>60.9</v>
      </c>
      <c r="W24" t="n">
        <v>72</v>
      </c>
      <c r="X24" t="n">
        <v>89.3</v>
      </c>
      <c r="Y24" t="n">
        <v>104.8</v>
      </c>
    </row>
    <row r="25">
      <c r="A25" s="6" t="n">
        <v>2009</v>
      </c>
      <c r="B25" s="7" t="n">
        <v>1.6</v>
      </c>
      <c r="C25" s="7" t="n">
        <v>2.4</v>
      </c>
      <c r="D25" s="7" t="n">
        <v>3.6</v>
      </c>
      <c r="E25" s="7" t="n">
        <v>5.2</v>
      </c>
      <c r="F25" s="7" t="n">
        <v>6.4</v>
      </c>
      <c r="G25" s="7" t="n">
        <v>6.4</v>
      </c>
      <c r="H25" s="7" t="n">
        <v>6.4</v>
      </c>
      <c r="I25" s="7" t="n">
        <v>6.4</v>
      </c>
      <c r="J25" s="7" t="n">
        <v>6.4</v>
      </c>
      <c r="K25" s="7" t="n">
        <v>6.4</v>
      </c>
      <c r="M25" t="n">
        <v>360</v>
      </c>
      <c r="N25" t="n">
        <v>3.9</v>
      </c>
      <c r="O25" t="n">
        <v>6.9</v>
      </c>
      <c r="P25" t="n">
        <v>9.4</v>
      </c>
      <c r="Q25" t="n">
        <v>13.3</v>
      </c>
      <c r="R25" t="n">
        <v>16.9</v>
      </c>
      <c r="S25" t="n">
        <v>21.1</v>
      </c>
      <c r="T25" t="n">
        <v>26</v>
      </c>
      <c r="U25" t="n">
        <v>33.9</v>
      </c>
      <c r="V25" t="n">
        <v>41.2</v>
      </c>
      <c r="W25" t="n">
        <v>49.9</v>
      </c>
      <c r="X25" t="n">
        <v>63.8</v>
      </c>
      <c r="Y25" t="n">
        <v>76.59999999999999</v>
      </c>
    </row>
    <row r="26">
      <c r="A26" s="6" t="n">
        <v>2010</v>
      </c>
      <c r="B26" s="7" t="n">
        <v>3.6</v>
      </c>
      <c r="C26" s="7" t="n">
        <v>6.4</v>
      </c>
      <c r="D26" s="7" t="n">
        <v>8.800000000000001</v>
      </c>
      <c r="E26" s="7" t="n">
        <v>13.4</v>
      </c>
      <c r="F26" s="7" t="n">
        <v>22.8</v>
      </c>
      <c r="G26" s="7" t="n">
        <v>33.4</v>
      </c>
      <c r="H26" s="7" t="n">
        <v>45.8</v>
      </c>
      <c r="I26" s="7" t="n">
        <v>84.09999999999999</v>
      </c>
      <c r="J26" s="7" t="n">
        <v>116.1</v>
      </c>
      <c r="K26" s="7" t="n">
        <v>167</v>
      </c>
      <c r="M26" t="n">
        <v>720</v>
      </c>
      <c r="N26" t="n">
        <v>2.2</v>
      </c>
      <c r="O26" t="n">
        <v>4</v>
      </c>
      <c r="P26" t="n">
        <v>5.5</v>
      </c>
      <c r="Q26" t="n">
        <v>7.9</v>
      </c>
      <c r="R26" t="n">
        <v>10.2</v>
      </c>
      <c r="S26" t="n">
        <v>12.8</v>
      </c>
      <c r="T26" t="n">
        <v>16</v>
      </c>
      <c r="U26" t="n">
        <v>21.3</v>
      </c>
      <c r="V26" t="n">
        <v>26.2</v>
      </c>
      <c r="W26" t="n">
        <v>32.1</v>
      </c>
      <c r="X26" t="n">
        <v>41.8</v>
      </c>
      <c r="Y26" t="n">
        <v>50.9</v>
      </c>
    </row>
    <row r="27">
      <c r="M27" t="n">
        <v>1440</v>
      </c>
      <c r="N27" t="n">
        <v>1.3</v>
      </c>
      <c r="O27" t="n">
        <v>2.4</v>
      </c>
      <c r="P27" t="n">
        <v>3.3</v>
      </c>
      <c r="Q27" t="n">
        <v>4.8</v>
      </c>
      <c r="R27" t="n">
        <v>6.1</v>
      </c>
      <c r="S27" t="n">
        <v>7.7</v>
      </c>
      <c r="T27" t="n">
        <v>9.6</v>
      </c>
      <c r="U27" t="n">
        <v>12.8</v>
      </c>
      <c r="V27" t="n">
        <v>15.7</v>
      </c>
      <c r="W27" t="n">
        <v>19.2</v>
      </c>
      <c r="X27" t="n">
        <v>24.9</v>
      </c>
      <c r="Y27" t="n">
        <v>30.3</v>
      </c>
    </row>
    <row r="29">
      <c r="A29" s="2" t="inlineStr">
        <is>
          <t>AMS AFTER gap filling (mm)  -  yellow = added or changed by gap filling</t>
        </is>
      </c>
    </row>
    <row r="30">
      <c r="A30" s="4" t="inlineStr">
        <is>
          <t>Water year</t>
        </is>
      </c>
      <c r="B30" s="5" t="inlineStr">
        <is>
          <t>5min</t>
        </is>
      </c>
      <c r="C30" s="5" t="inlineStr">
        <is>
          <t>10min</t>
        </is>
      </c>
      <c r="D30" s="5" t="inlineStr">
        <is>
          <t>15min</t>
        </is>
      </c>
      <c r="E30" s="5" t="inlineStr">
        <is>
          <t>30min</t>
        </is>
      </c>
      <c r="F30" s="5" t="inlineStr">
        <is>
          <t>1h</t>
        </is>
      </c>
      <c r="G30" s="5" t="inlineStr">
        <is>
          <t>2h</t>
        </is>
      </c>
      <c r="H30" s="5" t="inlineStr">
        <is>
          <t>3h</t>
        </is>
      </c>
      <c r="I30" s="5" t="inlineStr">
        <is>
          <t>6h</t>
        </is>
      </c>
      <c r="J30" s="5" t="inlineStr">
        <is>
          <t>12h</t>
        </is>
      </c>
      <c r="K30" s="5" t="inlineStr">
        <is>
          <t>24h</t>
        </is>
      </c>
    </row>
    <row r="31">
      <c r="A31" s="6" t="n">
        <v>1988</v>
      </c>
      <c r="B31" s="7" t="n"/>
      <c r="C31" s="7" t="n"/>
      <c r="D31" s="7" t="n"/>
      <c r="E31" s="7" t="n"/>
      <c r="F31" s="7" t="n"/>
      <c r="G31" s="7" t="n"/>
      <c r="H31" s="7" t="n"/>
      <c r="I31" s="7" t="n"/>
      <c r="J31" s="7" t="n"/>
      <c r="K31" s="7" t="n">
        <v>41</v>
      </c>
    </row>
    <row r="32">
      <c r="A32" s="6" t="n">
        <v>1989</v>
      </c>
      <c r="B32" s="7" t="n"/>
      <c r="C32" s="7" t="n"/>
      <c r="D32" s="7" t="n"/>
      <c r="E32" s="7" t="n"/>
      <c r="F32" s="7" t="n"/>
      <c r="G32" s="7" t="n"/>
      <c r="H32" s="7" t="n"/>
      <c r="I32" s="7" t="n"/>
      <c r="J32" s="7" t="n"/>
      <c r="K32" s="7" t="n">
        <v>14.2</v>
      </c>
    </row>
    <row r="33">
      <c r="A33" s="6" t="n">
        <v>1990</v>
      </c>
      <c r="B33" s="7" t="n"/>
      <c r="C33" s="7" t="n"/>
      <c r="D33" s="7" t="n"/>
      <c r="E33" s="7" t="n"/>
      <c r="F33" s="7" t="n"/>
      <c r="G33" s="7" t="n"/>
      <c r="H33" s="7" t="n"/>
      <c r="I33" s="7" t="n"/>
      <c r="J33" s="7" t="n"/>
      <c r="K33" s="7" t="n">
        <v>45.6</v>
      </c>
    </row>
    <row r="34">
      <c r="A34" s="6" t="n">
        <v>1991</v>
      </c>
      <c r="B34" s="7" t="n"/>
      <c r="C34" s="7" t="n"/>
      <c r="D34" s="7" t="n"/>
      <c r="E34" s="7" t="n"/>
      <c r="F34" s="7" t="n"/>
      <c r="G34" s="7" t="n"/>
      <c r="H34" s="7" t="n"/>
      <c r="I34" s="7" t="n"/>
      <c r="J34" s="7" t="n"/>
      <c r="K34" s="8" t="n">
        <v>7.7</v>
      </c>
    </row>
    <row r="35">
      <c r="A35" s="6" t="n">
        <v>1992</v>
      </c>
      <c r="B35" s="7" t="n"/>
      <c r="C35" s="7" t="n"/>
      <c r="D35" s="7" t="n"/>
      <c r="E35" s="7" t="n"/>
      <c r="F35" s="7" t="n"/>
      <c r="G35" s="7" t="n"/>
      <c r="H35" s="8" t="n">
        <v>4.3</v>
      </c>
      <c r="I35" s="8" t="n">
        <v>8.6</v>
      </c>
      <c r="J35" s="8" t="n">
        <v>17.2</v>
      </c>
      <c r="K35" s="8" t="n">
        <v>34.4</v>
      </c>
    </row>
    <row r="36">
      <c r="A36" s="6" t="n">
        <v>1993</v>
      </c>
      <c r="B36" s="7" t="n"/>
      <c r="C36" s="7" t="n"/>
      <c r="D36" s="7" t="n"/>
      <c r="E36" s="7" t="n"/>
      <c r="F36" s="8" t="n">
        <v>2.3</v>
      </c>
      <c r="G36" s="8" t="n">
        <v>3.3</v>
      </c>
      <c r="H36" s="8" t="n">
        <v>4.8</v>
      </c>
      <c r="I36" s="8" t="n">
        <v>9.6</v>
      </c>
      <c r="J36" s="8" t="n">
        <v>19.1</v>
      </c>
      <c r="K36" s="8" t="n">
        <v>33.2</v>
      </c>
    </row>
    <row r="37">
      <c r="A37" s="6" t="n">
        <v>1994</v>
      </c>
      <c r="B37" s="7" t="n"/>
      <c r="C37" s="7" t="n"/>
      <c r="D37" s="7" t="n"/>
      <c r="E37" s="7" t="n"/>
      <c r="F37" s="7" t="n">
        <v>9.4</v>
      </c>
      <c r="G37" s="7" t="n">
        <v>10.8</v>
      </c>
      <c r="H37" s="7" t="n">
        <v>10.9</v>
      </c>
      <c r="I37" s="7" t="n">
        <v>16.4</v>
      </c>
      <c r="J37" s="7" t="n">
        <v>31</v>
      </c>
      <c r="K37" s="7" t="n">
        <v>34.7</v>
      </c>
    </row>
    <row r="38">
      <c r="A38" s="6" t="n">
        <v>1995</v>
      </c>
      <c r="B38" s="7" t="n"/>
      <c r="C38" s="7" t="n"/>
      <c r="D38" s="7" t="n"/>
      <c r="E38" s="7" t="n"/>
      <c r="F38" s="7" t="n">
        <v>39.6</v>
      </c>
      <c r="G38" s="7" t="n">
        <v>53.2</v>
      </c>
      <c r="H38" s="7" t="n">
        <v>58.4</v>
      </c>
      <c r="I38" s="7" t="n">
        <v>67.8</v>
      </c>
      <c r="J38" s="7" t="n">
        <v>97</v>
      </c>
      <c r="K38" s="7" t="n">
        <v>109.2</v>
      </c>
    </row>
    <row r="39">
      <c r="A39" s="6" t="n">
        <v>1996</v>
      </c>
      <c r="B39" s="7" t="n"/>
      <c r="C39" s="7" t="n"/>
      <c r="D39" s="7" t="n"/>
      <c r="E39" s="7" t="n"/>
      <c r="F39" s="7" t="n">
        <v>18</v>
      </c>
      <c r="G39" s="7" t="n">
        <v>18.1</v>
      </c>
      <c r="H39" s="7" t="n">
        <v>18.1</v>
      </c>
      <c r="I39" s="7" t="n">
        <v>19.1</v>
      </c>
      <c r="J39" s="7" t="n">
        <v>28.3</v>
      </c>
      <c r="K39" s="7" t="n">
        <v>56.6</v>
      </c>
    </row>
    <row r="40">
      <c r="A40" s="6" t="n">
        <v>1997</v>
      </c>
      <c r="B40" s="7" t="n"/>
      <c r="C40" s="7" t="n"/>
      <c r="D40" s="7" t="n"/>
      <c r="E40" s="7" t="n"/>
      <c r="F40" s="7" t="n"/>
      <c r="G40" s="7" t="n"/>
      <c r="H40" s="7" t="n"/>
      <c r="I40" s="7" t="n"/>
      <c r="J40" s="7" t="n"/>
      <c r="K40" s="7" t="n">
        <v>66</v>
      </c>
    </row>
    <row r="41">
      <c r="A41" s="6" t="n">
        <v>1998</v>
      </c>
      <c r="B41" s="7" t="n"/>
      <c r="C41" s="7" t="n"/>
      <c r="D41" s="7" t="n"/>
      <c r="E41" s="7" t="n"/>
      <c r="F41" s="7" t="n">
        <v>2.8</v>
      </c>
      <c r="G41" s="7" t="n">
        <v>4.8</v>
      </c>
      <c r="H41" s="7" t="n">
        <v>6.8</v>
      </c>
      <c r="I41" s="7" t="n">
        <v>11.4</v>
      </c>
      <c r="J41" s="7" t="n">
        <v>16.7</v>
      </c>
      <c r="K41" s="7" t="n">
        <v>32.6</v>
      </c>
    </row>
    <row r="42">
      <c r="A42" s="6" t="n">
        <v>1999</v>
      </c>
      <c r="B42" s="8" t="n">
        <v>2.8</v>
      </c>
      <c r="C42" s="8" t="n">
        <v>3.8</v>
      </c>
      <c r="D42" s="8" t="n">
        <v>4.3</v>
      </c>
      <c r="E42" s="8" t="n">
        <v>4.6</v>
      </c>
      <c r="F42" s="8" t="n">
        <v>5</v>
      </c>
      <c r="G42" s="8" t="n">
        <v>5.2</v>
      </c>
      <c r="H42" s="8" t="n">
        <v>5.5</v>
      </c>
      <c r="I42" s="8" t="n">
        <v>6.3</v>
      </c>
      <c r="J42" s="8" t="n">
        <v>9.199999999999999</v>
      </c>
      <c r="K42" s="8" t="n">
        <v>14.4</v>
      </c>
    </row>
    <row r="43">
      <c r="A43" s="6" t="n">
        <v>2001</v>
      </c>
      <c r="B43" s="8" t="n">
        <v>1.3</v>
      </c>
      <c r="C43" s="8" t="n">
        <v>2.5</v>
      </c>
      <c r="D43" s="8" t="n">
        <v>3</v>
      </c>
      <c r="E43" s="8" t="n">
        <v>4.4</v>
      </c>
      <c r="F43" s="8" t="n">
        <v>6.1</v>
      </c>
      <c r="G43" s="8" t="n">
        <v>8.800000000000001</v>
      </c>
      <c r="H43" s="8" t="n">
        <v>11.1</v>
      </c>
      <c r="I43" s="8" t="n">
        <v>14.8</v>
      </c>
      <c r="J43" s="8" t="n">
        <v>15.2</v>
      </c>
      <c r="K43" s="8" t="n">
        <v>16.7</v>
      </c>
    </row>
    <row r="44">
      <c r="A44" s="6" t="n">
        <v>2002</v>
      </c>
      <c r="B44" s="8" t="n">
        <v>2.7</v>
      </c>
      <c r="C44" s="8" t="n">
        <v>3.6</v>
      </c>
      <c r="D44" s="8" t="n">
        <v>4.1</v>
      </c>
      <c r="E44" s="8" t="n">
        <v>6.6</v>
      </c>
      <c r="F44" s="8" t="n">
        <v>11.3</v>
      </c>
      <c r="G44" s="8" t="n">
        <v>12.4</v>
      </c>
      <c r="H44" s="8" t="n">
        <v>16.1</v>
      </c>
      <c r="I44" s="8" t="n">
        <v>16.2</v>
      </c>
      <c r="J44" s="8" t="n">
        <v>16.2</v>
      </c>
      <c r="K44" s="8" t="n">
        <v>19.1</v>
      </c>
    </row>
    <row r="45">
      <c r="A45" s="6" t="n">
        <v>2003</v>
      </c>
      <c r="B45" s="8" t="n">
        <v>5.3</v>
      </c>
      <c r="C45" s="8" t="n">
        <v>9.4</v>
      </c>
      <c r="D45" s="8" t="n">
        <v>11.8</v>
      </c>
      <c r="E45" s="8" t="n">
        <v>15.5</v>
      </c>
      <c r="F45" s="8" t="n">
        <v>23.8</v>
      </c>
      <c r="G45" s="8" t="n">
        <v>30</v>
      </c>
      <c r="H45" s="8" t="n">
        <v>33.5</v>
      </c>
      <c r="I45" s="8" t="n">
        <v>34.4</v>
      </c>
      <c r="J45" s="8" t="n">
        <v>35.5</v>
      </c>
      <c r="K45" s="8" t="n">
        <v>37.8</v>
      </c>
    </row>
    <row r="46">
      <c r="A46" s="6" t="n">
        <v>2004</v>
      </c>
      <c r="B46" s="8" t="n">
        <v>3.3</v>
      </c>
      <c r="C46" s="8" t="n">
        <v>4.2</v>
      </c>
      <c r="D46" s="8" t="n">
        <v>4.8</v>
      </c>
      <c r="E46" s="8" t="n">
        <v>4.8</v>
      </c>
      <c r="F46" s="8" t="n">
        <v>4.8</v>
      </c>
      <c r="G46" s="8" t="n">
        <v>4.8</v>
      </c>
      <c r="H46" s="8" t="n">
        <v>4.8</v>
      </c>
      <c r="I46" s="8" t="n">
        <v>4.9</v>
      </c>
      <c r="J46" s="8" t="n">
        <v>5</v>
      </c>
      <c r="K46" s="8" t="n">
        <v>5</v>
      </c>
    </row>
    <row r="47">
      <c r="A47" s="6" t="n">
        <v>2005</v>
      </c>
      <c r="B47" s="8" t="n">
        <v>3.6</v>
      </c>
      <c r="C47" s="8" t="n">
        <v>5.9</v>
      </c>
      <c r="D47" s="8" t="n">
        <v>7</v>
      </c>
      <c r="E47" s="8" t="n">
        <v>9.6</v>
      </c>
      <c r="F47" s="8" t="n">
        <v>13.3</v>
      </c>
      <c r="G47" s="8" t="n">
        <v>15.2</v>
      </c>
      <c r="H47" s="8" t="n">
        <v>18.6</v>
      </c>
      <c r="I47" s="8" t="n">
        <v>35.2</v>
      </c>
      <c r="J47" s="8" t="n">
        <v>42.9</v>
      </c>
      <c r="K47" s="8" t="n">
        <v>70.40000000000001</v>
      </c>
    </row>
    <row r="48">
      <c r="A48" s="6" t="n">
        <v>2006</v>
      </c>
      <c r="B48" s="8" t="n">
        <v>3.6</v>
      </c>
      <c r="C48" s="8" t="n">
        <v>6</v>
      </c>
      <c r="D48" s="8" t="n">
        <v>8</v>
      </c>
      <c r="E48" s="8" t="n">
        <v>14.4</v>
      </c>
      <c r="F48" s="8" t="n">
        <v>17.3</v>
      </c>
      <c r="G48" s="8" t="n">
        <v>19</v>
      </c>
      <c r="H48" s="8" t="n">
        <v>19</v>
      </c>
      <c r="I48" s="8" t="n">
        <v>19</v>
      </c>
      <c r="J48" s="8" t="n">
        <v>19.1</v>
      </c>
      <c r="K48" s="8" t="n">
        <v>21.5</v>
      </c>
    </row>
    <row r="49">
      <c r="A49" s="6" t="n">
        <v>2007</v>
      </c>
      <c r="B49" s="7" t="n">
        <v>13.2</v>
      </c>
      <c r="C49" s="7" t="n">
        <v>20.2</v>
      </c>
      <c r="D49" s="7" t="n">
        <v>30.8</v>
      </c>
      <c r="E49" s="7" t="n">
        <v>40.6</v>
      </c>
      <c r="F49" s="7" t="n">
        <v>47.2</v>
      </c>
      <c r="G49" s="7" t="n">
        <v>61.4</v>
      </c>
      <c r="H49" s="7" t="n">
        <v>91</v>
      </c>
      <c r="I49" s="7" t="n">
        <v>146.8</v>
      </c>
      <c r="J49" s="7" t="n">
        <v>223.4</v>
      </c>
      <c r="K49" s="7" t="n">
        <v>290</v>
      </c>
    </row>
    <row r="50">
      <c r="A50" s="6" t="n">
        <v>2008</v>
      </c>
      <c r="B50" s="7" t="n">
        <v>3</v>
      </c>
      <c r="C50" s="7" t="n">
        <v>3</v>
      </c>
      <c r="D50" s="7" t="n">
        <v>3.1</v>
      </c>
      <c r="E50" s="7" t="n">
        <v>3.1</v>
      </c>
      <c r="F50" s="7" t="n">
        <v>3.3</v>
      </c>
      <c r="G50" s="7" t="n">
        <v>3.6</v>
      </c>
      <c r="H50" s="7" t="n">
        <v>3.9</v>
      </c>
      <c r="I50" s="7" t="n">
        <v>4.7</v>
      </c>
      <c r="J50" s="7" t="n">
        <v>5.1</v>
      </c>
      <c r="K50" s="8" t="n">
        <v>7.5</v>
      </c>
    </row>
    <row r="51">
      <c r="A51" s="6" t="n">
        <v>2009</v>
      </c>
      <c r="B51" s="7" t="n">
        <v>1.6</v>
      </c>
      <c r="C51" s="7" t="n">
        <v>2.4</v>
      </c>
      <c r="D51" s="7" t="n">
        <v>3.6</v>
      </c>
      <c r="E51" s="7" t="n">
        <v>5.2</v>
      </c>
      <c r="F51" s="7" t="n">
        <v>6.4</v>
      </c>
      <c r="G51" s="7" t="n">
        <v>6.4</v>
      </c>
      <c r="H51" s="7" t="n">
        <v>6.4</v>
      </c>
      <c r="I51" s="7" t="n">
        <v>6.4</v>
      </c>
      <c r="J51" s="7" t="n">
        <v>6.4</v>
      </c>
      <c r="K51" s="7" t="n">
        <v>6.4</v>
      </c>
    </row>
    <row r="52">
      <c r="A52" s="6" t="n">
        <v>2010</v>
      </c>
      <c r="B52" s="7" t="n">
        <v>3.6</v>
      </c>
      <c r="C52" s="7" t="n">
        <v>6.4</v>
      </c>
      <c r="D52" s="7" t="n">
        <v>8.800000000000001</v>
      </c>
      <c r="E52" s="7" t="n">
        <v>13.4</v>
      </c>
      <c r="F52" s="7" t="n">
        <v>22.8</v>
      </c>
      <c r="G52" s="7" t="n">
        <v>33.4</v>
      </c>
      <c r="H52" s="7" t="n">
        <v>45.8</v>
      </c>
      <c r="I52" s="7" t="n">
        <v>84.09999999999999</v>
      </c>
      <c r="J52" s="7" t="n">
        <v>116.1</v>
      </c>
      <c r="K52" s="7" t="n">
        <v>167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27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</cols>
  <sheetData>
    <row r="1">
      <c r="A1" s="1" t="inlineStr">
        <is>
          <t>Gauge 28  |  FL481079AF  |  Upper Al Nahdah near Al Nahdah</t>
        </is>
      </c>
    </row>
    <row r="3">
      <c r="A3" s="2" t="inlineStr">
        <is>
          <t>AMS BEFORE gap filling (observed only, mm)</t>
        </is>
      </c>
      <c r="M3" s="3" t="inlineStr">
        <is>
          <t>IDF - design rainfall DEPTH (mm)</t>
        </is>
      </c>
    </row>
    <row r="4">
      <c r="A4" s="4" t="inlineStr">
        <is>
          <t>Water year</t>
        </is>
      </c>
      <c r="B4" s="5" t="inlineStr">
        <is>
          <t>5min</t>
        </is>
      </c>
      <c r="C4" s="5" t="inlineStr">
        <is>
          <t>10min</t>
        </is>
      </c>
      <c r="D4" s="5" t="inlineStr">
        <is>
          <t>15min</t>
        </is>
      </c>
      <c r="E4" s="5" t="inlineStr">
        <is>
          <t>30min</t>
        </is>
      </c>
      <c r="F4" s="5" t="inlineStr">
        <is>
          <t>1h</t>
        </is>
      </c>
      <c r="G4" s="5" t="inlineStr">
        <is>
          <t>2h</t>
        </is>
      </c>
      <c r="H4" s="5" t="inlineStr">
        <is>
          <t>3h</t>
        </is>
      </c>
      <c r="I4" s="5" t="inlineStr">
        <is>
          <t>6h</t>
        </is>
      </c>
      <c r="J4" s="5" t="inlineStr">
        <is>
          <t>12h</t>
        </is>
      </c>
      <c r="K4" s="5" t="inlineStr">
        <is>
          <t>24h</t>
        </is>
      </c>
      <c r="M4" s="4" t="inlineStr">
        <is>
          <t>Duration \ RP</t>
        </is>
      </c>
      <c r="N4" s="4" t="n">
        <v>2</v>
      </c>
      <c r="O4" s="4" t="n">
        <v>5</v>
      </c>
      <c r="P4" s="4" t="n">
        <v>10</v>
      </c>
      <c r="Q4" s="4" t="n">
        <v>25</v>
      </c>
      <c r="R4" s="4" t="n">
        <v>50</v>
      </c>
      <c r="S4" s="4" t="n">
        <v>100</v>
      </c>
      <c r="T4" s="4" t="n">
        <v>200</v>
      </c>
      <c r="U4" s="4" t="n">
        <v>500</v>
      </c>
      <c r="V4" s="4" t="n">
        <v>1000</v>
      </c>
      <c r="W4" s="4" t="n">
        <v>2000</v>
      </c>
      <c r="X4" s="4" t="n">
        <v>5000</v>
      </c>
      <c r="Y4" s="4" t="n">
        <v>10000</v>
      </c>
    </row>
    <row r="5">
      <c r="A5" s="6" t="n">
        <v>2016</v>
      </c>
      <c r="B5" s="7" t="n">
        <v>1.6</v>
      </c>
      <c r="C5" s="7" t="n">
        <v>1.6</v>
      </c>
      <c r="D5" s="7" t="n">
        <v>3.2</v>
      </c>
      <c r="E5" s="7" t="n">
        <v>3.2</v>
      </c>
      <c r="F5" s="7" t="n">
        <v>3.2</v>
      </c>
      <c r="G5" s="7" t="n">
        <v>3.2</v>
      </c>
      <c r="H5" s="7" t="n">
        <v>3.2</v>
      </c>
      <c r="I5" s="7" t="n">
        <v>3.2</v>
      </c>
      <c r="J5" s="7" t="n">
        <v>3.2</v>
      </c>
      <c r="K5" s="7" t="n">
        <v>3.2</v>
      </c>
      <c r="M5" s="6" t="inlineStr">
        <is>
          <t>5min</t>
        </is>
      </c>
      <c r="N5" s="6" t="n">
        <v>4.6</v>
      </c>
      <c r="O5" s="6" t="n">
        <v>7.5</v>
      </c>
      <c r="P5" s="6" t="n">
        <v>9.6</v>
      </c>
      <c r="Q5" s="6" t="n">
        <v>12.6</v>
      </c>
      <c r="R5" s="6" t="n">
        <v>15.1</v>
      </c>
      <c r="S5" s="6" t="n">
        <v>17.8</v>
      </c>
      <c r="T5" s="6" t="n">
        <v>20.8</v>
      </c>
      <c r="U5" s="6" t="n">
        <v>25.1</v>
      </c>
      <c r="V5" s="6" t="n">
        <v>28.7</v>
      </c>
      <c r="W5" s="6" t="n">
        <v>32.7</v>
      </c>
      <c r="X5" s="6" t="n">
        <v>38.5</v>
      </c>
      <c r="Y5" s="6" t="n">
        <v>43.3</v>
      </c>
    </row>
    <row r="6">
      <c r="A6" s="6" t="n">
        <v>2017</v>
      </c>
      <c r="B6" s="7" t="n">
        <v>6.4</v>
      </c>
      <c r="C6" s="7" t="n">
        <v>11.4</v>
      </c>
      <c r="D6" s="7" t="n">
        <v>13</v>
      </c>
      <c r="E6" s="7" t="n">
        <v>22.2</v>
      </c>
      <c r="F6" s="7" t="n">
        <v>22.6</v>
      </c>
      <c r="G6" s="7" t="n">
        <v>22.6</v>
      </c>
      <c r="H6" s="7" t="n">
        <v>22.6</v>
      </c>
      <c r="I6" s="7" t="n">
        <v>22.6</v>
      </c>
      <c r="J6" s="7" t="n">
        <v>22.6</v>
      </c>
      <c r="K6" s="7" t="n">
        <v>22.6</v>
      </c>
      <c r="M6" s="6" t="inlineStr">
        <is>
          <t>10min</t>
        </is>
      </c>
      <c r="N6" s="6" t="n">
        <v>7.4</v>
      </c>
      <c r="O6" s="6" t="n">
        <v>12.3</v>
      </c>
      <c r="P6" s="6" t="n">
        <v>16.1</v>
      </c>
      <c r="Q6" s="6" t="n">
        <v>21.6</v>
      </c>
      <c r="R6" s="6" t="n">
        <v>26.3</v>
      </c>
      <c r="S6" s="6" t="n">
        <v>31.5</v>
      </c>
      <c r="T6" s="6" t="n">
        <v>37.4</v>
      </c>
      <c r="U6" s="6" t="n">
        <v>46.2</v>
      </c>
      <c r="V6" s="6" t="n">
        <v>53.8</v>
      </c>
      <c r="W6" s="6" t="n">
        <v>62.4</v>
      </c>
      <c r="X6" s="6" t="n">
        <v>75.3</v>
      </c>
      <c r="Y6" s="6" t="n">
        <v>86.5</v>
      </c>
    </row>
    <row r="7">
      <c r="A7" s="6" t="n">
        <v>2018</v>
      </c>
      <c r="B7" s="7" t="n">
        <v>2.2</v>
      </c>
      <c r="C7" s="7" t="n">
        <v>3.4</v>
      </c>
      <c r="D7" s="7" t="n">
        <v>3.5</v>
      </c>
      <c r="E7" s="7" t="n">
        <v>5.2</v>
      </c>
      <c r="F7" s="7" t="n">
        <v>9</v>
      </c>
      <c r="G7" s="7" t="n">
        <v>13.8</v>
      </c>
      <c r="H7" s="7" t="n">
        <v>15.7</v>
      </c>
      <c r="I7" s="7" t="n">
        <v>22</v>
      </c>
      <c r="J7" s="7" t="n">
        <v>28.1</v>
      </c>
      <c r="K7" s="7" t="n">
        <v>29</v>
      </c>
      <c r="M7" s="6" t="inlineStr">
        <is>
          <t>15min</t>
        </is>
      </c>
      <c r="N7" s="6" t="n">
        <v>9.300000000000001</v>
      </c>
      <c r="O7" s="6" t="n">
        <v>15.7</v>
      </c>
      <c r="P7" s="6" t="n">
        <v>20.7</v>
      </c>
      <c r="Q7" s="6" t="n">
        <v>28</v>
      </c>
      <c r="R7" s="6" t="n">
        <v>34.2</v>
      </c>
      <c r="S7" s="6" t="n">
        <v>41.3</v>
      </c>
      <c r="T7" s="6" t="n">
        <v>49.3</v>
      </c>
      <c r="U7" s="6" t="n">
        <v>61.4</v>
      </c>
      <c r="V7" s="6" t="n">
        <v>72</v>
      </c>
      <c r="W7" s="6" t="n">
        <v>83.90000000000001</v>
      </c>
      <c r="X7" s="6" t="n">
        <v>102.2</v>
      </c>
      <c r="Y7" s="6" t="n">
        <v>118.1</v>
      </c>
    </row>
    <row r="8">
      <c r="A8" s="6" t="n">
        <v>2019</v>
      </c>
      <c r="B8" s="7" t="n"/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M8" s="6" t="inlineStr">
        <is>
          <t>30min</t>
        </is>
      </c>
      <c r="N8" s="6" t="n">
        <v>12.9</v>
      </c>
      <c r="O8" s="6" t="n">
        <v>21.9</v>
      </c>
      <c r="P8" s="6" t="n">
        <v>28.7</v>
      </c>
      <c r="Q8" s="6" t="n">
        <v>38.4</v>
      </c>
      <c r="R8" s="6" t="n">
        <v>46.5</v>
      </c>
      <c r="S8" s="6" t="n">
        <v>55.3</v>
      </c>
      <c r="T8" s="6" t="n">
        <v>65.09999999999999</v>
      </c>
      <c r="U8" s="6" t="n">
        <v>79.5</v>
      </c>
      <c r="V8" s="6" t="n">
        <v>91.59999999999999</v>
      </c>
      <c r="W8" s="6" t="n">
        <v>105.1</v>
      </c>
      <c r="X8" s="6" t="n">
        <v>125</v>
      </c>
      <c r="Y8" s="6" t="n">
        <v>141.9</v>
      </c>
    </row>
    <row r="9">
      <c r="A9" s="6" t="n">
        <v>2020</v>
      </c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M9" s="6" t="inlineStr">
        <is>
          <t>1h</t>
        </is>
      </c>
      <c r="N9" s="6" t="n">
        <v>16.2</v>
      </c>
      <c r="O9" s="6" t="n">
        <v>27.4</v>
      </c>
      <c r="P9" s="6" t="n">
        <v>35.9</v>
      </c>
      <c r="Q9" s="6" t="n">
        <v>48.1</v>
      </c>
      <c r="R9" s="6" t="n">
        <v>58.2</v>
      </c>
      <c r="S9" s="6" t="n">
        <v>69.3</v>
      </c>
      <c r="T9" s="6" t="n">
        <v>81.59999999999999</v>
      </c>
      <c r="U9" s="6" t="n">
        <v>99.7</v>
      </c>
      <c r="V9" s="6" t="n">
        <v>115</v>
      </c>
      <c r="W9" s="6" t="n">
        <v>131.9</v>
      </c>
      <c r="X9" s="6" t="n">
        <v>157</v>
      </c>
      <c r="Y9" s="6" t="n">
        <v>178.3</v>
      </c>
    </row>
    <row r="10">
      <c r="A10" s="6" t="n">
        <v>2021</v>
      </c>
      <c r="B10" s="7" t="n">
        <v>6.4</v>
      </c>
      <c r="C10" s="7" t="n">
        <v>9.199999999999999</v>
      </c>
      <c r="D10" s="7" t="n">
        <v>11</v>
      </c>
      <c r="E10" s="7" t="n">
        <v>13.6</v>
      </c>
      <c r="F10" s="7" t="n">
        <v>14.6</v>
      </c>
      <c r="G10" s="7" t="n">
        <v>19.4</v>
      </c>
      <c r="H10" s="7" t="n">
        <v>19.6</v>
      </c>
      <c r="I10" s="7" t="n">
        <v>20.2</v>
      </c>
      <c r="J10" s="7" t="n">
        <v>22.6</v>
      </c>
      <c r="K10" s="7" t="n">
        <v>31.9</v>
      </c>
      <c r="M10" s="6" t="inlineStr">
        <is>
          <t>2h</t>
        </is>
      </c>
      <c r="N10" s="6" t="n">
        <v>19</v>
      </c>
      <c r="O10" s="6" t="n">
        <v>32.9</v>
      </c>
      <c r="P10" s="6" t="n">
        <v>43.7</v>
      </c>
      <c r="Q10" s="6" t="n">
        <v>59.4</v>
      </c>
      <c r="R10" s="6" t="n">
        <v>72.8</v>
      </c>
      <c r="S10" s="6" t="n">
        <v>87.7</v>
      </c>
      <c r="T10" s="6" t="n">
        <v>104.4</v>
      </c>
      <c r="U10" s="6" t="n">
        <v>129.6</v>
      </c>
      <c r="V10" s="6" t="n">
        <v>151.3</v>
      </c>
      <c r="W10" s="6" t="n">
        <v>175.8</v>
      </c>
      <c r="X10" s="6" t="n">
        <v>212.8</v>
      </c>
      <c r="Y10" s="6" t="n">
        <v>244.8</v>
      </c>
    </row>
    <row r="11">
      <c r="A11" s="6" t="n">
        <v>2022</v>
      </c>
      <c r="B11" s="7" t="n">
        <v>2.2</v>
      </c>
      <c r="C11" s="7" t="n">
        <v>3.4</v>
      </c>
      <c r="D11" s="7" t="n">
        <v>4.2</v>
      </c>
      <c r="E11" s="7" t="n">
        <v>5.4</v>
      </c>
      <c r="F11" s="7" t="n">
        <v>9</v>
      </c>
      <c r="G11" s="7" t="n">
        <v>13.7</v>
      </c>
      <c r="H11" s="7" t="n">
        <v>20</v>
      </c>
      <c r="I11" s="7" t="n">
        <v>23.8</v>
      </c>
      <c r="J11" s="7" t="n">
        <v>24.1</v>
      </c>
      <c r="K11" s="7" t="n">
        <v>43.7</v>
      </c>
      <c r="M11" s="6" t="inlineStr">
        <is>
          <t>3h</t>
        </is>
      </c>
      <c r="N11" s="6" t="n">
        <v>20.4</v>
      </c>
      <c r="O11" s="6" t="n">
        <v>36</v>
      </c>
      <c r="P11" s="6" t="n">
        <v>48.7</v>
      </c>
      <c r="Q11" s="6" t="n">
        <v>67.90000000000001</v>
      </c>
      <c r="R11" s="6" t="n">
        <v>84.90000000000001</v>
      </c>
      <c r="S11" s="6" t="n">
        <v>104.5</v>
      </c>
      <c r="T11" s="6" t="n">
        <v>127.2</v>
      </c>
      <c r="U11" s="6" t="n">
        <v>162.8</v>
      </c>
      <c r="V11" s="6" t="n">
        <v>194.8</v>
      </c>
      <c r="W11" s="6" t="n">
        <v>232</v>
      </c>
      <c r="X11" s="6" t="n">
        <v>290.3</v>
      </c>
      <c r="Y11" s="6" t="n">
        <v>342.7</v>
      </c>
    </row>
    <row r="12">
      <c r="M12" s="6" t="inlineStr">
        <is>
          <t>6h</t>
        </is>
      </c>
      <c r="N12" s="6" t="n">
        <v>23.2</v>
      </c>
      <c r="O12" s="6" t="n">
        <v>42</v>
      </c>
      <c r="P12" s="6" t="n">
        <v>57.9</v>
      </c>
      <c r="Q12" s="6" t="n">
        <v>83</v>
      </c>
      <c r="R12" s="6" t="n">
        <v>105.9</v>
      </c>
      <c r="S12" s="6" t="n">
        <v>133.2</v>
      </c>
      <c r="T12" s="6" t="n">
        <v>165.8</v>
      </c>
      <c r="U12" s="6" t="n">
        <v>218.7</v>
      </c>
      <c r="V12" s="6" t="n">
        <v>267.9</v>
      </c>
      <c r="W12" s="6" t="n">
        <v>326.8</v>
      </c>
      <c r="X12" s="6" t="n">
        <v>422.6</v>
      </c>
      <c r="Y12" s="6" t="n">
        <v>511.7</v>
      </c>
    </row>
    <row r="13">
      <c r="M13" s="6" t="inlineStr">
        <is>
          <t>12h</t>
        </is>
      </c>
      <c r="N13" s="6" t="n">
        <v>26.2</v>
      </c>
      <c r="O13" s="6" t="n">
        <v>48.5</v>
      </c>
      <c r="P13" s="6" t="n">
        <v>67.7</v>
      </c>
      <c r="Q13" s="6" t="n">
        <v>98.59999999999999</v>
      </c>
      <c r="R13" s="6" t="n">
        <v>127.6</v>
      </c>
      <c r="S13" s="6" t="n">
        <v>162.7</v>
      </c>
      <c r="T13" s="6" t="n">
        <v>205.3</v>
      </c>
      <c r="U13" s="6" t="n">
        <v>276.1</v>
      </c>
      <c r="V13" s="6" t="n">
        <v>343.2</v>
      </c>
      <c r="W13" s="6" t="n">
        <v>425</v>
      </c>
      <c r="X13" s="6" t="n">
        <v>561</v>
      </c>
      <c r="Y13" s="6" t="n">
        <v>690.1</v>
      </c>
    </row>
    <row r="14">
      <c r="A14" s="2" t="inlineStr">
        <is>
          <t>AMS AFTER gap filling (mm)  -  yellow = added or changed by gap filling</t>
        </is>
      </c>
      <c r="M14" s="6" t="inlineStr">
        <is>
          <t>24h</t>
        </is>
      </c>
      <c r="N14" s="6" t="n">
        <v>31.2</v>
      </c>
      <c r="O14" s="6" t="n">
        <v>58.3</v>
      </c>
      <c r="P14" s="6" t="n">
        <v>81.5</v>
      </c>
      <c r="Q14" s="6" t="n">
        <v>118.6</v>
      </c>
      <c r="R14" s="6" t="n">
        <v>153.1</v>
      </c>
      <c r="S14" s="6" t="n">
        <v>194.7</v>
      </c>
      <c r="T14" s="6" t="n">
        <v>244.9</v>
      </c>
      <c r="U14" s="6" t="n">
        <v>327.8</v>
      </c>
      <c r="V14" s="6" t="n">
        <v>406</v>
      </c>
      <c r="W14" s="6" t="n">
        <v>500.6</v>
      </c>
      <c r="X14" s="6" t="n">
        <v>657.1</v>
      </c>
      <c r="Y14" s="6" t="n">
        <v>804.7</v>
      </c>
    </row>
    <row r="15">
      <c r="A15" s="4" t="inlineStr">
        <is>
          <t>Water year</t>
        </is>
      </c>
      <c r="B15" s="5" t="inlineStr">
        <is>
          <t>5min</t>
        </is>
      </c>
      <c r="C15" s="5" t="inlineStr">
        <is>
          <t>10min</t>
        </is>
      </c>
      <c r="D15" s="5" t="inlineStr">
        <is>
          <t>15min</t>
        </is>
      </c>
      <c r="E15" s="5" t="inlineStr">
        <is>
          <t>30min</t>
        </is>
      </c>
      <c r="F15" s="5" t="inlineStr">
        <is>
          <t>1h</t>
        </is>
      </c>
      <c r="G15" s="5" t="inlineStr">
        <is>
          <t>2h</t>
        </is>
      </c>
      <c r="H15" s="5" t="inlineStr">
        <is>
          <t>3h</t>
        </is>
      </c>
      <c r="I15" s="5" t="inlineStr">
        <is>
          <t>6h</t>
        </is>
      </c>
      <c r="J15" s="5" t="inlineStr">
        <is>
          <t>12h</t>
        </is>
      </c>
      <c r="K15" s="5" t="inlineStr">
        <is>
          <t>24h</t>
        </is>
      </c>
    </row>
    <row r="16">
      <c r="A16" s="6" t="n">
        <v>2016</v>
      </c>
      <c r="B16" s="7" t="n">
        <v>1.6</v>
      </c>
      <c r="C16" s="7" t="n">
        <v>1.6</v>
      </c>
      <c r="D16" s="7" t="n">
        <v>3.2</v>
      </c>
      <c r="E16" s="7" t="n">
        <v>3.2</v>
      </c>
      <c r="F16" s="7" t="n">
        <v>3.2</v>
      </c>
      <c r="G16" s="7" t="n">
        <v>3.2</v>
      </c>
      <c r="H16" s="7" t="n">
        <v>3.2</v>
      </c>
      <c r="I16" s="7" t="n">
        <v>3.2</v>
      </c>
      <c r="J16" s="7" t="n">
        <v>3.2</v>
      </c>
      <c r="K16" s="7" t="n">
        <v>3.2</v>
      </c>
      <c r="M16" s="3" t="inlineStr">
        <is>
          <t>IDF - intensity (mm/hr) [x=duration(min)]</t>
        </is>
      </c>
    </row>
    <row r="17">
      <c r="A17" s="6" t="n">
        <v>2017</v>
      </c>
      <c r="B17" s="7" t="n">
        <v>6.4</v>
      </c>
      <c r="C17" s="7" t="n">
        <v>11.4</v>
      </c>
      <c r="D17" s="7" t="n">
        <v>13</v>
      </c>
      <c r="E17" s="7" t="n">
        <v>22.2</v>
      </c>
      <c r="F17" s="7" t="n">
        <v>22.6</v>
      </c>
      <c r="G17" s="7" t="n">
        <v>22.6</v>
      </c>
      <c r="H17" s="7" t="n">
        <v>22.6</v>
      </c>
      <c r="I17" s="7" t="n">
        <v>22.6</v>
      </c>
      <c r="J17" s="7" t="n">
        <v>22.6</v>
      </c>
      <c r="K17" s="7" t="n">
        <v>22.6</v>
      </c>
      <c r="M17" t="inlineStr">
        <is>
          <t>Duration(min)</t>
        </is>
      </c>
      <c r="N17" t="inlineStr">
        <is>
          <t>2 yr</t>
        </is>
      </c>
      <c r="O17" t="inlineStr">
        <is>
          <t>5 yr</t>
        </is>
      </c>
      <c r="P17" t="inlineStr">
        <is>
          <t>10 yr</t>
        </is>
      </c>
      <c r="Q17" t="inlineStr">
        <is>
          <t>25 yr</t>
        </is>
      </c>
      <c r="R17" t="inlineStr">
        <is>
          <t>50 yr</t>
        </is>
      </c>
      <c r="S17" t="inlineStr">
        <is>
          <t>100 yr</t>
        </is>
      </c>
      <c r="T17" t="inlineStr">
        <is>
          <t>200 yr</t>
        </is>
      </c>
      <c r="U17" t="inlineStr">
        <is>
          <t>500 yr</t>
        </is>
      </c>
      <c r="V17" t="inlineStr">
        <is>
          <t>1000 yr</t>
        </is>
      </c>
      <c r="W17" t="inlineStr">
        <is>
          <t>2000 yr</t>
        </is>
      </c>
      <c r="X17" t="inlineStr">
        <is>
          <t>5000 yr</t>
        </is>
      </c>
      <c r="Y17" t="inlineStr">
        <is>
          <t>10000 yr</t>
        </is>
      </c>
    </row>
    <row r="18">
      <c r="A18" s="6" t="n">
        <v>2018</v>
      </c>
      <c r="B18" s="7" t="n">
        <v>2.2</v>
      </c>
      <c r="C18" s="7" t="n">
        <v>3.4</v>
      </c>
      <c r="D18" s="7" t="n">
        <v>3.5</v>
      </c>
      <c r="E18" s="7" t="n">
        <v>5.2</v>
      </c>
      <c r="F18" s="7" t="n">
        <v>9</v>
      </c>
      <c r="G18" s="7" t="n">
        <v>13.8</v>
      </c>
      <c r="H18" s="7" t="n">
        <v>15.7</v>
      </c>
      <c r="I18" s="7" t="n">
        <v>22</v>
      </c>
      <c r="J18" s="7" t="n">
        <v>28.1</v>
      </c>
      <c r="K18" s="7" t="n">
        <v>29</v>
      </c>
      <c r="M18" t="n">
        <v>5</v>
      </c>
      <c r="N18" t="n">
        <v>55.2</v>
      </c>
      <c r="O18" t="n">
        <v>89.59999999999999</v>
      </c>
      <c r="P18" t="n">
        <v>115.3</v>
      </c>
      <c r="Q18" t="n">
        <v>151.5</v>
      </c>
      <c r="R18" t="n">
        <v>181.4</v>
      </c>
      <c r="S18" t="n">
        <v>213.8</v>
      </c>
      <c r="T18" t="n">
        <v>249.2</v>
      </c>
      <c r="U18" t="n">
        <v>301.1</v>
      </c>
      <c r="V18" t="n">
        <v>344.5</v>
      </c>
      <c r="W18" t="n">
        <v>392</v>
      </c>
      <c r="X18" t="n">
        <v>461.7</v>
      </c>
      <c r="Y18" t="n">
        <v>520.1</v>
      </c>
    </row>
    <row r="19">
      <c r="A19" s="6" t="n">
        <v>2019</v>
      </c>
      <c r="B19" s="7" t="n"/>
      <c r="C19" s="7" t="n"/>
      <c r="D19" s="8" t="n">
        <v>6.1</v>
      </c>
      <c r="E19" s="8" t="n">
        <v>10.1</v>
      </c>
      <c r="F19" s="8" t="n">
        <v>14.6</v>
      </c>
      <c r="G19" s="8" t="n">
        <v>20.7</v>
      </c>
      <c r="H19" s="8" t="n">
        <v>24.8</v>
      </c>
      <c r="I19" s="8" t="n">
        <v>28.5</v>
      </c>
      <c r="J19" s="8" t="n">
        <v>29.3</v>
      </c>
      <c r="K19" s="8" t="n">
        <v>49.1</v>
      </c>
      <c r="M19" t="n">
        <v>10</v>
      </c>
      <c r="N19" t="n">
        <v>44.5</v>
      </c>
      <c r="O19" t="n">
        <v>73.8</v>
      </c>
      <c r="P19" t="n">
        <v>96.5</v>
      </c>
      <c r="Q19" t="n">
        <v>129.6</v>
      </c>
      <c r="R19" t="n">
        <v>157.7</v>
      </c>
      <c r="S19" t="n">
        <v>189.1</v>
      </c>
      <c r="T19" t="n">
        <v>224.2</v>
      </c>
      <c r="U19" t="n">
        <v>277.1</v>
      </c>
      <c r="V19" t="n">
        <v>322.9</v>
      </c>
      <c r="W19" t="n">
        <v>374.2</v>
      </c>
      <c r="X19" t="n">
        <v>451.8</v>
      </c>
      <c r="Y19" t="n">
        <v>518.9</v>
      </c>
    </row>
    <row r="20">
      <c r="A20" s="6" t="n">
        <v>2020</v>
      </c>
      <c r="B20" s="8" t="n">
        <v>2.6</v>
      </c>
      <c r="C20" s="8" t="n">
        <v>4.6</v>
      </c>
      <c r="D20" s="8" t="n">
        <v>6.1</v>
      </c>
      <c r="E20" s="8" t="n">
        <v>9.1</v>
      </c>
      <c r="F20" s="8" t="n">
        <v>15.1</v>
      </c>
      <c r="G20" s="8" t="n">
        <v>19.9</v>
      </c>
      <c r="H20" s="8" t="n">
        <v>23.1</v>
      </c>
      <c r="I20" s="8" t="n">
        <v>33.9</v>
      </c>
      <c r="J20" s="8" t="n">
        <v>36</v>
      </c>
      <c r="K20" s="8" t="n">
        <v>50.8</v>
      </c>
      <c r="M20" t="n">
        <v>15</v>
      </c>
      <c r="N20" t="n">
        <v>37.3</v>
      </c>
      <c r="O20" t="n">
        <v>62.7</v>
      </c>
      <c r="P20" t="n">
        <v>82.59999999999999</v>
      </c>
      <c r="Q20" t="n">
        <v>111.9</v>
      </c>
      <c r="R20" t="n">
        <v>137</v>
      </c>
      <c r="S20" t="n">
        <v>165.2</v>
      </c>
      <c r="T20" t="n">
        <v>197</v>
      </c>
      <c r="U20" t="n">
        <v>245.6</v>
      </c>
      <c r="V20" t="n">
        <v>287.9</v>
      </c>
      <c r="W20" t="n">
        <v>335.7</v>
      </c>
      <c r="X20" t="n">
        <v>408.7</v>
      </c>
      <c r="Y20" t="n">
        <v>472.4</v>
      </c>
    </row>
    <row r="21">
      <c r="A21" s="6" t="n">
        <v>2021</v>
      </c>
      <c r="B21" s="7" t="n">
        <v>6.4</v>
      </c>
      <c r="C21" s="7" t="n">
        <v>9.199999999999999</v>
      </c>
      <c r="D21" s="7" t="n">
        <v>11</v>
      </c>
      <c r="E21" s="7" t="n">
        <v>13.6</v>
      </c>
      <c r="F21" s="7" t="n">
        <v>14.6</v>
      </c>
      <c r="G21" s="7" t="n">
        <v>19.4</v>
      </c>
      <c r="H21" s="7" t="n">
        <v>19.6</v>
      </c>
      <c r="I21" s="7" t="n">
        <v>20.2</v>
      </c>
      <c r="J21" s="7" t="n">
        <v>22.6</v>
      </c>
      <c r="K21" s="7" t="n">
        <v>31.9</v>
      </c>
      <c r="M21" t="n">
        <v>30</v>
      </c>
      <c r="N21" t="n">
        <v>25.9</v>
      </c>
      <c r="O21" t="n">
        <v>43.9</v>
      </c>
      <c r="P21" t="n">
        <v>57.4</v>
      </c>
      <c r="Q21" t="n">
        <v>76.8</v>
      </c>
      <c r="R21" t="n">
        <v>93</v>
      </c>
      <c r="S21" t="n">
        <v>110.7</v>
      </c>
      <c r="T21" t="n">
        <v>130.1</v>
      </c>
      <c r="U21" t="n">
        <v>158.9</v>
      </c>
      <c r="V21" t="n">
        <v>183.3</v>
      </c>
      <c r="W21" t="n">
        <v>210.2</v>
      </c>
      <c r="X21" t="n">
        <v>250</v>
      </c>
      <c r="Y21" t="n">
        <v>283.7</v>
      </c>
    </row>
    <row r="22">
      <c r="A22" s="6" t="n">
        <v>2022</v>
      </c>
      <c r="B22" s="7" t="n">
        <v>2.2</v>
      </c>
      <c r="C22" s="7" t="n">
        <v>3.4</v>
      </c>
      <c r="D22" s="7" t="n">
        <v>4.2</v>
      </c>
      <c r="E22" s="7" t="n">
        <v>5.4</v>
      </c>
      <c r="F22" s="7" t="n">
        <v>9</v>
      </c>
      <c r="G22" s="7" t="n">
        <v>13.7</v>
      </c>
      <c r="H22" s="7" t="n">
        <v>20</v>
      </c>
      <c r="I22" s="7" t="n">
        <v>23.8</v>
      </c>
      <c r="J22" s="7" t="n">
        <v>24.1</v>
      </c>
      <c r="K22" s="7" t="n">
        <v>43.7</v>
      </c>
      <c r="M22" t="n">
        <v>60</v>
      </c>
      <c r="N22" t="n">
        <v>16.2</v>
      </c>
      <c r="O22" t="n">
        <v>27.4</v>
      </c>
      <c r="P22" t="n">
        <v>35.9</v>
      </c>
      <c r="Q22" t="n">
        <v>48.1</v>
      </c>
      <c r="R22" t="n">
        <v>58.2</v>
      </c>
      <c r="S22" t="n">
        <v>69.3</v>
      </c>
      <c r="T22" t="n">
        <v>81.59999999999999</v>
      </c>
      <c r="U22" t="n">
        <v>99.7</v>
      </c>
      <c r="V22" t="n">
        <v>115</v>
      </c>
      <c r="W22" t="n">
        <v>131.9</v>
      </c>
      <c r="X22" t="n">
        <v>157</v>
      </c>
      <c r="Y22" t="n">
        <v>178.3</v>
      </c>
    </row>
    <row r="23">
      <c r="M23" t="n">
        <v>120</v>
      </c>
      <c r="N23" t="n">
        <v>9.5</v>
      </c>
      <c r="O23" t="n">
        <v>16.5</v>
      </c>
      <c r="P23" t="n">
        <v>21.9</v>
      </c>
      <c r="Q23" t="n">
        <v>29.7</v>
      </c>
      <c r="R23" t="n">
        <v>36.4</v>
      </c>
      <c r="S23" t="n">
        <v>43.8</v>
      </c>
      <c r="T23" t="n">
        <v>52.2</v>
      </c>
      <c r="U23" t="n">
        <v>64.8</v>
      </c>
      <c r="V23" t="n">
        <v>75.7</v>
      </c>
      <c r="W23" t="n">
        <v>87.90000000000001</v>
      </c>
      <c r="X23" t="n">
        <v>106.4</v>
      </c>
      <c r="Y23" t="n">
        <v>122.4</v>
      </c>
    </row>
    <row r="24">
      <c r="M24" t="n">
        <v>180</v>
      </c>
      <c r="N24" t="n">
        <v>6.8</v>
      </c>
      <c r="O24" t="n">
        <v>12</v>
      </c>
      <c r="P24" t="n">
        <v>16.2</v>
      </c>
      <c r="Q24" t="n">
        <v>22.6</v>
      </c>
      <c r="R24" t="n">
        <v>28.3</v>
      </c>
      <c r="S24" t="n">
        <v>34.8</v>
      </c>
      <c r="T24" t="n">
        <v>42.4</v>
      </c>
      <c r="U24" t="n">
        <v>54.3</v>
      </c>
      <c r="V24" t="n">
        <v>64.90000000000001</v>
      </c>
      <c r="W24" t="n">
        <v>77.3</v>
      </c>
      <c r="X24" t="n">
        <v>96.8</v>
      </c>
      <c r="Y24" t="n">
        <v>114.2</v>
      </c>
    </row>
    <row r="25">
      <c r="M25" t="n">
        <v>360</v>
      </c>
      <c r="N25" t="n">
        <v>3.9</v>
      </c>
      <c r="O25" t="n">
        <v>7</v>
      </c>
      <c r="P25" t="n">
        <v>9.699999999999999</v>
      </c>
      <c r="Q25" t="n">
        <v>13.8</v>
      </c>
      <c r="R25" t="n">
        <v>17.7</v>
      </c>
      <c r="S25" t="n">
        <v>22.2</v>
      </c>
      <c r="T25" t="n">
        <v>27.6</v>
      </c>
      <c r="U25" t="n">
        <v>36.5</v>
      </c>
      <c r="V25" t="n">
        <v>44.7</v>
      </c>
      <c r="W25" t="n">
        <v>54.5</v>
      </c>
      <c r="X25" t="n">
        <v>70.40000000000001</v>
      </c>
      <c r="Y25" t="n">
        <v>85.3</v>
      </c>
    </row>
    <row r="26">
      <c r="M26" t="n">
        <v>720</v>
      </c>
      <c r="N26" t="n">
        <v>2.2</v>
      </c>
      <c r="O26" t="n">
        <v>4</v>
      </c>
      <c r="P26" t="n">
        <v>5.6</v>
      </c>
      <c r="Q26" t="n">
        <v>8.199999999999999</v>
      </c>
      <c r="R26" t="n">
        <v>10.6</v>
      </c>
      <c r="S26" t="n">
        <v>13.6</v>
      </c>
      <c r="T26" t="n">
        <v>17.1</v>
      </c>
      <c r="U26" t="n">
        <v>23</v>
      </c>
      <c r="V26" t="n">
        <v>28.6</v>
      </c>
      <c r="W26" t="n">
        <v>35.4</v>
      </c>
      <c r="X26" t="n">
        <v>46.7</v>
      </c>
      <c r="Y26" t="n">
        <v>57.5</v>
      </c>
    </row>
    <row r="27">
      <c r="M27" t="n">
        <v>1440</v>
      </c>
      <c r="N27" t="n">
        <v>1.3</v>
      </c>
      <c r="O27" t="n">
        <v>2.4</v>
      </c>
      <c r="P27" t="n">
        <v>3.4</v>
      </c>
      <c r="Q27" t="n">
        <v>4.9</v>
      </c>
      <c r="R27" t="n">
        <v>6.4</v>
      </c>
      <c r="S27" t="n">
        <v>8.1</v>
      </c>
      <c r="T27" t="n">
        <v>10.2</v>
      </c>
      <c r="U27" t="n">
        <v>13.7</v>
      </c>
      <c r="V27" t="n">
        <v>16.9</v>
      </c>
      <c r="W27" t="n">
        <v>20.9</v>
      </c>
      <c r="X27" t="n">
        <v>27.4</v>
      </c>
      <c r="Y27" t="n">
        <v>33.5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6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</cols>
  <sheetData>
    <row r="1">
      <c r="A1" s="1" t="inlineStr">
        <is>
          <t>Gauge 29  |  FL580672AF  |  WADI AL JANNAH 1 NEAR AL HAJIR</t>
        </is>
      </c>
    </row>
    <row r="3">
      <c r="A3" s="2" t="inlineStr">
        <is>
          <t>AMS BEFORE gap filling (observed only, mm)</t>
        </is>
      </c>
      <c r="M3" s="3" t="inlineStr">
        <is>
          <t>IDF - design rainfall DEPTH (mm)</t>
        </is>
      </c>
    </row>
    <row r="4">
      <c r="A4" s="4" t="inlineStr">
        <is>
          <t>Water year</t>
        </is>
      </c>
      <c r="B4" s="5" t="inlineStr">
        <is>
          <t>5min</t>
        </is>
      </c>
      <c r="C4" s="5" t="inlineStr">
        <is>
          <t>10min</t>
        </is>
      </c>
      <c r="D4" s="5" t="inlineStr">
        <is>
          <t>15min</t>
        </is>
      </c>
      <c r="E4" s="5" t="inlineStr">
        <is>
          <t>30min</t>
        </is>
      </c>
      <c r="F4" s="5" t="inlineStr">
        <is>
          <t>1h</t>
        </is>
      </c>
      <c r="G4" s="5" t="inlineStr">
        <is>
          <t>2h</t>
        </is>
      </c>
      <c r="H4" s="5" t="inlineStr">
        <is>
          <t>3h</t>
        </is>
      </c>
      <c r="I4" s="5" t="inlineStr">
        <is>
          <t>6h</t>
        </is>
      </c>
      <c r="J4" s="5" t="inlineStr">
        <is>
          <t>12h</t>
        </is>
      </c>
      <c r="K4" s="5" t="inlineStr">
        <is>
          <t>24h</t>
        </is>
      </c>
      <c r="M4" s="4" t="inlineStr">
        <is>
          <t>Duration \ RP</t>
        </is>
      </c>
      <c r="N4" s="4" t="n">
        <v>2</v>
      </c>
      <c r="O4" s="4" t="n">
        <v>5</v>
      </c>
      <c r="P4" s="4" t="n">
        <v>10</v>
      </c>
      <c r="Q4" s="4" t="n">
        <v>25</v>
      </c>
      <c r="R4" s="4" t="n">
        <v>50</v>
      </c>
      <c r="S4" s="4" t="n">
        <v>100</v>
      </c>
      <c r="T4" s="4" t="n">
        <v>200</v>
      </c>
      <c r="U4" s="4" t="n">
        <v>500</v>
      </c>
      <c r="V4" s="4" t="n">
        <v>1000</v>
      </c>
      <c r="W4" s="4" t="n">
        <v>2000</v>
      </c>
      <c r="X4" s="4" t="n">
        <v>5000</v>
      </c>
      <c r="Y4" s="4" t="n">
        <v>10000</v>
      </c>
    </row>
    <row r="5">
      <c r="A5" s="6" t="n">
        <v>1987</v>
      </c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>
        <v>24</v>
      </c>
      <c r="M5" s="6" t="inlineStr">
        <is>
          <t>5min</t>
        </is>
      </c>
      <c r="N5" s="6" t="n">
        <v>4.4</v>
      </c>
      <c r="O5" s="6" t="n">
        <v>6.9</v>
      </c>
      <c r="P5" s="6" t="n">
        <v>8.699999999999999</v>
      </c>
      <c r="Q5" s="6" t="n">
        <v>11.1</v>
      </c>
      <c r="R5" s="6" t="n">
        <v>12.9</v>
      </c>
      <c r="S5" s="6" t="n">
        <v>14.8</v>
      </c>
      <c r="T5" s="6" t="n">
        <v>16.8</v>
      </c>
      <c r="U5" s="6" t="n">
        <v>19.5</v>
      </c>
      <c r="V5" s="6" t="n">
        <v>21.6</v>
      </c>
      <c r="W5" s="6" t="n">
        <v>23.9</v>
      </c>
      <c r="X5" s="6" t="n">
        <v>26.9</v>
      </c>
      <c r="Y5" s="6" t="n">
        <v>29.4</v>
      </c>
    </row>
    <row r="6">
      <c r="A6" s="6" t="n">
        <v>1988</v>
      </c>
      <c r="B6" s="7" t="n"/>
      <c r="C6" s="7" t="n"/>
      <c r="D6" s="7" t="n"/>
      <c r="E6" s="7" t="n"/>
      <c r="F6" s="7" t="n"/>
      <c r="G6" s="7" t="n"/>
      <c r="H6" s="7" t="n"/>
      <c r="I6" s="7" t="n"/>
      <c r="J6" s="7" t="n"/>
      <c r="K6" s="7" t="n">
        <v>23</v>
      </c>
      <c r="M6" s="6" t="inlineStr">
        <is>
          <t>10min</t>
        </is>
      </c>
      <c r="N6" s="6" t="n">
        <v>7</v>
      </c>
      <c r="O6" s="6" t="n">
        <v>11.2</v>
      </c>
      <c r="P6" s="6" t="n">
        <v>14.1</v>
      </c>
      <c r="Q6" s="6" t="n">
        <v>18.1</v>
      </c>
      <c r="R6" s="6" t="n">
        <v>21.3</v>
      </c>
      <c r="S6" s="6" t="n">
        <v>24.6</v>
      </c>
      <c r="T6" s="6" t="n">
        <v>28.1</v>
      </c>
      <c r="U6" s="6" t="n">
        <v>33</v>
      </c>
      <c r="V6" s="6" t="n">
        <v>37</v>
      </c>
      <c r="W6" s="6" t="n">
        <v>41.1</v>
      </c>
      <c r="X6" s="6" t="n">
        <v>47</v>
      </c>
      <c r="Y6" s="6" t="n">
        <v>51.7</v>
      </c>
    </row>
    <row r="7">
      <c r="A7" s="6" t="n">
        <v>1989</v>
      </c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>
        <v>26.5</v>
      </c>
      <c r="M7" s="6" t="inlineStr">
        <is>
          <t>15min</t>
        </is>
      </c>
      <c r="N7" s="6" t="n">
        <v>8.699999999999999</v>
      </c>
      <c r="O7" s="6" t="n">
        <v>14.2</v>
      </c>
      <c r="P7" s="6" t="n">
        <v>18.2</v>
      </c>
      <c r="Q7" s="6" t="n">
        <v>23.7</v>
      </c>
      <c r="R7" s="6" t="n">
        <v>28.2</v>
      </c>
      <c r="S7" s="6" t="n">
        <v>32.9</v>
      </c>
      <c r="T7" s="6" t="n">
        <v>38</v>
      </c>
      <c r="U7" s="6" t="n">
        <v>45.3</v>
      </c>
      <c r="V7" s="6" t="n">
        <v>51.3</v>
      </c>
      <c r="W7" s="6" t="n">
        <v>57.7</v>
      </c>
      <c r="X7" s="6" t="n">
        <v>66.90000000000001</v>
      </c>
      <c r="Y7" s="6" t="n">
        <v>74.5</v>
      </c>
    </row>
    <row r="8">
      <c r="A8" s="6" t="n">
        <v>1990</v>
      </c>
      <c r="B8" s="7" t="n"/>
      <c r="C8" s="7" t="n"/>
      <c r="D8" s="7" t="n"/>
      <c r="E8" s="7" t="n"/>
      <c r="F8" s="7" t="n"/>
      <c r="G8" s="7" t="n"/>
      <c r="H8" s="7" t="n"/>
      <c r="I8" s="7" t="n"/>
      <c r="J8" s="7" t="n"/>
      <c r="K8" s="7" t="n">
        <v>13</v>
      </c>
      <c r="M8" s="6" t="inlineStr">
        <is>
          <t>30min</t>
        </is>
      </c>
      <c r="N8" s="6" t="n">
        <v>11.8</v>
      </c>
      <c r="O8" s="6" t="n">
        <v>19.6</v>
      </c>
      <c r="P8" s="6" t="n">
        <v>25.2</v>
      </c>
      <c r="Q8" s="6" t="n">
        <v>32.7</v>
      </c>
      <c r="R8" s="6" t="n">
        <v>38.6</v>
      </c>
      <c r="S8" s="6" t="n">
        <v>44.9</v>
      </c>
      <c r="T8" s="6" t="n">
        <v>51.4</v>
      </c>
      <c r="U8" s="6" t="n">
        <v>60.6</v>
      </c>
      <c r="V8" s="6" t="n">
        <v>68.09999999999999</v>
      </c>
      <c r="W8" s="6" t="n">
        <v>75.90000000000001</v>
      </c>
      <c r="X8" s="6" t="n">
        <v>86.90000000000001</v>
      </c>
      <c r="Y8" s="6" t="n">
        <v>95.8</v>
      </c>
    </row>
    <row r="9">
      <c r="A9" s="6" t="n">
        <v>1991</v>
      </c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>
        <v>3</v>
      </c>
      <c r="M9" s="6" t="inlineStr">
        <is>
          <t>1h</t>
        </is>
      </c>
      <c r="N9" s="6" t="n">
        <v>14.8</v>
      </c>
      <c r="O9" s="6" t="n">
        <v>24.8</v>
      </c>
      <c r="P9" s="6" t="n">
        <v>31.9</v>
      </c>
      <c r="Q9" s="6" t="n">
        <v>41.7</v>
      </c>
      <c r="R9" s="6" t="n">
        <v>49.4</v>
      </c>
      <c r="S9" s="6" t="n">
        <v>57.7</v>
      </c>
      <c r="T9" s="6" t="n">
        <v>66.40000000000001</v>
      </c>
      <c r="U9" s="6" t="n">
        <v>78.8</v>
      </c>
      <c r="V9" s="6" t="n">
        <v>88.8</v>
      </c>
      <c r="W9" s="6" t="n">
        <v>99.5</v>
      </c>
      <c r="X9" s="6" t="n">
        <v>114.6</v>
      </c>
      <c r="Y9" s="6" t="n">
        <v>127</v>
      </c>
    </row>
    <row r="10">
      <c r="A10" s="6" t="n">
        <v>1992</v>
      </c>
      <c r="B10" s="7" t="n"/>
      <c r="C10" s="7" t="n"/>
      <c r="D10" s="7" t="n"/>
      <c r="E10" s="7" t="n"/>
      <c r="F10" s="7" t="n"/>
      <c r="G10" s="7" t="n"/>
      <c r="H10" s="7" t="n"/>
      <c r="I10" s="7" t="n"/>
      <c r="J10" s="7" t="n"/>
      <c r="K10" s="7" t="n">
        <v>29.5</v>
      </c>
      <c r="M10" s="6" t="inlineStr">
        <is>
          <t>2h</t>
        </is>
      </c>
      <c r="N10" s="6" t="n">
        <v>17.2</v>
      </c>
      <c r="O10" s="6" t="n">
        <v>29.4</v>
      </c>
      <c r="P10" s="6" t="n">
        <v>38.5</v>
      </c>
      <c r="Q10" s="6" t="n">
        <v>51.5</v>
      </c>
      <c r="R10" s="6" t="n">
        <v>62.3</v>
      </c>
      <c r="S10" s="6" t="n">
        <v>74.09999999999999</v>
      </c>
      <c r="T10" s="6" t="n">
        <v>87</v>
      </c>
      <c r="U10" s="6" t="n">
        <v>106.1</v>
      </c>
      <c r="V10" s="6" t="n">
        <v>122.1</v>
      </c>
      <c r="W10" s="6" t="n">
        <v>139.8</v>
      </c>
      <c r="X10" s="6" t="n">
        <v>165.9</v>
      </c>
      <c r="Y10" s="6" t="n">
        <v>187.9</v>
      </c>
    </row>
    <row r="11">
      <c r="A11" s="6" t="n">
        <v>1993</v>
      </c>
      <c r="B11" s="7" t="n"/>
      <c r="C11" s="7" t="n"/>
      <c r="D11" s="7" t="n"/>
      <c r="E11" s="7" t="n"/>
      <c r="F11" s="7" t="n">
        <v>5</v>
      </c>
      <c r="G11" s="7" t="n">
        <v>7</v>
      </c>
      <c r="H11" s="7" t="n">
        <v>10</v>
      </c>
      <c r="I11" s="7" t="n">
        <v>10.4</v>
      </c>
      <c r="J11" s="7" t="n">
        <v>11.3</v>
      </c>
      <c r="K11" s="7" t="n">
        <v>13.1</v>
      </c>
      <c r="M11" s="6" t="inlineStr">
        <is>
          <t>3h</t>
        </is>
      </c>
      <c r="N11" s="6" t="n">
        <v>18.5</v>
      </c>
      <c r="O11" s="6" t="n">
        <v>32.2</v>
      </c>
      <c r="P11" s="6" t="n">
        <v>43.1</v>
      </c>
      <c r="Q11" s="6" t="n">
        <v>59.3</v>
      </c>
      <c r="R11" s="6" t="n">
        <v>73.3</v>
      </c>
      <c r="S11" s="6" t="n">
        <v>89.3</v>
      </c>
      <c r="T11" s="6" t="n">
        <v>107.6</v>
      </c>
      <c r="U11" s="6" t="n">
        <v>135.8</v>
      </c>
      <c r="V11" s="6" t="n">
        <v>160.6</v>
      </c>
      <c r="W11" s="6" t="n">
        <v>189.1</v>
      </c>
      <c r="X11" s="6" t="n">
        <v>233</v>
      </c>
      <c r="Y11" s="6" t="n">
        <v>271.8</v>
      </c>
    </row>
    <row r="12">
      <c r="A12" s="6" t="n">
        <v>1994</v>
      </c>
      <c r="B12" s="7" t="n"/>
      <c r="C12" s="7" t="n"/>
      <c r="D12" s="7" t="n"/>
      <c r="E12" s="7" t="n"/>
      <c r="F12" s="7" t="n">
        <v>6.5</v>
      </c>
      <c r="G12" s="7" t="n">
        <v>6.8</v>
      </c>
      <c r="H12" s="7" t="n">
        <v>7</v>
      </c>
      <c r="I12" s="7" t="n">
        <v>9.1</v>
      </c>
      <c r="J12" s="7" t="n">
        <v>9.4</v>
      </c>
      <c r="K12" s="7" t="n">
        <v>9.699999999999999</v>
      </c>
      <c r="M12" s="6" t="inlineStr">
        <is>
          <t>6h</t>
        </is>
      </c>
      <c r="N12" s="6" t="n">
        <v>21.1</v>
      </c>
      <c r="O12" s="6" t="n">
        <v>37.9</v>
      </c>
      <c r="P12" s="6" t="n">
        <v>52.1</v>
      </c>
      <c r="Q12" s="6" t="n">
        <v>74.59999999999999</v>
      </c>
      <c r="R12" s="6" t="n">
        <v>95.3</v>
      </c>
      <c r="S12" s="6" t="n">
        <v>120</v>
      </c>
      <c r="T12" s="6" t="n">
        <v>149.6</v>
      </c>
      <c r="U12" s="6" t="n">
        <v>197.9</v>
      </c>
      <c r="V12" s="6" t="n">
        <v>243</v>
      </c>
      <c r="W12" s="6" t="n">
        <v>297.2</v>
      </c>
      <c r="X12" s="6" t="n">
        <v>385.7</v>
      </c>
      <c r="Y12" s="6" t="n">
        <v>468.4</v>
      </c>
    </row>
    <row r="13">
      <c r="A13" s="6" t="n">
        <v>1995</v>
      </c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M13" s="6" t="inlineStr">
        <is>
          <t>12h</t>
        </is>
      </c>
      <c r="N13" s="6" t="n">
        <v>24</v>
      </c>
      <c r="O13" s="6" t="n">
        <v>43.8</v>
      </c>
      <c r="P13" s="6" t="n">
        <v>61.1</v>
      </c>
      <c r="Q13" s="6" t="n">
        <v>89.5</v>
      </c>
      <c r="R13" s="6" t="n">
        <v>116.4</v>
      </c>
      <c r="S13" s="6" t="n">
        <v>149.4</v>
      </c>
      <c r="T13" s="6" t="n">
        <v>190</v>
      </c>
      <c r="U13" s="6" t="n">
        <v>258.5</v>
      </c>
      <c r="V13" s="6" t="n">
        <v>324.4</v>
      </c>
      <c r="W13" s="6" t="n">
        <v>405.5</v>
      </c>
      <c r="X13" s="6" t="n">
        <v>542.4</v>
      </c>
      <c r="Y13" s="6" t="n">
        <v>674.3</v>
      </c>
    </row>
    <row r="14">
      <c r="A14" s="6" t="n">
        <v>1996</v>
      </c>
      <c r="B14" s="7" t="n"/>
      <c r="C14" s="7" t="n"/>
      <c r="D14" s="7" t="n"/>
      <c r="E14" s="7" t="n"/>
      <c r="F14" s="7" t="n"/>
      <c r="G14" s="7" t="n"/>
      <c r="H14" s="7" t="n"/>
      <c r="I14" s="7" t="n"/>
      <c r="J14" s="7" t="n"/>
      <c r="K14" s="7" t="n"/>
      <c r="M14" s="6" t="inlineStr">
        <is>
          <t>24h</t>
        </is>
      </c>
      <c r="N14" s="6" t="n">
        <v>30.6</v>
      </c>
      <c r="O14" s="6" t="n">
        <v>56.9</v>
      </c>
      <c r="P14" s="6" t="n">
        <v>79.59999999999999</v>
      </c>
      <c r="Q14" s="6" t="n">
        <v>116.3</v>
      </c>
      <c r="R14" s="6" t="n">
        <v>150.6</v>
      </c>
      <c r="S14" s="6" t="n">
        <v>192.1</v>
      </c>
      <c r="T14" s="6" t="n">
        <v>242.6</v>
      </c>
      <c r="U14" s="6" t="n">
        <v>326.5</v>
      </c>
      <c r="V14" s="6" t="n">
        <v>406.1</v>
      </c>
      <c r="W14" s="6" t="n">
        <v>503</v>
      </c>
      <c r="X14" s="6" t="n">
        <v>664.2</v>
      </c>
      <c r="Y14" s="6" t="n">
        <v>817.3</v>
      </c>
    </row>
    <row r="15">
      <c r="A15" s="6" t="n">
        <v>1997</v>
      </c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>
        <v>19.6</v>
      </c>
    </row>
    <row r="16">
      <c r="A16" s="6" t="n">
        <v>1998</v>
      </c>
      <c r="B16" s="7" t="n">
        <v>2.5</v>
      </c>
      <c r="C16" s="7" t="n">
        <v>5</v>
      </c>
      <c r="D16" s="7" t="n">
        <v>5.2</v>
      </c>
      <c r="E16" s="7" t="n">
        <v>5.4</v>
      </c>
      <c r="F16" s="7" t="n">
        <v>6.3</v>
      </c>
      <c r="G16" s="7" t="n">
        <v>6.5</v>
      </c>
      <c r="H16" s="7" t="n">
        <v>6.5</v>
      </c>
      <c r="I16" s="7" t="n">
        <v>6.8</v>
      </c>
      <c r="J16" s="7" t="n">
        <v>9.800000000000001</v>
      </c>
      <c r="K16" s="7" t="n">
        <v>19.5</v>
      </c>
      <c r="M16" s="3" t="inlineStr">
        <is>
          <t>IDF - intensity (mm/hr) [x=duration(min)]</t>
        </is>
      </c>
    </row>
    <row r="17">
      <c r="A17" s="6" t="n">
        <v>1999</v>
      </c>
      <c r="B17" s="7" t="n">
        <v>0.5</v>
      </c>
      <c r="C17" s="7" t="n">
        <v>0.8</v>
      </c>
      <c r="D17" s="7" t="n">
        <v>1</v>
      </c>
      <c r="E17" s="7" t="n">
        <v>1.8</v>
      </c>
      <c r="F17" s="7" t="n">
        <v>3.3</v>
      </c>
      <c r="G17" s="7" t="n">
        <v>6</v>
      </c>
      <c r="H17" s="7" t="n">
        <v>8.5</v>
      </c>
      <c r="I17" s="7" t="n">
        <v>13</v>
      </c>
      <c r="J17" s="7" t="n">
        <v>13.3</v>
      </c>
      <c r="K17" s="7" t="n">
        <v>15.9</v>
      </c>
      <c r="M17" t="inlineStr">
        <is>
          <t>Duration(min)</t>
        </is>
      </c>
      <c r="N17" t="inlineStr">
        <is>
          <t>2 yr</t>
        </is>
      </c>
      <c r="O17" t="inlineStr">
        <is>
          <t>5 yr</t>
        </is>
      </c>
      <c r="P17" t="inlineStr">
        <is>
          <t>10 yr</t>
        </is>
      </c>
      <c r="Q17" t="inlineStr">
        <is>
          <t>25 yr</t>
        </is>
      </c>
      <c r="R17" t="inlineStr">
        <is>
          <t>50 yr</t>
        </is>
      </c>
      <c r="S17" t="inlineStr">
        <is>
          <t>100 yr</t>
        </is>
      </c>
      <c r="T17" t="inlineStr">
        <is>
          <t>200 yr</t>
        </is>
      </c>
      <c r="U17" t="inlineStr">
        <is>
          <t>500 yr</t>
        </is>
      </c>
      <c r="V17" t="inlineStr">
        <is>
          <t>1000 yr</t>
        </is>
      </c>
      <c r="W17" t="inlineStr">
        <is>
          <t>2000 yr</t>
        </is>
      </c>
      <c r="X17" t="inlineStr">
        <is>
          <t>5000 yr</t>
        </is>
      </c>
      <c r="Y17" t="inlineStr">
        <is>
          <t>10000 yr</t>
        </is>
      </c>
    </row>
    <row r="18">
      <c r="A18" s="6" t="n">
        <v>2001</v>
      </c>
      <c r="B18" s="7" t="n">
        <v>0.8</v>
      </c>
      <c r="C18" s="7" t="n">
        <v>1.4</v>
      </c>
      <c r="D18" s="7" t="n">
        <v>2</v>
      </c>
      <c r="E18" s="7" t="n">
        <v>3.8</v>
      </c>
      <c r="F18" s="7" t="n">
        <v>7.4</v>
      </c>
      <c r="G18" s="7" t="n">
        <v>14.2</v>
      </c>
      <c r="H18" s="7" t="n">
        <v>20</v>
      </c>
      <c r="I18" s="7" t="n">
        <v>27.4</v>
      </c>
      <c r="J18" s="7" t="n">
        <v>27.6</v>
      </c>
      <c r="K18" s="7" t="n">
        <v>32.1</v>
      </c>
      <c r="M18" t="n">
        <v>5</v>
      </c>
      <c r="N18" t="n">
        <v>52.5</v>
      </c>
      <c r="O18" t="n">
        <v>83.2</v>
      </c>
      <c r="P18" t="n">
        <v>104.6</v>
      </c>
      <c r="Q18" t="n">
        <v>133</v>
      </c>
      <c r="R18" t="n">
        <v>155</v>
      </c>
      <c r="S18" t="n">
        <v>177.8</v>
      </c>
      <c r="T18" t="n">
        <v>201.3</v>
      </c>
      <c r="U18" t="n">
        <v>233.9</v>
      </c>
      <c r="V18" t="n">
        <v>259.6</v>
      </c>
      <c r="W18" t="n">
        <v>286.3</v>
      </c>
      <c r="X18" t="n">
        <v>323.3</v>
      </c>
      <c r="Y18" t="n">
        <v>352.5</v>
      </c>
    </row>
    <row r="19">
      <c r="A19" s="6" t="n">
        <v>2002</v>
      </c>
      <c r="B19" s="7" t="n"/>
      <c r="C19" s="7" t="n"/>
      <c r="D19" s="7" t="n"/>
      <c r="E19" s="7" t="n"/>
      <c r="F19" s="7" t="n"/>
      <c r="G19" s="7" t="n">
        <v>0.9</v>
      </c>
      <c r="H19" s="7" t="n">
        <v>1.2</v>
      </c>
      <c r="I19" s="7" t="n">
        <v>1.8</v>
      </c>
      <c r="J19" s="7" t="n">
        <v>1.9</v>
      </c>
      <c r="K19" s="7" t="n">
        <v>2</v>
      </c>
      <c r="M19" t="n">
        <v>10</v>
      </c>
      <c r="N19" t="n">
        <v>41.9</v>
      </c>
      <c r="O19" t="n">
        <v>66.90000000000001</v>
      </c>
      <c r="P19" t="n">
        <v>84.7</v>
      </c>
      <c r="Q19" t="n">
        <v>108.8</v>
      </c>
      <c r="R19" t="n">
        <v>127.8</v>
      </c>
      <c r="S19" t="n">
        <v>147.8</v>
      </c>
      <c r="T19" t="n">
        <v>168.7</v>
      </c>
      <c r="U19" t="n">
        <v>198.2</v>
      </c>
      <c r="V19" t="n">
        <v>221.8</v>
      </c>
      <c r="W19" t="n">
        <v>246.8</v>
      </c>
      <c r="X19" t="n">
        <v>281.9</v>
      </c>
      <c r="Y19" t="n">
        <v>310.2</v>
      </c>
    </row>
    <row r="20">
      <c r="A20" s="6" t="n">
        <v>2003</v>
      </c>
      <c r="B20" s="7" t="n">
        <v>4.4</v>
      </c>
      <c r="C20" s="7" t="n">
        <v>8.800000000000001</v>
      </c>
      <c r="D20" s="7" t="n">
        <v>11.1</v>
      </c>
      <c r="E20" s="7" t="n">
        <v>13.7</v>
      </c>
      <c r="F20" s="7" t="n">
        <v>14.1</v>
      </c>
      <c r="G20" s="7" t="n">
        <v>14.2</v>
      </c>
      <c r="H20" s="7" t="n">
        <v>14.2</v>
      </c>
      <c r="I20" s="7" t="n">
        <v>14.7</v>
      </c>
      <c r="J20" s="7" t="n">
        <v>20.6</v>
      </c>
      <c r="K20" s="7" t="n">
        <v>20.9</v>
      </c>
      <c r="M20" t="n">
        <v>15</v>
      </c>
      <c r="N20" t="n">
        <v>34.7</v>
      </c>
      <c r="O20" t="n">
        <v>56.7</v>
      </c>
      <c r="P20" t="n">
        <v>72.8</v>
      </c>
      <c r="Q20" t="n">
        <v>94.90000000000001</v>
      </c>
      <c r="R20" t="n">
        <v>112.7</v>
      </c>
      <c r="S20" t="n">
        <v>131.7</v>
      </c>
      <c r="T20" t="n">
        <v>152.1</v>
      </c>
      <c r="U20" t="n">
        <v>181.3</v>
      </c>
      <c r="V20" t="n">
        <v>205.2</v>
      </c>
      <c r="W20" t="n">
        <v>230.9</v>
      </c>
      <c r="X20" t="n">
        <v>267.8</v>
      </c>
      <c r="Y20" t="n">
        <v>298.1</v>
      </c>
    </row>
    <row r="21">
      <c r="A21" s="6" t="n">
        <v>2004</v>
      </c>
      <c r="B21" s="7" t="n">
        <v>3.6</v>
      </c>
      <c r="C21" s="7" t="n">
        <v>4.7</v>
      </c>
      <c r="D21" s="7" t="n">
        <v>5.7</v>
      </c>
      <c r="E21" s="7" t="n">
        <v>6.1</v>
      </c>
      <c r="F21" s="7" t="n">
        <v>6.1</v>
      </c>
      <c r="G21" s="7" t="n">
        <v>6.1</v>
      </c>
      <c r="H21" s="7" t="n">
        <v>6.1</v>
      </c>
      <c r="I21" s="7" t="n">
        <v>6.1</v>
      </c>
      <c r="J21" s="7" t="n">
        <v>6.2</v>
      </c>
      <c r="K21" s="7" t="n">
        <v>6.3</v>
      </c>
      <c r="M21" t="n">
        <v>30</v>
      </c>
      <c r="N21" t="n">
        <v>23.7</v>
      </c>
      <c r="O21" t="n">
        <v>39.3</v>
      </c>
      <c r="P21" t="n">
        <v>50.4</v>
      </c>
      <c r="Q21" t="n">
        <v>65.40000000000001</v>
      </c>
      <c r="R21" t="n">
        <v>77.3</v>
      </c>
      <c r="S21" t="n">
        <v>89.7</v>
      </c>
      <c r="T21" t="n">
        <v>102.9</v>
      </c>
      <c r="U21" t="n">
        <v>121.3</v>
      </c>
      <c r="V21" t="n">
        <v>136.1</v>
      </c>
      <c r="W21" t="n">
        <v>151.8</v>
      </c>
      <c r="X21" t="n">
        <v>173.9</v>
      </c>
      <c r="Y21" t="n">
        <v>191.6</v>
      </c>
    </row>
    <row r="22">
      <c r="A22" s="6" t="n">
        <v>2005</v>
      </c>
      <c r="B22" s="7" t="n"/>
      <c r="C22" s="7" t="n"/>
      <c r="D22" s="7" t="n"/>
      <c r="E22" s="7" t="n"/>
      <c r="F22" s="7" t="n"/>
      <c r="G22" s="7" t="n"/>
      <c r="H22" s="7" t="n"/>
      <c r="I22" s="7" t="n"/>
      <c r="J22" s="7" t="n"/>
      <c r="K22" s="7" t="n"/>
      <c r="M22" t="n">
        <v>60</v>
      </c>
      <c r="N22" t="n">
        <v>14.8</v>
      </c>
      <c r="O22" t="n">
        <v>24.8</v>
      </c>
      <c r="P22" t="n">
        <v>31.9</v>
      </c>
      <c r="Q22" t="n">
        <v>41.7</v>
      </c>
      <c r="R22" t="n">
        <v>49.4</v>
      </c>
      <c r="S22" t="n">
        <v>57.7</v>
      </c>
      <c r="T22" t="n">
        <v>66.40000000000001</v>
      </c>
      <c r="U22" t="n">
        <v>78.8</v>
      </c>
      <c r="V22" t="n">
        <v>88.8</v>
      </c>
      <c r="W22" t="n">
        <v>99.5</v>
      </c>
      <c r="X22" t="n">
        <v>114.6</v>
      </c>
      <c r="Y22" t="n">
        <v>127</v>
      </c>
    </row>
    <row r="23">
      <c r="A23" s="6" t="n">
        <v>2006</v>
      </c>
      <c r="B23" s="7" t="n"/>
      <c r="C23" s="7" t="n">
        <v>0.5</v>
      </c>
      <c r="D23" s="7" t="n">
        <v>0.7</v>
      </c>
      <c r="E23" s="7" t="n">
        <v>0.9</v>
      </c>
      <c r="F23" s="7" t="n">
        <v>1</v>
      </c>
      <c r="G23" s="7" t="n">
        <v>1</v>
      </c>
      <c r="H23" s="7" t="n">
        <v>1</v>
      </c>
      <c r="I23" s="7" t="n">
        <v>1</v>
      </c>
      <c r="J23" s="7" t="n">
        <v>1.1</v>
      </c>
      <c r="K23" s="7" t="n">
        <v>1.2</v>
      </c>
      <c r="M23" t="n">
        <v>120</v>
      </c>
      <c r="N23" t="n">
        <v>8.6</v>
      </c>
      <c r="O23" t="n">
        <v>14.7</v>
      </c>
      <c r="P23" t="n">
        <v>19.3</v>
      </c>
      <c r="Q23" t="n">
        <v>25.8</v>
      </c>
      <c r="R23" t="n">
        <v>31.2</v>
      </c>
      <c r="S23" t="n">
        <v>37.1</v>
      </c>
      <c r="T23" t="n">
        <v>43.5</v>
      </c>
      <c r="U23" t="n">
        <v>53</v>
      </c>
      <c r="V23" t="n">
        <v>61.1</v>
      </c>
      <c r="W23" t="n">
        <v>69.90000000000001</v>
      </c>
      <c r="X23" t="n">
        <v>82.90000000000001</v>
      </c>
      <c r="Y23" t="n">
        <v>93.90000000000001</v>
      </c>
    </row>
    <row r="24">
      <c r="A24" s="6" t="n">
        <v>2007</v>
      </c>
      <c r="B24" s="7" t="n"/>
      <c r="C24" s="7" t="n"/>
      <c r="D24" s="7" t="n"/>
      <c r="E24" s="7" t="n"/>
      <c r="F24" s="7" t="n"/>
      <c r="G24" s="7" t="n"/>
      <c r="H24" s="7" t="n"/>
      <c r="I24" s="7" t="n"/>
      <c r="J24" s="7" t="n"/>
      <c r="K24" s="7" t="n"/>
      <c r="M24" t="n">
        <v>180</v>
      </c>
      <c r="N24" t="n">
        <v>6.2</v>
      </c>
      <c r="O24" t="n">
        <v>10.7</v>
      </c>
      <c r="P24" t="n">
        <v>14.4</v>
      </c>
      <c r="Q24" t="n">
        <v>19.8</v>
      </c>
      <c r="R24" t="n">
        <v>24.4</v>
      </c>
      <c r="S24" t="n">
        <v>29.8</v>
      </c>
      <c r="T24" t="n">
        <v>35.9</v>
      </c>
      <c r="U24" t="n">
        <v>45.3</v>
      </c>
      <c r="V24" t="n">
        <v>53.5</v>
      </c>
      <c r="W24" t="n">
        <v>63</v>
      </c>
      <c r="X24" t="n">
        <v>77.7</v>
      </c>
      <c r="Y24" t="n">
        <v>90.59999999999999</v>
      </c>
    </row>
    <row r="25">
      <c r="A25" s="6" t="n">
        <v>2008</v>
      </c>
      <c r="B25" s="7" t="n"/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  <c r="M25" t="n">
        <v>360</v>
      </c>
      <c r="N25" t="n">
        <v>3.5</v>
      </c>
      <c r="O25" t="n">
        <v>6.3</v>
      </c>
      <c r="P25" t="n">
        <v>8.699999999999999</v>
      </c>
      <c r="Q25" t="n">
        <v>12.4</v>
      </c>
      <c r="R25" t="n">
        <v>15.9</v>
      </c>
      <c r="S25" t="n">
        <v>20</v>
      </c>
      <c r="T25" t="n">
        <v>24.9</v>
      </c>
      <c r="U25" t="n">
        <v>33</v>
      </c>
      <c r="V25" t="n">
        <v>40.5</v>
      </c>
      <c r="W25" t="n">
        <v>49.5</v>
      </c>
      <c r="X25" t="n">
        <v>64.3</v>
      </c>
      <c r="Y25" t="n">
        <v>78.09999999999999</v>
      </c>
    </row>
    <row r="26">
      <c r="A26" s="6" t="n">
        <v>2009</v>
      </c>
      <c r="B26" s="7" t="n"/>
      <c r="C26" s="7" t="n"/>
      <c r="D26" s="7" t="n"/>
      <c r="E26" s="7" t="n"/>
      <c r="F26" s="7" t="n"/>
      <c r="G26" s="7" t="n"/>
      <c r="H26" s="7" t="n"/>
      <c r="I26" s="7" t="n"/>
      <c r="J26" s="7" t="n"/>
      <c r="K26" s="7" t="n"/>
      <c r="M26" t="n">
        <v>720</v>
      </c>
      <c r="N26" t="n">
        <v>2</v>
      </c>
      <c r="O26" t="n">
        <v>3.6</v>
      </c>
      <c r="P26" t="n">
        <v>5.1</v>
      </c>
      <c r="Q26" t="n">
        <v>7.5</v>
      </c>
      <c r="R26" t="n">
        <v>9.699999999999999</v>
      </c>
      <c r="S26" t="n">
        <v>12.5</v>
      </c>
      <c r="T26" t="n">
        <v>15.8</v>
      </c>
      <c r="U26" t="n">
        <v>21.5</v>
      </c>
      <c r="V26" t="n">
        <v>27</v>
      </c>
      <c r="W26" t="n">
        <v>33.8</v>
      </c>
      <c r="X26" t="n">
        <v>45.2</v>
      </c>
      <c r="Y26" t="n">
        <v>56.2</v>
      </c>
    </row>
    <row r="27">
      <c r="A27" s="6" t="n">
        <v>2010</v>
      </c>
      <c r="B27" s="7" t="n"/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  <c r="M27" t="n">
        <v>1440</v>
      </c>
      <c r="N27" t="n">
        <v>1.3</v>
      </c>
      <c r="O27" t="n">
        <v>2.4</v>
      </c>
      <c r="P27" t="n">
        <v>3.3</v>
      </c>
      <c r="Q27" t="n">
        <v>4.8</v>
      </c>
      <c r="R27" t="n">
        <v>6.3</v>
      </c>
      <c r="S27" t="n">
        <v>8</v>
      </c>
      <c r="T27" t="n">
        <v>10.1</v>
      </c>
      <c r="U27" t="n">
        <v>13.6</v>
      </c>
      <c r="V27" t="n">
        <v>16.9</v>
      </c>
      <c r="W27" t="n">
        <v>21</v>
      </c>
      <c r="X27" t="n">
        <v>27.7</v>
      </c>
      <c r="Y27" t="n">
        <v>34.1</v>
      </c>
    </row>
    <row r="28">
      <c r="A28" s="6" t="n">
        <v>2011</v>
      </c>
      <c r="B28" s="7" t="n"/>
      <c r="C28" s="7" t="n"/>
      <c r="D28" s="7" t="n"/>
      <c r="E28" s="7" t="n"/>
      <c r="F28" s="7" t="n"/>
      <c r="G28" s="7" t="n"/>
      <c r="H28" s="7" t="n"/>
      <c r="I28" s="7" t="n"/>
      <c r="J28" s="7" t="n"/>
      <c r="K28" s="7" t="n"/>
    </row>
    <row r="29">
      <c r="A29" s="6" t="n">
        <v>2012</v>
      </c>
      <c r="B29" s="7" t="n"/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</row>
    <row r="30">
      <c r="A30" s="6" t="n">
        <v>2013</v>
      </c>
      <c r="B30" s="7" t="n"/>
      <c r="C30" s="7" t="n"/>
      <c r="D30" s="7" t="n"/>
      <c r="E30" s="7" t="n"/>
      <c r="F30" s="7" t="n">
        <v>34.2</v>
      </c>
      <c r="G30" s="7" t="n">
        <v>42.3</v>
      </c>
      <c r="H30" s="7" t="n">
        <v>50.4</v>
      </c>
      <c r="I30" s="7" t="n">
        <v>63.6</v>
      </c>
      <c r="J30" s="7" t="n">
        <v>65.59999999999999</v>
      </c>
      <c r="K30" s="7" t="n">
        <v>66.7</v>
      </c>
    </row>
    <row r="31">
      <c r="A31" s="6" t="n">
        <v>2014</v>
      </c>
      <c r="B31" s="7" t="n"/>
      <c r="C31" s="7" t="n"/>
      <c r="D31" s="7" t="n"/>
      <c r="E31" s="7" t="n"/>
      <c r="F31" s="7" t="n">
        <v>20</v>
      </c>
      <c r="G31" s="7" t="n">
        <v>23.4</v>
      </c>
      <c r="H31" s="7" t="n">
        <v>23.4</v>
      </c>
      <c r="I31" s="7" t="n">
        <v>26.4</v>
      </c>
      <c r="J31" s="7" t="n">
        <v>30.8</v>
      </c>
      <c r="K31" s="7" t="n">
        <v>32.8</v>
      </c>
    </row>
    <row r="32">
      <c r="A32" s="6" t="n">
        <v>2015</v>
      </c>
      <c r="B32" s="7" t="n">
        <v>7.2</v>
      </c>
      <c r="C32" s="7" t="n">
        <v>7.7</v>
      </c>
      <c r="D32" s="7" t="n">
        <v>9.800000000000001</v>
      </c>
      <c r="E32" s="7" t="n">
        <v>13</v>
      </c>
      <c r="F32" s="7" t="n">
        <v>15.5</v>
      </c>
      <c r="G32" s="7" t="n">
        <v>15.8</v>
      </c>
      <c r="H32" s="7" t="n">
        <v>16</v>
      </c>
      <c r="I32" s="7" t="n">
        <v>21.9</v>
      </c>
      <c r="J32" s="7" t="n">
        <v>22.8</v>
      </c>
      <c r="K32" s="7" t="n">
        <v>24</v>
      </c>
    </row>
    <row r="33">
      <c r="A33" s="6" t="n">
        <v>2016</v>
      </c>
      <c r="B33" s="7" t="n">
        <v>10.2</v>
      </c>
      <c r="C33" s="7" t="n">
        <v>16.2</v>
      </c>
      <c r="D33" s="7" t="n">
        <v>21.4</v>
      </c>
      <c r="E33" s="7" t="n">
        <v>27</v>
      </c>
      <c r="F33" s="7" t="n">
        <v>27.6</v>
      </c>
      <c r="G33" s="7" t="n">
        <v>27.6</v>
      </c>
      <c r="H33" s="7" t="n">
        <v>27.7</v>
      </c>
      <c r="I33" s="7" t="n">
        <v>27.7</v>
      </c>
      <c r="J33" s="7" t="n">
        <v>27.9</v>
      </c>
      <c r="K33" s="7" t="n">
        <v>28.2</v>
      </c>
    </row>
    <row r="36">
      <c r="A36" s="2" t="inlineStr">
        <is>
          <t>AMS AFTER gap filling (mm)  -  yellow = added or changed by gap filling</t>
        </is>
      </c>
    </row>
    <row r="37">
      <c r="A37" s="4" t="inlineStr">
        <is>
          <t>Water year</t>
        </is>
      </c>
      <c r="B37" s="5" t="inlineStr">
        <is>
          <t>5min</t>
        </is>
      </c>
      <c r="C37" s="5" t="inlineStr">
        <is>
          <t>10min</t>
        </is>
      </c>
      <c r="D37" s="5" t="inlineStr">
        <is>
          <t>15min</t>
        </is>
      </c>
      <c r="E37" s="5" t="inlineStr">
        <is>
          <t>30min</t>
        </is>
      </c>
      <c r="F37" s="5" t="inlineStr">
        <is>
          <t>1h</t>
        </is>
      </c>
      <c r="G37" s="5" t="inlineStr">
        <is>
          <t>2h</t>
        </is>
      </c>
      <c r="H37" s="5" t="inlineStr">
        <is>
          <t>3h</t>
        </is>
      </c>
      <c r="I37" s="5" t="inlineStr">
        <is>
          <t>6h</t>
        </is>
      </c>
      <c r="J37" s="5" t="inlineStr">
        <is>
          <t>12h</t>
        </is>
      </c>
      <c r="K37" s="5" t="inlineStr">
        <is>
          <t>24h</t>
        </is>
      </c>
    </row>
    <row r="38">
      <c r="A38" s="6" t="n">
        <v>1987</v>
      </c>
      <c r="B38" s="7" t="n"/>
      <c r="C38" s="7" t="n"/>
      <c r="D38" s="7" t="n"/>
      <c r="E38" s="7" t="n"/>
      <c r="F38" s="7" t="n"/>
      <c r="G38" s="7" t="n"/>
      <c r="H38" s="7" t="n"/>
      <c r="I38" s="7" t="n"/>
      <c r="J38" s="7" t="n"/>
      <c r="K38" s="7" t="n">
        <v>24</v>
      </c>
    </row>
    <row r="39">
      <c r="A39" s="6" t="n">
        <v>1988</v>
      </c>
      <c r="B39" s="7" t="n"/>
      <c r="C39" s="7" t="n"/>
      <c r="D39" s="7" t="n"/>
      <c r="E39" s="7" t="n"/>
      <c r="F39" s="7" t="n"/>
      <c r="G39" s="7" t="n"/>
      <c r="H39" s="7" t="n"/>
      <c r="I39" s="7" t="n"/>
      <c r="J39" s="7" t="n"/>
      <c r="K39" s="7" t="n">
        <v>23</v>
      </c>
    </row>
    <row r="40">
      <c r="A40" s="6" t="n">
        <v>1989</v>
      </c>
      <c r="B40" s="7" t="n"/>
      <c r="C40" s="7" t="n"/>
      <c r="D40" s="7" t="n"/>
      <c r="E40" s="7" t="n"/>
      <c r="F40" s="7" t="n"/>
      <c r="G40" s="7" t="n"/>
      <c r="H40" s="7" t="n"/>
      <c r="I40" s="7" t="n"/>
      <c r="J40" s="7" t="n"/>
      <c r="K40" s="7" t="n">
        <v>26.5</v>
      </c>
    </row>
    <row r="41">
      <c r="A41" s="6" t="n">
        <v>1990</v>
      </c>
      <c r="B41" s="7" t="n"/>
      <c r="C41" s="7" t="n"/>
      <c r="D41" s="7" t="n"/>
      <c r="E41" s="7" t="n"/>
      <c r="F41" s="7" t="n"/>
      <c r="G41" s="7" t="n"/>
      <c r="H41" s="7" t="n"/>
      <c r="I41" s="7" t="n"/>
      <c r="J41" s="7" t="n"/>
      <c r="K41" s="8" t="n">
        <v>15.7</v>
      </c>
    </row>
    <row r="42">
      <c r="A42" s="6" t="n">
        <v>1991</v>
      </c>
      <c r="B42" s="7" t="n"/>
      <c r="C42" s="7" t="n"/>
      <c r="D42" s="7" t="n"/>
      <c r="E42" s="7" t="n"/>
      <c r="F42" s="7" t="n"/>
      <c r="G42" s="7" t="n"/>
      <c r="H42" s="7" t="n"/>
      <c r="I42" s="7" t="n"/>
      <c r="J42" s="7" t="n"/>
      <c r="K42" s="8" t="n">
        <v>7.1</v>
      </c>
    </row>
    <row r="43">
      <c r="A43" s="6" t="n">
        <v>1992</v>
      </c>
      <c r="B43" s="7" t="n"/>
      <c r="C43" s="7" t="n"/>
      <c r="D43" s="7" t="n"/>
      <c r="E43" s="7" t="n"/>
      <c r="F43" s="7" t="n"/>
      <c r="G43" s="7" t="n"/>
      <c r="H43" s="7" t="n"/>
      <c r="I43" s="7" t="n"/>
      <c r="J43" s="7" t="n"/>
      <c r="K43" s="7" t="n">
        <v>29.5</v>
      </c>
    </row>
    <row r="44">
      <c r="A44" s="6" t="n">
        <v>1993</v>
      </c>
      <c r="B44" s="7" t="n"/>
      <c r="C44" s="7" t="n"/>
      <c r="D44" s="7" t="n"/>
      <c r="E44" s="7" t="n"/>
      <c r="F44" s="7" t="n">
        <v>5</v>
      </c>
      <c r="G44" s="7" t="n">
        <v>7</v>
      </c>
      <c r="H44" s="7" t="n">
        <v>10</v>
      </c>
      <c r="I44" s="7" t="n">
        <v>10.4</v>
      </c>
      <c r="J44" s="7" t="n">
        <v>11.3</v>
      </c>
      <c r="K44" s="7" t="n">
        <v>13.1</v>
      </c>
    </row>
    <row r="45">
      <c r="A45" s="6" t="n">
        <v>1994</v>
      </c>
      <c r="B45" s="7" t="n"/>
      <c r="C45" s="7" t="n"/>
      <c r="D45" s="7" t="n"/>
      <c r="E45" s="7" t="n"/>
      <c r="F45" s="7" t="n">
        <v>6.5</v>
      </c>
      <c r="G45" s="7" t="n">
        <v>6.8</v>
      </c>
      <c r="H45" s="7" t="n">
        <v>7</v>
      </c>
      <c r="I45" s="7" t="n">
        <v>9.1</v>
      </c>
      <c r="J45" s="7" t="n">
        <v>9.4</v>
      </c>
      <c r="K45" s="7" t="n">
        <v>9.699999999999999</v>
      </c>
    </row>
    <row r="46">
      <c r="A46" s="6" t="n">
        <v>1995</v>
      </c>
      <c r="B46" s="8" t="n">
        <v>1.3</v>
      </c>
      <c r="C46" s="8" t="n">
        <v>2.5</v>
      </c>
      <c r="D46" s="8" t="n">
        <v>3.4</v>
      </c>
      <c r="E46" s="8" t="n">
        <v>5.3</v>
      </c>
      <c r="F46" s="8" t="n">
        <v>6</v>
      </c>
      <c r="G46" s="8" t="n">
        <v>10.2</v>
      </c>
      <c r="H46" s="8" t="n">
        <v>14</v>
      </c>
      <c r="I46" s="8" t="n">
        <v>24.7</v>
      </c>
      <c r="J46" s="8" t="n">
        <v>47.6</v>
      </c>
      <c r="K46" s="8" t="n">
        <v>85.90000000000001</v>
      </c>
    </row>
    <row r="47">
      <c r="A47" s="6" t="n">
        <v>1996</v>
      </c>
      <c r="B47" s="8" t="n">
        <v>1.4</v>
      </c>
      <c r="C47" s="8" t="n">
        <v>2.5</v>
      </c>
      <c r="D47" s="8" t="n">
        <v>3.3</v>
      </c>
      <c r="E47" s="8" t="n">
        <v>5.5</v>
      </c>
      <c r="F47" s="8" t="n">
        <v>7</v>
      </c>
      <c r="G47" s="8" t="n">
        <v>9.300000000000001</v>
      </c>
      <c r="H47" s="8" t="n">
        <v>12.5</v>
      </c>
      <c r="I47" s="8" t="n">
        <v>18.3</v>
      </c>
      <c r="J47" s="8" t="n">
        <v>30.4</v>
      </c>
      <c r="K47" s="8" t="n">
        <v>49.1</v>
      </c>
    </row>
    <row r="48">
      <c r="A48" s="6" t="n">
        <v>1997</v>
      </c>
      <c r="B48" s="7" t="n"/>
      <c r="C48" s="7" t="n"/>
      <c r="D48" s="7" t="n"/>
      <c r="E48" s="7" t="n"/>
      <c r="F48" s="7" t="n"/>
      <c r="G48" s="7" t="n"/>
      <c r="H48" s="7" t="n"/>
      <c r="I48" s="7" t="n"/>
      <c r="J48" s="7" t="n"/>
      <c r="K48" s="8" t="n">
        <v>72.3</v>
      </c>
    </row>
    <row r="49">
      <c r="A49" s="6" t="n">
        <v>1998</v>
      </c>
      <c r="B49" s="7" t="n">
        <v>2.5</v>
      </c>
      <c r="C49" s="7" t="n">
        <v>5</v>
      </c>
      <c r="D49" s="7" t="n">
        <v>5.2</v>
      </c>
      <c r="E49" s="7" t="n">
        <v>5.4</v>
      </c>
      <c r="F49" s="7" t="n">
        <v>6.3</v>
      </c>
      <c r="G49" s="7" t="n">
        <v>6.5</v>
      </c>
      <c r="H49" s="7" t="n">
        <v>6.5</v>
      </c>
      <c r="I49" s="8" t="n">
        <v>12.2</v>
      </c>
      <c r="J49" s="8" t="n">
        <v>24.2</v>
      </c>
      <c r="K49" s="8" t="n">
        <v>48.4</v>
      </c>
    </row>
    <row r="50">
      <c r="A50" s="6" t="n">
        <v>1999</v>
      </c>
      <c r="B50" s="7" t="n">
        <v>0.5</v>
      </c>
      <c r="C50" s="7" t="n">
        <v>0.8</v>
      </c>
      <c r="D50" s="7" t="n">
        <v>1</v>
      </c>
      <c r="E50" s="7" t="n">
        <v>1.8</v>
      </c>
      <c r="F50" s="7" t="n">
        <v>3.3</v>
      </c>
      <c r="G50" s="7" t="n">
        <v>6</v>
      </c>
      <c r="H50" s="7" t="n">
        <v>8.5</v>
      </c>
      <c r="I50" s="7" t="n">
        <v>13</v>
      </c>
      <c r="J50" s="7" t="n">
        <v>13.3</v>
      </c>
      <c r="K50" s="8" t="n">
        <v>18.1</v>
      </c>
    </row>
    <row r="51">
      <c r="A51" s="6" t="n">
        <v>2001</v>
      </c>
      <c r="B51" s="8" t="n">
        <v>2</v>
      </c>
      <c r="C51" s="8" t="n">
        <v>3.9</v>
      </c>
      <c r="D51" s="8" t="n">
        <v>4.7</v>
      </c>
      <c r="E51" s="8" t="n">
        <v>5.6</v>
      </c>
      <c r="F51" s="7" t="n">
        <v>7.4</v>
      </c>
      <c r="G51" s="7" t="n">
        <v>14.2</v>
      </c>
      <c r="H51" s="7" t="n">
        <v>20</v>
      </c>
      <c r="I51" s="7" t="n">
        <v>27.4</v>
      </c>
      <c r="J51" s="7" t="n">
        <v>27.6</v>
      </c>
      <c r="K51" s="7" t="n">
        <v>32.1</v>
      </c>
    </row>
    <row r="52">
      <c r="A52" s="6" t="n">
        <v>2002</v>
      </c>
      <c r="B52" s="7" t="n"/>
      <c r="C52" s="7" t="n"/>
      <c r="D52" s="7" t="n"/>
      <c r="E52" s="8" t="n">
        <v>4.8</v>
      </c>
      <c r="F52" s="8" t="n">
        <v>7</v>
      </c>
      <c r="G52" s="8" t="n">
        <v>9.199999999999999</v>
      </c>
      <c r="H52" s="8" t="n">
        <v>10.7</v>
      </c>
      <c r="I52" s="8" t="n">
        <v>12.9</v>
      </c>
      <c r="J52" s="8" t="n">
        <v>12.9</v>
      </c>
      <c r="K52" s="8" t="n">
        <v>12.9</v>
      </c>
    </row>
    <row r="53">
      <c r="A53" s="6" t="n">
        <v>2003</v>
      </c>
      <c r="B53" s="7" t="n">
        <v>4.4</v>
      </c>
      <c r="C53" s="7" t="n">
        <v>8.800000000000001</v>
      </c>
      <c r="D53" s="7" t="n">
        <v>11.1</v>
      </c>
      <c r="E53" s="7" t="n">
        <v>13.7</v>
      </c>
      <c r="F53" s="8" t="n">
        <v>20.7</v>
      </c>
      <c r="G53" s="8" t="n">
        <v>22.9</v>
      </c>
      <c r="H53" s="8" t="n">
        <v>22.9</v>
      </c>
      <c r="I53" s="8" t="n">
        <v>23</v>
      </c>
      <c r="J53" s="8" t="n">
        <v>23</v>
      </c>
      <c r="K53" s="8" t="n">
        <v>23.1</v>
      </c>
    </row>
    <row r="54">
      <c r="A54" s="6" t="n">
        <v>2004</v>
      </c>
      <c r="B54" s="7" t="n">
        <v>3.6</v>
      </c>
      <c r="C54" s="7" t="n">
        <v>4.7</v>
      </c>
      <c r="D54" s="7" t="n">
        <v>5.7</v>
      </c>
      <c r="E54" s="7" t="n">
        <v>6.1</v>
      </c>
      <c r="F54" s="7" t="n">
        <v>6.1</v>
      </c>
      <c r="G54" s="7" t="n">
        <v>6.1</v>
      </c>
      <c r="H54" s="7" t="n">
        <v>6.1</v>
      </c>
      <c r="I54" s="7" t="n">
        <v>6.1</v>
      </c>
      <c r="J54" s="7" t="n">
        <v>6.2</v>
      </c>
      <c r="K54" s="7" t="n">
        <v>6.3</v>
      </c>
    </row>
    <row r="55">
      <c r="A55" s="6" t="n">
        <v>2005</v>
      </c>
      <c r="B55" s="8" t="n">
        <v>0.8</v>
      </c>
      <c r="C55" s="8" t="n">
        <v>1.5</v>
      </c>
      <c r="D55" s="8" t="n">
        <v>2</v>
      </c>
      <c r="E55" s="8" t="n">
        <v>3.3</v>
      </c>
      <c r="F55" s="8" t="n">
        <v>5.4</v>
      </c>
      <c r="G55" s="8" t="n">
        <v>7.8</v>
      </c>
      <c r="H55" s="8" t="n">
        <v>7.9</v>
      </c>
      <c r="I55" s="8" t="n">
        <v>11.2</v>
      </c>
      <c r="J55" s="8" t="n">
        <v>22</v>
      </c>
      <c r="K55" s="8" t="n">
        <v>43.4</v>
      </c>
    </row>
    <row r="56">
      <c r="A56" s="6" t="n">
        <v>2006</v>
      </c>
      <c r="B56" s="8" t="n">
        <v>4.6</v>
      </c>
      <c r="C56" s="8" t="n">
        <v>7.7</v>
      </c>
      <c r="D56" s="8" t="n">
        <v>10.4</v>
      </c>
      <c r="E56" s="8" t="n">
        <v>15.3</v>
      </c>
      <c r="F56" s="8" t="n">
        <v>20.1</v>
      </c>
      <c r="G56" s="8" t="n">
        <v>24.1</v>
      </c>
      <c r="H56" s="8" t="n">
        <v>24.4</v>
      </c>
      <c r="I56" s="8" t="n">
        <v>24.6</v>
      </c>
      <c r="J56" s="8" t="n">
        <v>28.1</v>
      </c>
      <c r="K56" s="8" t="n">
        <v>35.5</v>
      </c>
    </row>
    <row r="57">
      <c r="A57" s="6" t="n">
        <v>2007</v>
      </c>
      <c r="B57" s="8" t="n">
        <v>4.2</v>
      </c>
      <c r="C57" s="8" t="n">
        <v>6.3</v>
      </c>
      <c r="D57" s="8" t="n">
        <v>8.4</v>
      </c>
      <c r="E57" s="8" t="n">
        <v>15.2</v>
      </c>
      <c r="F57" s="8" t="n">
        <v>24.3</v>
      </c>
      <c r="G57" s="8" t="n">
        <v>33.1</v>
      </c>
      <c r="H57" s="8" t="n">
        <v>38.2</v>
      </c>
      <c r="I57" s="8" t="n">
        <v>46.9</v>
      </c>
      <c r="J57" s="8" t="n">
        <v>57.1</v>
      </c>
      <c r="K57" s="8" t="n">
        <v>65.09999999999999</v>
      </c>
    </row>
    <row r="58">
      <c r="A58" s="6" t="n">
        <v>2008</v>
      </c>
      <c r="B58" s="7" t="n"/>
      <c r="C58" s="7" t="n"/>
      <c r="D58" s="7" t="n"/>
      <c r="E58" s="8" t="n">
        <v>0.7</v>
      </c>
      <c r="F58" s="8" t="n">
        <v>1.1</v>
      </c>
      <c r="G58" s="8" t="n">
        <v>1.5</v>
      </c>
      <c r="H58" s="8" t="n">
        <v>2.1</v>
      </c>
      <c r="I58" s="8" t="n">
        <v>3.6</v>
      </c>
      <c r="J58" s="8" t="n">
        <v>5.5</v>
      </c>
      <c r="K58" s="8" t="n">
        <v>7.4</v>
      </c>
    </row>
    <row r="59">
      <c r="A59" s="6" t="n">
        <v>2009</v>
      </c>
      <c r="B59" s="8" t="n">
        <v>3.4</v>
      </c>
      <c r="C59" s="8" t="n">
        <v>5.1</v>
      </c>
      <c r="D59" s="8" t="n">
        <v>6.5</v>
      </c>
      <c r="E59" s="8" t="n">
        <v>9.300000000000001</v>
      </c>
      <c r="F59" s="8" t="n">
        <v>11.7</v>
      </c>
      <c r="G59" s="8" t="n">
        <v>12.4</v>
      </c>
      <c r="H59" s="8" t="n">
        <v>12.9</v>
      </c>
      <c r="I59" s="8" t="n">
        <v>14.3</v>
      </c>
      <c r="J59" s="8" t="n">
        <v>17.8</v>
      </c>
      <c r="K59" s="8" t="n">
        <v>25.5</v>
      </c>
    </row>
    <row r="60">
      <c r="A60" s="6" t="n">
        <v>2010</v>
      </c>
      <c r="B60" s="8" t="n">
        <v>2.6</v>
      </c>
      <c r="C60" s="8" t="n">
        <v>4.8</v>
      </c>
      <c r="D60" s="8" t="n">
        <v>5.6</v>
      </c>
      <c r="E60" s="8" t="n">
        <v>6.1</v>
      </c>
      <c r="F60" s="8" t="n">
        <v>7.4</v>
      </c>
      <c r="G60" s="8" t="n">
        <v>11.8</v>
      </c>
      <c r="H60" s="8" t="n">
        <v>14</v>
      </c>
      <c r="I60" s="8" t="n">
        <v>20.1</v>
      </c>
      <c r="J60" s="8" t="n">
        <v>20.9</v>
      </c>
      <c r="K60" s="8" t="n">
        <v>31.4</v>
      </c>
    </row>
    <row r="61">
      <c r="A61" s="6" t="n">
        <v>2011</v>
      </c>
      <c r="B61" s="8" t="n">
        <v>0.7</v>
      </c>
      <c r="C61" s="8" t="n">
        <v>1.3</v>
      </c>
      <c r="D61" s="8" t="n">
        <v>1.8</v>
      </c>
      <c r="E61" s="8" t="n">
        <v>2.6</v>
      </c>
      <c r="F61" s="8" t="n">
        <v>4</v>
      </c>
      <c r="G61" s="8" t="n">
        <v>4.5</v>
      </c>
      <c r="H61" s="8" t="n">
        <v>4.5</v>
      </c>
      <c r="I61" s="8" t="n">
        <v>4.5</v>
      </c>
      <c r="J61" s="8" t="n">
        <v>4.6</v>
      </c>
      <c r="K61" s="8" t="n">
        <v>5.8</v>
      </c>
    </row>
    <row r="62">
      <c r="A62" s="6" t="n">
        <v>2012</v>
      </c>
      <c r="B62" s="8" t="n">
        <v>4.3</v>
      </c>
      <c r="C62" s="8" t="n">
        <v>6.9</v>
      </c>
      <c r="D62" s="8" t="n">
        <v>8.6</v>
      </c>
      <c r="E62" s="8" t="n">
        <v>13.6</v>
      </c>
      <c r="F62" s="8" t="n">
        <v>15.5</v>
      </c>
      <c r="G62" s="8" t="n">
        <v>17.3</v>
      </c>
      <c r="H62" s="8" t="n">
        <v>20.7</v>
      </c>
      <c r="I62" s="8" t="n">
        <v>23.4</v>
      </c>
      <c r="J62" s="8" t="n">
        <v>23.6</v>
      </c>
      <c r="K62" s="8" t="n">
        <v>24.6</v>
      </c>
    </row>
    <row r="63">
      <c r="A63" s="6" t="n">
        <v>2013</v>
      </c>
      <c r="B63" s="7" t="n"/>
      <c r="C63" s="7" t="n"/>
      <c r="D63" s="7" t="n"/>
      <c r="E63" s="7" t="n"/>
      <c r="F63" s="7" t="n">
        <v>34.2</v>
      </c>
      <c r="G63" s="7" t="n">
        <v>42.3</v>
      </c>
      <c r="H63" s="7" t="n">
        <v>50.4</v>
      </c>
      <c r="I63" s="7" t="n">
        <v>63.6</v>
      </c>
      <c r="J63" s="7" t="n">
        <v>65.59999999999999</v>
      </c>
      <c r="K63" s="7" t="n">
        <v>66.7</v>
      </c>
    </row>
    <row r="64">
      <c r="A64" s="6" t="n">
        <v>2014</v>
      </c>
      <c r="B64" s="7" t="n"/>
      <c r="C64" s="7" t="n"/>
      <c r="D64" s="7" t="n"/>
      <c r="E64" s="7" t="n"/>
      <c r="F64" s="7" t="n">
        <v>20</v>
      </c>
      <c r="G64" s="7" t="n">
        <v>23.4</v>
      </c>
      <c r="H64" s="7" t="n">
        <v>23.4</v>
      </c>
      <c r="I64" s="7" t="n">
        <v>26.4</v>
      </c>
      <c r="J64" s="7" t="n">
        <v>30.8</v>
      </c>
      <c r="K64" s="7" t="n">
        <v>32.8</v>
      </c>
    </row>
    <row r="65">
      <c r="A65" s="6" t="n">
        <v>2015</v>
      </c>
      <c r="B65" s="7" t="n">
        <v>7.2</v>
      </c>
      <c r="C65" s="7" t="n">
        <v>7.7</v>
      </c>
      <c r="D65" s="7" t="n">
        <v>9.800000000000001</v>
      </c>
      <c r="E65" s="7" t="n">
        <v>13</v>
      </c>
      <c r="F65" s="7" t="n">
        <v>15.5</v>
      </c>
      <c r="G65" s="7" t="n">
        <v>15.8</v>
      </c>
      <c r="H65" s="7" t="n">
        <v>16</v>
      </c>
      <c r="I65" s="7" t="n">
        <v>21.9</v>
      </c>
      <c r="J65" s="7" t="n">
        <v>22.8</v>
      </c>
      <c r="K65" s="7" t="n">
        <v>24</v>
      </c>
    </row>
    <row r="66">
      <c r="A66" s="6" t="n">
        <v>2016</v>
      </c>
      <c r="B66" s="7" t="n">
        <v>10.2</v>
      </c>
      <c r="C66" s="7" t="n">
        <v>16.2</v>
      </c>
      <c r="D66" s="7" t="n">
        <v>21.4</v>
      </c>
      <c r="E66" s="7" t="n">
        <v>27</v>
      </c>
      <c r="F66" s="7" t="n">
        <v>27.6</v>
      </c>
      <c r="G66" s="7" t="n">
        <v>27.6</v>
      </c>
      <c r="H66" s="7" t="n">
        <v>27.7</v>
      </c>
      <c r="I66" s="7" t="n">
        <v>27.7</v>
      </c>
      <c r="J66" s="7" t="n">
        <v>27.9</v>
      </c>
      <c r="K66" s="7" t="n">
        <v>28.2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90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</cols>
  <sheetData>
    <row r="1">
      <c r="A1" s="1" t="inlineStr">
        <is>
          <t>Gauge 30  |  FL585627AF  |  Al Hajir at Al Hajir Health Center</t>
        </is>
      </c>
    </row>
    <row r="3">
      <c r="A3" s="2" t="inlineStr">
        <is>
          <t>AMS BEFORE gap filling (observed only, mm)</t>
        </is>
      </c>
      <c r="M3" s="3" t="inlineStr">
        <is>
          <t>IDF - design rainfall DEPTH (mm)</t>
        </is>
      </c>
    </row>
    <row r="4">
      <c r="A4" s="4" t="inlineStr">
        <is>
          <t>Water year</t>
        </is>
      </c>
      <c r="B4" s="5" t="inlineStr">
        <is>
          <t>5min</t>
        </is>
      </c>
      <c r="C4" s="5" t="inlineStr">
        <is>
          <t>10min</t>
        </is>
      </c>
      <c r="D4" s="5" t="inlineStr">
        <is>
          <t>15min</t>
        </is>
      </c>
      <c r="E4" s="5" t="inlineStr">
        <is>
          <t>30min</t>
        </is>
      </c>
      <c r="F4" s="5" t="inlineStr">
        <is>
          <t>1h</t>
        </is>
      </c>
      <c r="G4" s="5" t="inlineStr">
        <is>
          <t>2h</t>
        </is>
      </c>
      <c r="H4" s="5" t="inlineStr">
        <is>
          <t>3h</t>
        </is>
      </c>
      <c r="I4" s="5" t="inlineStr">
        <is>
          <t>6h</t>
        </is>
      </c>
      <c r="J4" s="5" t="inlineStr">
        <is>
          <t>12h</t>
        </is>
      </c>
      <c r="K4" s="5" t="inlineStr">
        <is>
          <t>24h</t>
        </is>
      </c>
      <c r="M4" s="4" t="inlineStr">
        <is>
          <t>Duration \ RP</t>
        </is>
      </c>
      <c r="N4" s="4" t="n">
        <v>2</v>
      </c>
      <c r="O4" s="4" t="n">
        <v>5</v>
      </c>
      <c r="P4" s="4" t="n">
        <v>10</v>
      </c>
      <c r="Q4" s="4" t="n">
        <v>25</v>
      </c>
      <c r="R4" s="4" t="n">
        <v>50</v>
      </c>
      <c r="S4" s="4" t="n">
        <v>100</v>
      </c>
      <c r="T4" s="4" t="n">
        <v>200</v>
      </c>
      <c r="U4" s="4" t="n">
        <v>500</v>
      </c>
      <c r="V4" s="4" t="n">
        <v>1000</v>
      </c>
      <c r="W4" s="4" t="n">
        <v>2000</v>
      </c>
      <c r="X4" s="4" t="n">
        <v>5000</v>
      </c>
      <c r="Y4" s="4" t="n">
        <v>10000</v>
      </c>
    </row>
    <row r="5">
      <c r="A5" s="6" t="n">
        <v>1978</v>
      </c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>
        <v>1.8</v>
      </c>
      <c r="M5" s="6" t="inlineStr">
        <is>
          <t>5min</t>
        </is>
      </c>
      <c r="N5" s="6" t="n">
        <v>4.4</v>
      </c>
      <c r="O5" s="6" t="n">
        <v>6.9</v>
      </c>
      <c r="P5" s="6" t="n">
        <v>8.699999999999999</v>
      </c>
      <c r="Q5" s="6" t="n">
        <v>11.1</v>
      </c>
      <c r="R5" s="6" t="n">
        <v>12.9</v>
      </c>
      <c r="S5" s="6" t="n">
        <v>14.8</v>
      </c>
      <c r="T5" s="6" t="n">
        <v>16.8</v>
      </c>
      <c r="U5" s="6" t="n">
        <v>19.5</v>
      </c>
      <c r="V5" s="6" t="n">
        <v>21.6</v>
      </c>
      <c r="W5" s="6" t="n">
        <v>23.9</v>
      </c>
      <c r="X5" s="6" t="n">
        <v>26.9</v>
      </c>
      <c r="Y5" s="6" t="n">
        <v>29.4</v>
      </c>
    </row>
    <row r="6">
      <c r="A6" s="6" t="n">
        <v>1980</v>
      </c>
      <c r="B6" s="7" t="n"/>
      <c r="C6" s="7" t="n"/>
      <c r="D6" s="7" t="n"/>
      <c r="E6" s="7" t="n"/>
      <c r="F6" s="7" t="n"/>
      <c r="G6" s="7" t="n"/>
      <c r="H6" s="7" t="n"/>
      <c r="I6" s="7" t="n"/>
      <c r="J6" s="7" t="n"/>
      <c r="K6" s="7" t="n">
        <v>29</v>
      </c>
      <c r="M6" s="6" t="inlineStr">
        <is>
          <t>10min</t>
        </is>
      </c>
      <c r="N6" s="6" t="n">
        <v>7</v>
      </c>
      <c r="O6" s="6" t="n">
        <v>11.2</v>
      </c>
      <c r="P6" s="6" t="n">
        <v>14.1</v>
      </c>
      <c r="Q6" s="6" t="n">
        <v>18.1</v>
      </c>
      <c r="R6" s="6" t="n">
        <v>21.3</v>
      </c>
      <c r="S6" s="6" t="n">
        <v>24.6</v>
      </c>
      <c r="T6" s="6" t="n">
        <v>28.1</v>
      </c>
      <c r="U6" s="6" t="n">
        <v>33</v>
      </c>
      <c r="V6" s="6" t="n">
        <v>37</v>
      </c>
      <c r="W6" s="6" t="n">
        <v>41.1</v>
      </c>
      <c r="X6" s="6" t="n">
        <v>47</v>
      </c>
      <c r="Y6" s="6" t="n">
        <v>51.7</v>
      </c>
    </row>
    <row r="7">
      <c r="A7" s="6" t="n">
        <v>1981</v>
      </c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>
        <v>102.4</v>
      </c>
      <c r="M7" s="6" t="inlineStr">
        <is>
          <t>15min</t>
        </is>
      </c>
      <c r="N7" s="6" t="n">
        <v>8.699999999999999</v>
      </c>
      <c r="O7" s="6" t="n">
        <v>14.2</v>
      </c>
      <c r="P7" s="6" t="n">
        <v>18.2</v>
      </c>
      <c r="Q7" s="6" t="n">
        <v>23.7</v>
      </c>
      <c r="R7" s="6" t="n">
        <v>28.2</v>
      </c>
      <c r="S7" s="6" t="n">
        <v>32.9</v>
      </c>
      <c r="T7" s="6" t="n">
        <v>38</v>
      </c>
      <c r="U7" s="6" t="n">
        <v>45.3</v>
      </c>
      <c r="V7" s="6" t="n">
        <v>51.3</v>
      </c>
      <c r="W7" s="6" t="n">
        <v>57.7</v>
      </c>
      <c r="X7" s="6" t="n">
        <v>66.90000000000001</v>
      </c>
      <c r="Y7" s="6" t="n">
        <v>74.5</v>
      </c>
    </row>
    <row r="8">
      <c r="A8" s="6" t="n">
        <v>1982</v>
      </c>
      <c r="B8" s="7" t="n"/>
      <c r="C8" s="7" t="n"/>
      <c r="D8" s="7" t="n"/>
      <c r="E8" s="7" t="n"/>
      <c r="F8" s="7" t="n"/>
      <c r="G8" s="7" t="n"/>
      <c r="H8" s="7" t="n"/>
      <c r="I8" s="7" t="n"/>
      <c r="J8" s="7" t="n"/>
      <c r="K8" s="7" t="n">
        <v>60</v>
      </c>
      <c r="M8" s="6" t="inlineStr">
        <is>
          <t>30min</t>
        </is>
      </c>
      <c r="N8" s="6" t="n">
        <v>11.8</v>
      </c>
      <c r="O8" s="6" t="n">
        <v>19.6</v>
      </c>
      <c r="P8" s="6" t="n">
        <v>25.2</v>
      </c>
      <c r="Q8" s="6" t="n">
        <v>32.7</v>
      </c>
      <c r="R8" s="6" t="n">
        <v>38.6</v>
      </c>
      <c r="S8" s="6" t="n">
        <v>44.9</v>
      </c>
      <c r="T8" s="6" t="n">
        <v>51.4</v>
      </c>
      <c r="U8" s="6" t="n">
        <v>60.6</v>
      </c>
      <c r="V8" s="6" t="n">
        <v>68.09999999999999</v>
      </c>
      <c r="W8" s="6" t="n">
        <v>75.90000000000001</v>
      </c>
      <c r="X8" s="6" t="n">
        <v>86.90000000000001</v>
      </c>
      <c r="Y8" s="6" t="n">
        <v>95.8</v>
      </c>
    </row>
    <row r="9">
      <c r="A9" s="6" t="n">
        <v>1983</v>
      </c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>
        <v>30</v>
      </c>
      <c r="M9" s="6" t="inlineStr">
        <is>
          <t>1h</t>
        </is>
      </c>
      <c r="N9" s="6" t="n">
        <v>14.8</v>
      </c>
      <c r="O9" s="6" t="n">
        <v>24.8</v>
      </c>
      <c r="P9" s="6" t="n">
        <v>31.9</v>
      </c>
      <c r="Q9" s="6" t="n">
        <v>41.7</v>
      </c>
      <c r="R9" s="6" t="n">
        <v>49.4</v>
      </c>
      <c r="S9" s="6" t="n">
        <v>57.7</v>
      </c>
      <c r="T9" s="6" t="n">
        <v>66.40000000000001</v>
      </c>
      <c r="U9" s="6" t="n">
        <v>78.8</v>
      </c>
      <c r="V9" s="6" t="n">
        <v>88.8</v>
      </c>
      <c r="W9" s="6" t="n">
        <v>99.5</v>
      </c>
      <c r="X9" s="6" t="n">
        <v>114.6</v>
      </c>
      <c r="Y9" s="6" t="n">
        <v>127</v>
      </c>
    </row>
    <row r="10">
      <c r="A10" s="6" t="n">
        <v>1984</v>
      </c>
      <c r="B10" s="7" t="n"/>
      <c r="C10" s="7" t="n"/>
      <c r="D10" s="7" t="n"/>
      <c r="E10" s="7" t="n"/>
      <c r="F10" s="7" t="n"/>
      <c r="G10" s="7" t="n"/>
      <c r="H10" s="7" t="n"/>
      <c r="I10" s="7" t="n"/>
      <c r="J10" s="7" t="n"/>
      <c r="K10" s="7" t="n">
        <v>39.4</v>
      </c>
      <c r="M10" s="6" t="inlineStr">
        <is>
          <t>2h</t>
        </is>
      </c>
      <c r="N10" s="6" t="n">
        <v>17.2</v>
      </c>
      <c r="O10" s="6" t="n">
        <v>29.4</v>
      </c>
      <c r="P10" s="6" t="n">
        <v>38.5</v>
      </c>
      <c r="Q10" s="6" t="n">
        <v>51.5</v>
      </c>
      <c r="R10" s="6" t="n">
        <v>62.3</v>
      </c>
      <c r="S10" s="6" t="n">
        <v>74.09999999999999</v>
      </c>
      <c r="T10" s="6" t="n">
        <v>87</v>
      </c>
      <c r="U10" s="6" t="n">
        <v>106.1</v>
      </c>
      <c r="V10" s="6" t="n">
        <v>122.1</v>
      </c>
      <c r="W10" s="6" t="n">
        <v>139.8</v>
      </c>
      <c r="X10" s="6" t="n">
        <v>165.9</v>
      </c>
      <c r="Y10" s="6" t="n">
        <v>187.9</v>
      </c>
    </row>
    <row r="11">
      <c r="A11" s="6" t="n">
        <v>1985</v>
      </c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>
        <v>30</v>
      </c>
      <c r="M11" s="6" t="inlineStr">
        <is>
          <t>3h</t>
        </is>
      </c>
      <c r="N11" s="6" t="n">
        <v>18.5</v>
      </c>
      <c r="O11" s="6" t="n">
        <v>32.2</v>
      </c>
      <c r="P11" s="6" t="n">
        <v>43.1</v>
      </c>
      <c r="Q11" s="6" t="n">
        <v>59.3</v>
      </c>
      <c r="R11" s="6" t="n">
        <v>73.3</v>
      </c>
      <c r="S11" s="6" t="n">
        <v>89.3</v>
      </c>
      <c r="T11" s="6" t="n">
        <v>107.6</v>
      </c>
      <c r="U11" s="6" t="n">
        <v>135.8</v>
      </c>
      <c r="V11" s="6" t="n">
        <v>160.6</v>
      </c>
      <c r="W11" s="6" t="n">
        <v>189.1</v>
      </c>
      <c r="X11" s="6" t="n">
        <v>233</v>
      </c>
      <c r="Y11" s="6" t="n">
        <v>271.8</v>
      </c>
    </row>
    <row r="12">
      <c r="A12" s="6" t="n">
        <v>1986</v>
      </c>
      <c r="B12" s="7" t="n"/>
      <c r="C12" s="7" t="n"/>
      <c r="D12" s="7" t="n"/>
      <c r="E12" s="7" t="n"/>
      <c r="F12" s="7" t="n"/>
      <c r="G12" s="7" t="n"/>
      <c r="H12" s="7" t="n"/>
      <c r="I12" s="7" t="n"/>
      <c r="J12" s="7" t="n"/>
      <c r="K12" s="7" t="n">
        <v>14</v>
      </c>
      <c r="M12" s="6" t="inlineStr">
        <is>
          <t>6h</t>
        </is>
      </c>
      <c r="N12" s="6" t="n">
        <v>21.1</v>
      </c>
      <c r="O12" s="6" t="n">
        <v>37.9</v>
      </c>
      <c r="P12" s="6" t="n">
        <v>52.1</v>
      </c>
      <c r="Q12" s="6" t="n">
        <v>74.59999999999999</v>
      </c>
      <c r="R12" s="6" t="n">
        <v>95.3</v>
      </c>
      <c r="S12" s="6" t="n">
        <v>120</v>
      </c>
      <c r="T12" s="6" t="n">
        <v>149.6</v>
      </c>
      <c r="U12" s="6" t="n">
        <v>197.9</v>
      </c>
      <c r="V12" s="6" t="n">
        <v>243</v>
      </c>
      <c r="W12" s="6" t="n">
        <v>297.2</v>
      </c>
      <c r="X12" s="6" t="n">
        <v>385.7</v>
      </c>
      <c r="Y12" s="6" t="n">
        <v>468.4</v>
      </c>
    </row>
    <row r="13">
      <c r="A13" s="6" t="n">
        <v>1987</v>
      </c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>
        <v>60</v>
      </c>
      <c r="M13" s="6" t="inlineStr">
        <is>
          <t>12h</t>
        </is>
      </c>
      <c r="N13" s="6" t="n">
        <v>24</v>
      </c>
      <c r="O13" s="6" t="n">
        <v>43.8</v>
      </c>
      <c r="P13" s="6" t="n">
        <v>61.1</v>
      </c>
      <c r="Q13" s="6" t="n">
        <v>89.5</v>
      </c>
      <c r="R13" s="6" t="n">
        <v>116.4</v>
      </c>
      <c r="S13" s="6" t="n">
        <v>149.4</v>
      </c>
      <c r="T13" s="6" t="n">
        <v>190</v>
      </c>
      <c r="U13" s="6" t="n">
        <v>258.5</v>
      </c>
      <c r="V13" s="6" t="n">
        <v>324.4</v>
      </c>
      <c r="W13" s="6" t="n">
        <v>405.5</v>
      </c>
      <c r="X13" s="6" t="n">
        <v>542.4</v>
      </c>
      <c r="Y13" s="6" t="n">
        <v>674.3</v>
      </c>
    </row>
    <row r="14">
      <c r="A14" s="6" t="n">
        <v>1988</v>
      </c>
      <c r="B14" s="7" t="n"/>
      <c r="C14" s="7" t="n"/>
      <c r="D14" s="7" t="n"/>
      <c r="E14" s="7" t="n"/>
      <c r="F14" s="7" t="n"/>
      <c r="G14" s="7" t="n"/>
      <c r="H14" s="7" t="n"/>
      <c r="I14" s="7" t="n"/>
      <c r="J14" s="7" t="n"/>
      <c r="K14" s="7" t="n">
        <v>24</v>
      </c>
      <c r="M14" s="6" t="inlineStr">
        <is>
          <t>24h</t>
        </is>
      </c>
      <c r="N14" s="6" t="n">
        <v>30.6</v>
      </c>
      <c r="O14" s="6" t="n">
        <v>56.9</v>
      </c>
      <c r="P14" s="6" t="n">
        <v>79.59999999999999</v>
      </c>
      <c r="Q14" s="6" t="n">
        <v>116.3</v>
      </c>
      <c r="R14" s="6" t="n">
        <v>150.6</v>
      </c>
      <c r="S14" s="6" t="n">
        <v>192.1</v>
      </c>
      <c r="T14" s="6" t="n">
        <v>242.6</v>
      </c>
      <c r="U14" s="6" t="n">
        <v>326.5</v>
      </c>
      <c r="V14" s="6" t="n">
        <v>406.1</v>
      </c>
      <c r="W14" s="6" t="n">
        <v>503</v>
      </c>
      <c r="X14" s="6" t="n">
        <v>664.2</v>
      </c>
      <c r="Y14" s="6" t="n">
        <v>817.3</v>
      </c>
    </row>
    <row r="15">
      <c r="A15" s="6" t="n">
        <v>1989</v>
      </c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>
        <v>17</v>
      </c>
    </row>
    <row r="16">
      <c r="A16" s="6" t="n">
        <v>1990</v>
      </c>
      <c r="B16" s="7" t="n"/>
      <c r="C16" s="7" t="n"/>
      <c r="D16" s="7" t="n"/>
      <c r="E16" s="7" t="n"/>
      <c r="F16" s="7" t="n"/>
      <c r="G16" s="7" t="n"/>
      <c r="H16" s="7" t="n"/>
      <c r="I16" s="7" t="n"/>
      <c r="J16" s="7" t="n"/>
      <c r="K16" s="7" t="n">
        <v>15.5</v>
      </c>
      <c r="M16" s="3" t="inlineStr">
        <is>
          <t>IDF - intensity (mm/hr) [x=duration(min)]</t>
        </is>
      </c>
    </row>
    <row r="17">
      <c r="A17" s="6" t="n">
        <v>1991</v>
      </c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>
        <v>4.2</v>
      </c>
      <c r="M17" t="inlineStr">
        <is>
          <t>Duration(min)</t>
        </is>
      </c>
      <c r="N17" t="inlineStr">
        <is>
          <t>2 yr</t>
        </is>
      </c>
      <c r="O17" t="inlineStr">
        <is>
          <t>5 yr</t>
        </is>
      </c>
      <c r="P17" t="inlineStr">
        <is>
          <t>10 yr</t>
        </is>
      </c>
      <c r="Q17" t="inlineStr">
        <is>
          <t>25 yr</t>
        </is>
      </c>
      <c r="R17" t="inlineStr">
        <is>
          <t>50 yr</t>
        </is>
      </c>
      <c r="S17" t="inlineStr">
        <is>
          <t>100 yr</t>
        </is>
      </c>
      <c r="T17" t="inlineStr">
        <is>
          <t>200 yr</t>
        </is>
      </c>
      <c r="U17" t="inlineStr">
        <is>
          <t>500 yr</t>
        </is>
      </c>
      <c r="V17" t="inlineStr">
        <is>
          <t>1000 yr</t>
        </is>
      </c>
      <c r="W17" t="inlineStr">
        <is>
          <t>2000 yr</t>
        </is>
      </c>
      <c r="X17" t="inlineStr">
        <is>
          <t>5000 yr</t>
        </is>
      </c>
      <c r="Y17" t="inlineStr">
        <is>
          <t>10000 yr</t>
        </is>
      </c>
    </row>
    <row r="18">
      <c r="A18" s="6" t="n">
        <v>1992</v>
      </c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  <c r="K18" s="7" t="n">
        <v>40</v>
      </c>
      <c r="M18" t="n">
        <v>5</v>
      </c>
      <c r="N18" t="n">
        <v>52.5</v>
      </c>
      <c r="O18" t="n">
        <v>83.2</v>
      </c>
      <c r="P18" t="n">
        <v>104.6</v>
      </c>
      <c r="Q18" t="n">
        <v>133</v>
      </c>
      <c r="R18" t="n">
        <v>155</v>
      </c>
      <c r="S18" t="n">
        <v>177.8</v>
      </c>
      <c r="T18" t="n">
        <v>201.3</v>
      </c>
      <c r="U18" t="n">
        <v>233.9</v>
      </c>
      <c r="V18" t="n">
        <v>259.6</v>
      </c>
      <c r="W18" t="n">
        <v>286.3</v>
      </c>
      <c r="X18" t="n">
        <v>323.3</v>
      </c>
      <c r="Y18" t="n">
        <v>352.5</v>
      </c>
    </row>
    <row r="19">
      <c r="A19" s="6" t="n">
        <v>1993</v>
      </c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>
        <v>11</v>
      </c>
      <c r="M19" t="n">
        <v>10</v>
      </c>
      <c r="N19" t="n">
        <v>41.9</v>
      </c>
      <c r="O19" t="n">
        <v>66.90000000000001</v>
      </c>
      <c r="P19" t="n">
        <v>84.7</v>
      </c>
      <c r="Q19" t="n">
        <v>108.8</v>
      </c>
      <c r="R19" t="n">
        <v>127.8</v>
      </c>
      <c r="S19" t="n">
        <v>147.8</v>
      </c>
      <c r="T19" t="n">
        <v>168.7</v>
      </c>
      <c r="U19" t="n">
        <v>198.2</v>
      </c>
      <c r="V19" t="n">
        <v>221.8</v>
      </c>
      <c r="W19" t="n">
        <v>246.8</v>
      </c>
      <c r="X19" t="n">
        <v>281.9</v>
      </c>
      <c r="Y19" t="n">
        <v>310.2</v>
      </c>
    </row>
    <row r="20">
      <c r="A20" s="6" t="n">
        <v>1994</v>
      </c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>
        <v>15</v>
      </c>
      <c r="M20" t="n">
        <v>15</v>
      </c>
      <c r="N20" t="n">
        <v>34.7</v>
      </c>
      <c r="O20" t="n">
        <v>56.7</v>
      </c>
      <c r="P20" t="n">
        <v>72.8</v>
      </c>
      <c r="Q20" t="n">
        <v>94.90000000000001</v>
      </c>
      <c r="R20" t="n">
        <v>112.7</v>
      </c>
      <c r="S20" t="n">
        <v>131.7</v>
      </c>
      <c r="T20" t="n">
        <v>152.1</v>
      </c>
      <c r="U20" t="n">
        <v>181.3</v>
      </c>
      <c r="V20" t="n">
        <v>205.2</v>
      </c>
      <c r="W20" t="n">
        <v>230.9</v>
      </c>
      <c r="X20" t="n">
        <v>267.8</v>
      </c>
      <c r="Y20" t="n">
        <v>298.1</v>
      </c>
    </row>
    <row r="21">
      <c r="A21" s="6" t="n">
        <v>1995</v>
      </c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>
        <v>86</v>
      </c>
      <c r="M21" t="n">
        <v>30</v>
      </c>
      <c r="N21" t="n">
        <v>23.7</v>
      </c>
      <c r="O21" t="n">
        <v>39.3</v>
      </c>
      <c r="P21" t="n">
        <v>50.4</v>
      </c>
      <c r="Q21" t="n">
        <v>65.40000000000001</v>
      </c>
      <c r="R21" t="n">
        <v>77.3</v>
      </c>
      <c r="S21" t="n">
        <v>89.7</v>
      </c>
      <c r="T21" t="n">
        <v>102.9</v>
      </c>
      <c r="U21" t="n">
        <v>121.3</v>
      </c>
      <c r="V21" t="n">
        <v>136.1</v>
      </c>
      <c r="W21" t="n">
        <v>151.8</v>
      </c>
      <c r="X21" t="n">
        <v>173.9</v>
      </c>
      <c r="Y21" t="n">
        <v>191.6</v>
      </c>
    </row>
    <row r="22">
      <c r="A22" s="6" t="n">
        <v>1996</v>
      </c>
      <c r="B22" s="7" t="n"/>
      <c r="C22" s="7" t="n"/>
      <c r="D22" s="7" t="n"/>
      <c r="E22" s="7" t="n"/>
      <c r="F22" s="7" t="n"/>
      <c r="G22" s="7" t="n"/>
      <c r="H22" s="7" t="n"/>
      <c r="I22" s="7" t="n"/>
      <c r="J22" s="7" t="n"/>
      <c r="K22" s="7" t="n">
        <v>36</v>
      </c>
      <c r="M22" t="n">
        <v>60</v>
      </c>
      <c r="N22" t="n">
        <v>14.8</v>
      </c>
      <c r="O22" t="n">
        <v>24.8</v>
      </c>
      <c r="P22" t="n">
        <v>31.9</v>
      </c>
      <c r="Q22" t="n">
        <v>41.7</v>
      </c>
      <c r="R22" t="n">
        <v>49.4</v>
      </c>
      <c r="S22" t="n">
        <v>57.7</v>
      </c>
      <c r="T22" t="n">
        <v>66.40000000000001</v>
      </c>
      <c r="U22" t="n">
        <v>78.8</v>
      </c>
      <c r="V22" t="n">
        <v>88.8</v>
      </c>
      <c r="W22" t="n">
        <v>99.5</v>
      </c>
      <c r="X22" t="n">
        <v>114.6</v>
      </c>
      <c r="Y22" t="n">
        <v>127</v>
      </c>
    </row>
    <row r="23">
      <c r="A23" s="6" t="n">
        <v>1997</v>
      </c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  <c r="K23" s="7" t="n">
        <v>46</v>
      </c>
      <c r="M23" t="n">
        <v>120</v>
      </c>
      <c r="N23" t="n">
        <v>8.6</v>
      </c>
      <c r="O23" t="n">
        <v>14.7</v>
      </c>
      <c r="P23" t="n">
        <v>19.3</v>
      </c>
      <c r="Q23" t="n">
        <v>25.8</v>
      </c>
      <c r="R23" t="n">
        <v>31.2</v>
      </c>
      <c r="S23" t="n">
        <v>37.1</v>
      </c>
      <c r="T23" t="n">
        <v>43.5</v>
      </c>
      <c r="U23" t="n">
        <v>53</v>
      </c>
      <c r="V23" t="n">
        <v>61.1</v>
      </c>
      <c r="W23" t="n">
        <v>69.90000000000001</v>
      </c>
      <c r="X23" t="n">
        <v>82.90000000000001</v>
      </c>
      <c r="Y23" t="n">
        <v>93.90000000000001</v>
      </c>
    </row>
    <row r="24">
      <c r="A24" s="6" t="n">
        <v>1998</v>
      </c>
      <c r="B24" s="7" t="n"/>
      <c r="C24" s="7" t="n"/>
      <c r="D24" s="7" t="n"/>
      <c r="E24" s="7" t="n"/>
      <c r="F24" s="7" t="n"/>
      <c r="G24" s="7" t="n"/>
      <c r="H24" s="7" t="n"/>
      <c r="I24" s="7" t="n"/>
      <c r="J24" s="7" t="n"/>
      <c r="K24" s="7" t="n">
        <v>60</v>
      </c>
      <c r="M24" t="n">
        <v>180</v>
      </c>
      <c r="N24" t="n">
        <v>6.2</v>
      </c>
      <c r="O24" t="n">
        <v>10.7</v>
      </c>
      <c r="P24" t="n">
        <v>14.4</v>
      </c>
      <c r="Q24" t="n">
        <v>19.8</v>
      </c>
      <c r="R24" t="n">
        <v>24.4</v>
      </c>
      <c r="S24" t="n">
        <v>29.8</v>
      </c>
      <c r="T24" t="n">
        <v>35.9</v>
      </c>
      <c r="U24" t="n">
        <v>45.3</v>
      </c>
      <c r="V24" t="n">
        <v>53.5</v>
      </c>
      <c r="W24" t="n">
        <v>63</v>
      </c>
      <c r="X24" t="n">
        <v>77.7</v>
      </c>
      <c r="Y24" t="n">
        <v>90.59999999999999</v>
      </c>
    </row>
    <row r="25">
      <c r="A25" s="6" t="n">
        <v>1999</v>
      </c>
      <c r="B25" s="7" t="n"/>
      <c r="C25" s="7" t="n"/>
      <c r="D25" s="7" t="n"/>
      <c r="E25" s="7" t="n"/>
      <c r="F25" s="7" t="n"/>
      <c r="G25" s="7" t="n"/>
      <c r="H25" s="7" t="n"/>
      <c r="I25" s="7" t="n"/>
      <c r="J25" s="7" t="n"/>
      <c r="K25" s="7" t="n">
        <v>45</v>
      </c>
      <c r="M25" t="n">
        <v>360</v>
      </c>
      <c r="N25" t="n">
        <v>3.5</v>
      </c>
      <c r="O25" t="n">
        <v>6.3</v>
      </c>
      <c r="P25" t="n">
        <v>8.699999999999999</v>
      </c>
      <c r="Q25" t="n">
        <v>12.4</v>
      </c>
      <c r="R25" t="n">
        <v>15.9</v>
      </c>
      <c r="S25" t="n">
        <v>20</v>
      </c>
      <c r="T25" t="n">
        <v>24.9</v>
      </c>
      <c r="U25" t="n">
        <v>33</v>
      </c>
      <c r="V25" t="n">
        <v>40.5</v>
      </c>
      <c r="W25" t="n">
        <v>49.5</v>
      </c>
      <c r="X25" t="n">
        <v>64.3</v>
      </c>
      <c r="Y25" t="n">
        <v>78.09999999999999</v>
      </c>
    </row>
    <row r="26">
      <c r="A26" s="6" t="n">
        <v>2001</v>
      </c>
      <c r="B26" s="7" t="n"/>
      <c r="C26" s="7" t="n"/>
      <c r="D26" s="7" t="n"/>
      <c r="E26" s="7" t="n"/>
      <c r="F26" s="7" t="n"/>
      <c r="G26" s="7" t="n"/>
      <c r="H26" s="7" t="n"/>
      <c r="I26" s="7" t="n"/>
      <c r="J26" s="7" t="n"/>
      <c r="K26" s="7" t="n">
        <v>35</v>
      </c>
      <c r="M26" t="n">
        <v>720</v>
      </c>
      <c r="N26" t="n">
        <v>2</v>
      </c>
      <c r="O26" t="n">
        <v>3.6</v>
      </c>
      <c r="P26" t="n">
        <v>5.1</v>
      </c>
      <c r="Q26" t="n">
        <v>7.5</v>
      </c>
      <c r="R26" t="n">
        <v>9.699999999999999</v>
      </c>
      <c r="S26" t="n">
        <v>12.5</v>
      </c>
      <c r="T26" t="n">
        <v>15.8</v>
      </c>
      <c r="U26" t="n">
        <v>21.5</v>
      </c>
      <c r="V26" t="n">
        <v>27</v>
      </c>
      <c r="W26" t="n">
        <v>33.8</v>
      </c>
      <c r="X26" t="n">
        <v>45.2</v>
      </c>
      <c r="Y26" t="n">
        <v>56.2</v>
      </c>
    </row>
    <row r="27">
      <c r="A27" s="6" t="n">
        <v>2002</v>
      </c>
      <c r="B27" s="7" t="n"/>
      <c r="C27" s="7" t="n"/>
      <c r="D27" s="7" t="n"/>
      <c r="E27" s="7" t="n"/>
      <c r="F27" s="7" t="n"/>
      <c r="G27" s="7" t="n"/>
      <c r="H27" s="7" t="n"/>
      <c r="I27" s="7" t="n"/>
      <c r="J27" s="7" t="n"/>
      <c r="K27" s="7" t="n">
        <v>2</v>
      </c>
      <c r="M27" t="n">
        <v>1440</v>
      </c>
      <c r="N27" t="n">
        <v>1.3</v>
      </c>
      <c r="O27" t="n">
        <v>2.4</v>
      </c>
      <c r="P27" t="n">
        <v>3.3</v>
      </c>
      <c r="Q27" t="n">
        <v>4.8</v>
      </c>
      <c r="R27" t="n">
        <v>6.3</v>
      </c>
      <c r="S27" t="n">
        <v>8</v>
      </c>
      <c r="T27" t="n">
        <v>10.1</v>
      </c>
      <c r="U27" t="n">
        <v>13.6</v>
      </c>
      <c r="V27" t="n">
        <v>16.9</v>
      </c>
      <c r="W27" t="n">
        <v>21</v>
      </c>
      <c r="X27" t="n">
        <v>27.7</v>
      </c>
      <c r="Y27" t="n">
        <v>34.1</v>
      </c>
    </row>
    <row r="28">
      <c r="A28" s="6" t="n">
        <v>2003</v>
      </c>
      <c r="B28" s="7" t="n"/>
      <c r="C28" s="7" t="n"/>
      <c r="D28" s="7" t="n"/>
      <c r="E28" s="7" t="n"/>
      <c r="F28" s="7" t="n"/>
      <c r="G28" s="7" t="n"/>
      <c r="H28" s="7" t="n"/>
      <c r="I28" s="7" t="n"/>
      <c r="J28" s="7" t="n"/>
      <c r="K28" s="7" t="n">
        <v>15</v>
      </c>
    </row>
    <row r="29">
      <c r="A29" s="6" t="n">
        <v>2004</v>
      </c>
      <c r="B29" s="7" t="n"/>
      <c r="C29" s="7" t="n"/>
      <c r="D29" s="7" t="n"/>
      <c r="E29" s="7" t="n"/>
      <c r="F29" s="7" t="n"/>
      <c r="G29" s="7" t="n"/>
      <c r="H29" s="7" t="n"/>
      <c r="I29" s="7" t="n"/>
      <c r="J29" s="7" t="n"/>
      <c r="K29" s="7" t="n">
        <v>18</v>
      </c>
    </row>
    <row r="30">
      <c r="A30" s="6" t="n">
        <v>2005</v>
      </c>
      <c r="B30" s="7" t="n"/>
      <c r="C30" s="7" t="n"/>
      <c r="D30" s="7" t="n"/>
      <c r="E30" s="7" t="n"/>
      <c r="F30" s="7" t="n"/>
      <c r="G30" s="7" t="n"/>
      <c r="H30" s="7" t="n"/>
      <c r="I30" s="7" t="n"/>
      <c r="J30" s="7" t="n"/>
      <c r="K30" s="7" t="n">
        <v>52</v>
      </c>
    </row>
    <row r="31">
      <c r="A31" s="6" t="n">
        <v>2006</v>
      </c>
      <c r="B31" s="7" t="n"/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</row>
    <row r="32">
      <c r="A32" s="6" t="n">
        <v>2007</v>
      </c>
      <c r="B32" s="7" t="n"/>
      <c r="C32" s="7" t="n"/>
      <c r="D32" s="7" t="n"/>
      <c r="E32" s="7" t="n"/>
      <c r="F32" s="7" t="n"/>
      <c r="G32" s="7" t="n"/>
      <c r="H32" s="7" t="n"/>
      <c r="I32" s="7" t="n"/>
      <c r="J32" s="7" t="n"/>
      <c r="K32" s="7" t="n">
        <v>35</v>
      </c>
    </row>
    <row r="33">
      <c r="A33" s="6" t="n">
        <v>2008</v>
      </c>
      <c r="B33" s="7" t="n"/>
      <c r="C33" s="7" t="n"/>
      <c r="D33" s="7" t="n"/>
      <c r="E33" s="7" t="n"/>
      <c r="F33" s="7" t="n"/>
      <c r="G33" s="7" t="n"/>
      <c r="H33" s="7" t="n"/>
      <c r="I33" s="7" t="n"/>
      <c r="J33" s="7" t="n"/>
      <c r="K33" s="7" t="n"/>
    </row>
    <row r="34">
      <c r="A34" s="6" t="n">
        <v>2009</v>
      </c>
      <c r="B34" s="7" t="n"/>
      <c r="C34" s="7" t="n"/>
      <c r="D34" s="7" t="n"/>
      <c r="E34" s="7" t="n"/>
      <c r="F34" s="7" t="n"/>
      <c r="G34" s="7" t="n"/>
      <c r="H34" s="7" t="n"/>
      <c r="I34" s="7" t="n"/>
      <c r="J34" s="7" t="n"/>
      <c r="K34" s="7" t="n"/>
    </row>
    <row r="35">
      <c r="A35" s="6" t="n">
        <v>2010</v>
      </c>
      <c r="B35" s="7" t="n"/>
      <c r="C35" s="7" t="n"/>
      <c r="D35" s="7" t="n"/>
      <c r="E35" s="7" t="n"/>
      <c r="F35" s="7" t="n"/>
      <c r="G35" s="7" t="n"/>
      <c r="H35" s="7" t="n"/>
      <c r="I35" s="7" t="n"/>
      <c r="J35" s="7" t="n"/>
      <c r="K35" s="7" t="n"/>
    </row>
    <row r="36">
      <c r="A36" s="6" t="n">
        <v>2011</v>
      </c>
      <c r="B36" s="7" t="n"/>
      <c r="C36" s="7" t="n"/>
      <c r="D36" s="7" t="n"/>
      <c r="E36" s="7" t="n"/>
      <c r="F36" s="7" t="n"/>
      <c r="G36" s="7" t="n"/>
      <c r="H36" s="7" t="n"/>
      <c r="I36" s="7" t="n"/>
      <c r="J36" s="7" t="n"/>
      <c r="K36" s="7" t="n"/>
    </row>
    <row r="37">
      <c r="A37" s="6" t="n">
        <v>2012</v>
      </c>
      <c r="B37" s="7" t="n"/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</row>
    <row r="38">
      <c r="A38" s="6" t="n">
        <v>2013</v>
      </c>
      <c r="B38" s="7" t="n"/>
      <c r="C38" s="7" t="n"/>
      <c r="D38" s="7" t="n"/>
      <c r="E38" s="7" t="n"/>
      <c r="F38" s="7" t="n"/>
      <c r="G38" s="7" t="n"/>
      <c r="H38" s="7" t="n"/>
      <c r="I38" s="7" t="n"/>
      <c r="J38" s="7" t="n"/>
      <c r="K38" s="7" t="n"/>
    </row>
    <row r="39">
      <c r="A39" s="6" t="n">
        <v>2014</v>
      </c>
      <c r="B39" s="7" t="n"/>
      <c r="C39" s="7" t="n"/>
      <c r="D39" s="7" t="n"/>
      <c r="E39" s="7" t="n"/>
      <c r="F39" s="7" t="n"/>
      <c r="G39" s="7" t="n"/>
      <c r="H39" s="7" t="n"/>
      <c r="I39" s="7" t="n"/>
      <c r="J39" s="7" t="n"/>
      <c r="K39" s="7" t="n"/>
    </row>
    <row r="40">
      <c r="A40" s="6" t="n">
        <v>2015</v>
      </c>
      <c r="B40" s="7" t="n"/>
      <c r="C40" s="7" t="n"/>
      <c r="D40" s="7" t="n"/>
      <c r="E40" s="7" t="n"/>
      <c r="F40" s="7" t="n"/>
      <c r="G40" s="7" t="n"/>
      <c r="H40" s="7" t="n"/>
      <c r="I40" s="7" t="n"/>
      <c r="J40" s="7" t="n"/>
      <c r="K40" s="7" t="n"/>
    </row>
    <row r="41">
      <c r="A41" s="6" t="n">
        <v>2016</v>
      </c>
      <c r="B41" s="7" t="n"/>
      <c r="C41" s="7" t="n"/>
      <c r="D41" s="7" t="n"/>
      <c r="E41" s="7" t="n"/>
      <c r="F41" s="7" t="n"/>
      <c r="G41" s="7" t="n"/>
      <c r="H41" s="7" t="n"/>
      <c r="I41" s="7" t="n"/>
      <c r="J41" s="7" t="n"/>
      <c r="K41" s="7" t="n"/>
    </row>
    <row r="42">
      <c r="A42" s="6" t="n">
        <v>2017</v>
      </c>
      <c r="B42" s="7" t="n">
        <v>4.4</v>
      </c>
      <c r="C42" s="7" t="n">
        <v>4.8</v>
      </c>
      <c r="D42" s="7" t="n">
        <v>6.2</v>
      </c>
      <c r="E42" s="7" t="n">
        <v>8.800000000000001</v>
      </c>
      <c r="F42" s="7" t="n">
        <v>10.4</v>
      </c>
      <c r="G42" s="7" t="n">
        <v>14</v>
      </c>
      <c r="H42" s="7" t="n">
        <v>14.8</v>
      </c>
      <c r="I42" s="7" t="n">
        <v>14.8</v>
      </c>
      <c r="J42" s="7" t="n">
        <v>15.2</v>
      </c>
      <c r="K42" s="7" t="n">
        <v>15.2</v>
      </c>
    </row>
    <row r="43">
      <c r="A43" s="6" t="n">
        <v>2018</v>
      </c>
      <c r="B43" s="7" t="n">
        <v>3.6</v>
      </c>
      <c r="C43" s="7" t="n">
        <v>5.6</v>
      </c>
      <c r="D43" s="7" t="n">
        <v>6.2</v>
      </c>
      <c r="E43" s="7" t="n">
        <v>7.8</v>
      </c>
      <c r="F43" s="7" t="n">
        <v>13.1</v>
      </c>
      <c r="G43" s="7" t="n">
        <v>15.4</v>
      </c>
      <c r="H43" s="7" t="n">
        <v>21.3</v>
      </c>
      <c r="I43" s="7" t="n">
        <v>24.2</v>
      </c>
      <c r="J43" s="7" t="n">
        <v>24.2</v>
      </c>
      <c r="K43" s="7" t="n">
        <v>24.6</v>
      </c>
    </row>
    <row r="44">
      <c r="A44" s="6" t="n">
        <v>2019</v>
      </c>
      <c r="B44" s="7" t="n">
        <v>4.8</v>
      </c>
      <c r="C44" s="7" t="n">
        <v>8</v>
      </c>
      <c r="D44" s="7" t="n">
        <v>10</v>
      </c>
      <c r="E44" s="7" t="n">
        <v>12.2</v>
      </c>
      <c r="F44" s="7" t="n">
        <v>15.3</v>
      </c>
      <c r="G44" s="7" t="n">
        <v>18.2</v>
      </c>
      <c r="H44" s="7" t="n">
        <v>21.8</v>
      </c>
      <c r="I44" s="7" t="n">
        <v>25.8</v>
      </c>
      <c r="J44" s="7" t="n">
        <v>26.2</v>
      </c>
      <c r="K44" s="7" t="n">
        <v>26.8</v>
      </c>
    </row>
    <row r="45">
      <c r="A45" s="6" t="n">
        <v>2020</v>
      </c>
      <c r="B45" s="7" t="n"/>
      <c r="C45" s="7" t="n"/>
      <c r="D45" s="7" t="n">
        <v>4.8</v>
      </c>
      <c r="E45" s="7" t="n">
        <v>6.4</v>
      </c>
      <c r="F45" s="7" t="n">
        <v>10.6</v>
      </c>
      <c r="G45" s="7" t="n">
        <v>11.6</v>
      </c>
      <c r="H45" s="7" t="n">
        <v>11.6</v>
      </c>
      <c r="I45" s="7" t="n">
        <v>14.8</v>
      </c>
      <c r="J45" s="7" t="n">
        <v>14.8</v>
      </c>
      <c r="K45" s="7" t="n">
        <v>26.4</v>
      </c>
    </row>
    <row r="48">
      <c r="A48" s="2" t="inlineStr">
        <is>
          <t>AMS AFTER gap filling (mm)  -  yellow = added or changed by gap filling</t>
        </is>
      </c>
    </row>
    <row r="49">
      <c r="A49" s="4" t="inlineStr">
        <is>
          <t>Water year</t>
        </is>
      </c>
      <c r="B49" s="5" t="inlineStr">
        <is>
          <t>5min</t>
        </is>
      </c>
      <c r="C49" s="5" t="inlineStr">
        <is>
          <t>10min</t>
        </is>
      </c>
      <c r="D49" s="5" t="inlineStr">
        <is>
          <t>15min</t>
        </is>
      </c>
      <c r="E49" s="5" t="inlineStr">
        <is>
          <t>30min</t>
        </is>
      </c>
      <c r="F49" s="5" t="inlineStr">
        <is>
          <t>1h</t>
        </is>
      </c>
      <c r="G49" s="5" t="inlineStr">
        <is>
          <t>2h</t>
        </is>
      </c>
      <c r="H49" s="5" t="inlineStr">
        <is>
          <t>3h</t>
        </is>
      </c>
      <c r="I49" s="5" t="inlineStr">
        <is>
          <t>6h</t>
        </is>
      </c>
      <c r="J49" s="5" t="inlineStr">
        <is>
          <t>12h</t>
        </is>
      </c>
      <c r="K49" s="5" t="inlineStr">
        <is>
          <t>24h</t>
        </is>
      </c>
    </row>
    <row r="50">
      <c r="A50" s="6" t="n">
        <v>1978</v>
      </c>
      <c r="B50" s="7" t="n"/>
      <c r="C50" s="7" t="n"/>
      <c r="D50" s="7" t="n"/>
      <c r="E50" s="7" t="n"/>
      <c r="F50" s="7" t="n"/>
      <c r="G50" s="7" t="n"/>
      <c r="H50" s="7" t="n"/>
      <c r="I50" s="7" t="n"/>
      <c r="J50" s="7" t="n"/>
      <c r="K50" s="7" t="n">
        <v>1.8</v>
      </c>
    </row>
    <row r="51">
      <c r="A51" s="6" t="n">
        <v>1980</v>
      </c>
      <c r="B51" s="7" t="n"/>
      <c r="C51" s="7" t="n"/>
      <c r="D51" s="7" t="n"/>
      <c r="E51" s="7" t="n"/>
      <c r="F51" s="7" t="n"/>
      <c r="G51" s="7" t="n"/>
      <c r="H51" s="7" t="n"/>
      <c r="I51" s="7" t="n"/>
      <c r="J51" s="7" t="n"/>
      <c r="K51" s="7" t="n">
        <v>29</v>
      </c>
    </row>
    <row r="52">
      <c r="A52" s="6" t="n">
        <v>1981</v>
      </c>
      <c r="B52" s="7" t="n"/>
      <c r="C52" s="7" t="n"/>
      <c r="D52" s="7" t="n"/>
      <c r="E52" s="7" t="n"/>
      <c r="F52" s="7" t="n"/>
      <c r="G52" s="7" t="n"/>
      <c r="H52" s="7" t="n"/>
      <c r="I52" s="7" t="n"/>
      <c r="J52" s="7" t="n"/>
      <c r="K52" s="7" t="n">
        <v>102.4</v>
      </c>
    </row>
    <row r="53">
      <c r="A53" s="6" t="n">
        <v>1982</v>
      </c>
      <c r="B53" s="7" t="n"/>
      <c r="C53" s="7" t="n"/>
      <c r="D53" s="7" t="n"/>
      <c r="E53" s="7" t="n"/>
      <c r="F53" s="7" t="n"/>
      <c r="G53" s="7" t="n"/>
      <c r="H53" s="7" t="n"/>
      <c r="I53" s="7" t="n"/>
      <c r="J53" s="7" t="n"/>
      <c r="K53" s="7" t="n">
        <v>60</v>
      </c>
    </row>
    <row r="54">
      <c r="A54" s="6" t="n">
        <v>1983</v>
      </c>
      <c r="B54" s="7" t="n"/>
      <c r="C54" s="7" t="n"/>
      <c r="D54" s="7" t="n"/>
      <c r="E54" s="7" t="n"/>
      <c r="F54" s="7" t="n"/>
      <c r="G54" s="7" t="n"/>
      <c r="H54" s="7" t="n"/>
      <c r="I54" s="7" t="n"/>
      <c r="J54" s="7" t="n"/>
      <c r="K54" s="7" t="n">
        <v>30</v>
      </c>
    </row>
    <row r="55">
      <c r="A55" s="6" t="n">
        <v>1984</v>
      </c>
      <c r="B55" s="7" t="n"/>
      <c r="C55" s="7" t="n"/>
      <c r="D55" s="7" t="n"/>
      <c r="E55" s="7" t="n"/>
      <c r="F55" s="7" t="n"/>
      <c r="G55" s="7" t="n"/>
      <c r="H55" s="7" t="n"/>
      <c r="I55" s="7" t="n"/>
      <c r="J55" s="7" t="n"/>
      <c r="K55" s="7" t="n">
        <v>39.4</v>
      </c>
    </row>
    <row r="56">
      <c r="A56" s="6" t="n">
        <v>1985</v>
      </c>
      <c r="B56" s="7" t="n"/>
      <c r="C56" s="7" t="n"/>
      <c r="D56" s="7" t="n"/>
      <c r="E56" s="7" t="n"/>
      <c r="F56" s="7" t="n"/>
      <c r="G56" s="7" t="n"/>
      <c r="H56" s="7" t="n"/>
      <c r="I56" s="7" t="n"/>
      <c r="J56" s="7" t="n"/>
      <c r="K56" s="7" t="n">
        <v>30</v>
      </c>
    </row>
    <row r="57">
      <c r="A57" s="6" t="n">
        <v>1986</v>
      </c>
      <c r="B57" s="7" t="n"/>
      <c r="C57" s="7" t="n"/>
      <c r="D57" s="7" t="n"/>
      <c r="E57" s="7" t="n"/>
      <c r="F57" s="7" t="n"/>
      <c r="G57" s="7" t="n"/>
      <c r="H57" s="7" t="n"/>
      <c r="I57" s="7" t="n"/>
      <c r="J57" s="7" t="n"/>
      <c r="K57" s="7" t="n">
        <v>14</v>
      </c>
    </row>
    <row r="58">
      <c r="A58" s="6" t="n">
        <v>1987</v>
      </c>
      <c r="B58" s="7" t="n"/>
      <c r="C58" s="7" t="n"/>
      <c r="D58" s="7" t="n"/>
      <c r="E58" s="7" t="n"/>
      <c r="F58" s="7" t="n"/>
      <c r="G58" s="7" t="n"/>
      <c r="H58" s="7" t="n"/>
      <c r="I58" s="7" t="n"/>
      <c r="J58" s="7" t="n"/>
      <c r="K58" s="7" t="n">
        <v>60</v>
      </c>
    </row>
    <row r="59">
      <c r="A59" s="6" t="n">
        <v>1988</v>
      </c>
      <c r="B59" s="7" t="n"/>
      <c r="C59" s="7" t="n"/>
      <c r="D59" s="7" t="n"/>
      <c r="E59" s="7" t="n"/>
      <c r="F59" s="7" t="n"/>
      <c r="G59" s="7" t="n"/>
      <c r="H59" s="7" t="n"/>
      <c r="I59" s="7" t="n"/>
      <c r="J59" s="7" t="n"/>
      <c r="K59" s="7" t="n">
        <v>24</v>
      </c>
    </row>
    <row r="60">
      <c r="A60" s="6" t="n">
        <v>1989</v>
      </c>
      <c r="B60" s="7" t="n"/>
      <c r="C60" s="7" t="n"/>
      <c r="D60" s="7" t="n"/>
      <c r="E60" s="7" t="n"/>
      <c r="F60" s="7" t="n"/>
      <c r="G60" s="7" t="n"/>
      <c r="H60" s="7" t="n"/>
      <c r="I60" s="7" t="n"/>
      <c r="J60" s="7" t="n"/>
      <c r="K60" s="7" t="n">
        <v>17</v>
      </c>
    </row>
    <row r="61">
      <c r="A61" s="6" t="n">
        <v>1990</v>
      </c>
      <c r="B61" s="7" t="n"/>
      <c r="C61" s="7" t="n"/>
      <c r="D61" s="7" t="n"/>
      <c r="E61" s="7" t="n"/>
      <c r="F61" s="7" t="n"/>
      <c r="G61" s="7" t="n"/>
      <c r="H61" s="7" t="n"/>
      <c r="I61" s="7" t="n"/>
      <c r="J61" s="7" t="n"/>
      <c r="K61" s="8" t="n">
        <v>18.3</v>
      </c>
    </row>
    <row r="62">
      <c r="A62" s="6" t="n">
        <v>1991</v>
      </c>
      <c r="B62" s="7" t="n"/>
      <c r="C62" s="7" t="n"/>
      <c r="D62" s="7" t="n"/>
      <c r="E62" s="7" t="n"/>
      <c r="F62" s="7" t="n"/>
      <c r="G62" s="7" t="n"/>
      <c r="H62" s="7" t="n"/>
      <c r="I62" s="7" t="n"/>
      <c r="J62" s="7" t="n"/>
      <c r="K62" s="8" t="n">
        <v>7</v>
      </c>
    </row>
    <row r="63">
      <c r="A63" s="6" t="n">
        <v>1992</v>
      </c>
      <c r="B63" s="7" t="n"/>
      <c r="C63" s="7" t="n"/>
      <c r="D63" s="7" t="n"/>
      <c r="E63" s="7" t="n"/>
      <c r="F63" s="7" t="n"/>
      <c r="G63" s="7" t="n"/>
      <c r="H63" s="7" t="n"/>
      <c r="I63" s="7" t="n"/>
      <c r="J63" s="7" t="n"/>
      <c r="K63" s="7" t="n">
        <v>40</v>
      </c>
    </row>
    <row r="64">
      <c r="A64" s="6" t="n">
        <v>1993</v>
      </c>
      <c r="B64" s="7" t="n"/>
      <c r="C64" s="7" t="n"/>
      <c r="D64" s="7" t="n"/>
      <c r="E64" s="7" t="n"/>
      <c r="F64" s="7" t="n"/>
      <c r="G64" s="7" t="n"/>
      <c r="H64" s="7" t="n"/>
      <c r="I64" s="7" t="n"/>
      <c r="J64" s="7" t="n"/>
      <c r="K64" s="8" t="n">
        <v>13.1</v>
      </c>
    </row>
    <row r="65">
      <c r="A65" s="6" t="n">
        <v>1994</v>
      </c>
      <c r="B65" s="7" t="n"/>
      <c r="C65" s="7" t="n"/>
      <c r="D65" s="7" t="n"/>
      <c r="E65" s="7" t="n"/>
      <c r="F65" s="7" t="n"/>
      <c r="G65" s="7" t="n"/>
      <c r="H65" s="7" t="n"/>
      <c r="I65" s="7" t="n"/>
      <c r="J65" s="7" t="n"/>
      <c r="K65" s="7" t="n">
        <v>15</v>
      </c>
    </row>
    <row r="66">
      <c r="A66" s="6" t="n">
        <v>1995</v>
      </c>
      <c r="B66" s="7" t="n"/>
      <c r="C66" s="7" t="n"/>
      <c r="D66" s="7" t="n"/>
      <c r="E66" s="7" t="n"/>
      <c r="F66" s="7" t="n"/>
      <c r="G66" s="7" t="n"/>
      <c r="H66" s="7" t="n"/>
      <c r="I66" s="7" t="n"/>
      <c r="J66" s="7" t="n"/>
      <c r="K66" s="7" t="n">
        <v>86</v>
      </c>
    </row>
    <row r="67">
      <c r="A67" s="6" t="n">
        <v>1996</v>
      </c>
      <c r="B67" s="7" t="n"/>
      <c r="C67" s="7" t="n"/>
      <c r="D67" s="7" t="n"/>
      <c r="E67" s="7" t="n"/>
      <c r="F67" s="7" t="n"/>
      <c r="G67" s="7" t="n"/>
      <c r="H67" s="7" t="n"/>
      <c r="I67" s="7" t="n"/>
      <c r="J67" s="7" t="n"/>
      <c r="K67" s="7" t="n">
        <v>36</v>
      </c>
    </row>
    <row r="68">
      <c r="A68" s="6" t="n">
        <v>1997</v>
      </c>
      <c r="B68" s="7" t="n"/>
      <c r="C68" s="7" t="n"/>
      <c r="D68" s="7" t="n"/>
      <c r="E68" s="7" t="n"/>
      <c r="F68" s="7" t="n"/>
      <c r="G68" s="7" t="n"/>
      <c r="H68" s="7" t="n"/>
      <c r="I68" s="7" t="n"/>
      <c r="J68" s="7" t="n"/>
      <c r="K68" s="8" t="n">
        <v>92.40000000000001</v>
      </c>
    </row>
    <row r="69">
      <c r="A69" s="6" t="n">
        <v>1998</v>
      </c>
      <c r="B69" s="7" t="n"/>
      <c r="C69" s="7" t="n"/>
      <c r="D69" s="7" t="n"/>
      <c r="E69" s="7" t="n"/>
      <c r="F69" s="7" t="n"/>
      <c r="G69" s="7" t="n"/>
      <c r="H69" s="7" t="n"/>
      <c r="I69" s="7" t="n"/>
      <c r="J69" s="7" t="n"/>
      <c r="K69" s="7" t="n">
        <v>60</v>
      </c>
    </row>
    <row r="70">
      <c r="A70" s="6" t="n">
        <v>1999</v>
      </c>
      <c r="B70" s="7" t="n"/>
      <c r="C70" s="7" t="n"/>
      <c r="D70" s="7" t="n"/>
      <c r="E70" s="7" t="n"/>
      <c r="F70" s="7" t="n"/>
      <c r="G70" s="7" t="n"/>
      <c r="H70" s="7" t="n"/>
      <c r="I70" s="7" t="n"/>
      <c r="J70" s="7" t="n"/>
      <c r="K70" s="7" t="n">
        <v>45</v>
      </c>
    </row>
    <row r="71">
      <c r="A71" s="6" t="n">
        <v>2001</v>
      </c>
      <c r="B71" s="7" t="n"/>
      <c r="C71" s="7" t="n"/>
      <c r="D71" s="7" t="n"/>
      <c r="E71" s="7" t="n"/>
      <c r="F71" s="7" t="n"/>
      <c r="G71" s="7" t="n"/>
      <c r="H71" s="7" t="n"/>
      <c r="I71" s="7" t="n"/>
      <c r="J71" s="7" t="n"/>
      <c r="K71" s="7" t="n">
        <v>35</v>
      </c>
    </row>
    <row r="72">
      <c r="A72" s="6" t="n">
        <v>2002</v>
      </c>
      <c r="B72" s="7" t="n"/>
      <c r="C72" s="7" t="n"/>
      <c r="D72" s="7" t="n"/>
      <c r="E72" s="7" t="n"/>
      <c r="F72" s="7" t="n"/>
      <c r="G72" s="7" t="n"/>
      <c r="H72" s="7" t="n"/>
      <c r="I72" s="7" t="n"/>
      <c r="J72" s="7" t="n"/>
      <c r="K72" s="8" t="n">
        <v>13.2</v>
      </c>
    </row>
    <row r="73">
      <c r="A73" s="6" t="n">
        <v>2003</v>
      </c>
      <c r="B73" s="7" t="n"/>
      <c r="C73" s="7" t="n"/>
      <c r="D73" s="7" t="n"/>
      <c r="E73" s="7" t="n"/>
      <c r="F73" s="7" t="n"/>
      <c r="G73" s="7" t="n"/>
      <c r="H73" s="7" t="n"/>
      <c r="I73" s="7" t="n"/>
      <c r="J73" s="7" t="n"/>
      <c r="K73" s="8" t="n">
        <v>23.3</v>
      </c>
    </row>
    <row r="74">
      <c r="A74" s="6" t="n">
        <v>2004</v>
      </c>
      <c r="B74" s="7" t="n"/>
      <c r="C74" s="7" t="n"/>
      <c r="D74" s="7" t="n"/>
      <c r="E74" s="7" t="n"/>
      <c r="F74" s="7" t="n"/>
      <c r="G74" s="7" t="n"/>
      <c r="H74" s="7" t="n"/>
      <c r="I74" s="7" t="n"/>
      <c r="J74" s="7" t="n"/>
      <c r="K74" s="7" t="n">
        <v>18</v>
      </c>
    </row>
    <row r="75">
      <c r="A75" s="6" t="n">
        <v>2005</v>
      </c>
      <c r="B75" s="7" t="n"/>
      <c r="C75" s="7" t="n"/>
      <c r="D75" s="7" t="n"/>
      <c r="E75" s="7" t="n"/>
      <c r="F75" s="7" t="n"/>
      <c r="G75" s="7" t="n"/>
      <c r="H75" s="7" t="n"/>
      <c r="I75" s="7" t="n"/>
      <c r="J75" s="7" t="n"/>
      <c r="K75" s="7" t="n">
        <v>52</v>
      </c>
    </row>
    <row r="76">
      <c r="A76" s="6" t="n">
        <v>2006</v>
      </c>
      <c r="B76" s="8" t="n">
        <v>5.3</v>
      </c>
      <c r="C76" s="8" t="n">
        <v>9</v>
      </c>
      <c r="D76" s="8" t="n">
        <v>12.1</v>
      </c>
      <c r="E76" s="8" t="n">
        <v>17.9</v>
      </c>
      <c r="F76" s="8" t="n">
        <v>23.1</v>
      </c>
      <c r="G76" s="8" t="n">
        <v>28.4</v>
      </c>
      <c r="H76" s="8" t="n">
        <v>28.8</v>
      </c>
      <c r="I76" s="8" t="n">
        <v>29</v>
      </c>
      <c r="J76" s="8" t="n">
        <v>32.6</v>
      </c>
      <c r="K76" s="8" t="n">
        <v>39.6</v>
      </c>
    </row>
    <row r="77">
      <c r="A77" s="6" t="n">
        <v>2007</v>
      </c>
      <c r="B77" s="7" t="n"/>
      <c r="C77" s="7" t="n"/>
      <c r="D77" s="7" t="n"/>
      <c r="E77" s="7" t="n"/>
      <c r="F77" s="7" t="n"/>
      <c r="G77" s="7" t="n"/>
      <c r="H77" s="7" t="n"/>
      <c r="I77" s="7" t="n"/>
      <c r="J77" s="7" t="n"/>
      <c r="K77" s="7" t="n">
        <v>35</v>
      </c>
    </row>
    <row r="78">
      <c r="A78" s="6" t="n">
        <v>2008</v>
      </c>
      <c r="B78" s="7" t="n"/>
      <c r="C78" s="7" t="n"/>
      <c r="D78" s="7" t="n"/>
      <c r="E78" s="7" t="n"/>
      <c r="F78" s="7" t="n"/>
      <c r="G78" s="7" t="n"/>
      <c r="H78" s="7" t="n"/>
      <c r="I78" s="7" t="n"/>
      <c r="J78" s="7" t="n"/>
      <c r="K78" s="8" t="n">
        <v>7.8</v>
      </c>
    </row>
    <row r="79">
      <c r="A79" s="6" t="n">
        <v>2009</v>
      </c>
      <c r="B79" s="8" t="n">
        <v>3.6</v>
      </c>
      <c r="C79" s="8" t="n">
        <v>5.3</v>
      </c>
      <c r="D79" s="8" t="n">
        <v>6.5</v>
      </c>
      <c r="E79" s="8" t="n">
        <v>9.4</v>
      </c>
      <c r="F79" s="8" t="n">
        <v>11.9</v>
      </c>
      <c r="G79" s="8" t="n">
        <v>12.4</v>
      </c>
      <c r="H79" s="8" t="n">
        <v>13.3</v>
      </c>
      <c r="I79" s="8" t="n">
        <v>14.6</v>
      </c>
      <c r="J79" s="8" t="n">
        <v>18.5</v>
      </c>
      <c r="K79" s="8" t="n">
        <v>27.3</v>
      </c>
    </row>
    <row r="80">
      <c r="A80" s="6" t="n">
        <v>2010</v>
      </c>
      <c r="B80" s="8" t="n">
        <v>2.4</v>
      </c>
      <c r="C80" s="8" t="n">
        <v>4.5</v>
      </c>
      <c r="D80" s="8" t="n">
        <v>5.2</v>
      </c>
      <c r="E80" s="8" t="n">
        <v>6.9</v>
      </c>
      <c r="F80" s="8" t="n">
        <v>7.9</v>
      </c>
      <c r="G80" s="8" t="n">
        <v>11.3</v>
      </c>
      <c r="H80" s="8" t="n">
        <v>13.1</v>
      </c>
      <c r="I80" s="8" t="n">
        <v>20.1</v>
      </c>
      <c r="J80" s="8" t="n">
        <v>20.9</v>
      </c>
      <c r="K80" s="8" t="n">
        <v>31</v>
      </c>
    </row>
    <row r="81">
      <c r="A81" s="6" t="n">
        <v>2011</v>
      </c>
      <c r="B81" s="8" t="n">
        <v>0.5</v>
      </c>
      <c r="C81" s="8" t="n">
        <v>1</v>
      </c>
      <c r="D81" s="8" t="n">
        <v>1.4</v>
      </c>
      <c r="E81" s="8" t="n">
        <v>2.1</v>
      </c>
      <c r="F81" s="8" t="n">
        <v>3.6</v>
      </c>
      <c r="G81" s="8" t="n">
        <v>4.1</v>
      </c>
      <c r="H81" s="8" t="n">
        <v>4.1</v>
      </c>
      <c r="I81" s="8" t="n">
        <v>4.1</v>
      </c>
      <c r="J81" s="8" t="n">
        <v>4.2</v>
      </c>
      <c r="K81" s="8" t="n">
        <v>4.3</v>
      </c>
    </row>
    <row r="82">
      <c r="A82" s="6" t="n">
        <v>2012</v>
      </c>
      <c r="B82" s="8" t="n">
        <v>5.9</v>
      </c>
      <c r="C82" s="8" t="n">
        <v>9.5</v>
      </c>
      <c r="D82" s="8" t="n">
        <v>11.8</v>
      </c>
      <c r="E82" s="8" t="n">
        <v>18.8</v>
      </c>
      <c r="F82" s="8" t="n">
        <v>21.2</v>
      </c>
      <c r="G82" s="8" t="n">
        <v>22.9</v>
      </c>
      <c r="H82" s="8" t="n">
        <v>24.4</v>
      </c>
      <c r="I82" s="8" t="n">
        <v>27.3</v>
      </c>
      <c r="J82" s="8" t="n">
        <v>27.4</v>
      </c>
      <c r="K82" s="8" t="n">
        <v>28.3</v>
      </c>
    </row>
    <row r="83">
      <c r="A83" s="6" t="n">
        <v>2013</v>
      </c>
      <c r="B83" s="8" t="n">
        <v>4.5</v>
      </c>
      <c r="C83" s="8" t="n">
        <v>7.8</v>
      </c>
      <c r="D83" s="8" t="n">
        <v>11</v>
      </c>
      <c r="E83" s="8" t="n">
        <v>16.7</v>
      </c>
      <c r="F83" s="8" t="n">
        <v>26.6</v>
      </c>
      <c r="G83" s="8" t="n">
        <v>35</v>
      </c>
      <c r="H83" s="8" t="n">
        <v>41.3</v>
      </c>
      <c r="I83" s="8" t="n">
        <v>52.7</v>
      </c>
      <c r="J83" s="8" t="n">
        <v>56.4</v>
      </c>
      <c r="K83" s="8" t="n">
        <v>57.3</v>
      </c>
    </row>
    <row r="84">
      <c r="A84" s="6" t="n">
        <v>2014</v>
      </c>
      <c r="B84" s="8" t="n">
        <v>2.6</v>
      </c>
      <c r="C84" s="8" t="n">
        <v>4.4</v>
      </c>
      <c r="D84" s="8" t="n">
        <v>5.2</v>
      </c>
      <c r="E84" s="8" t="n">
        <v>7.2</v>
      </c>
      <c r="F84" s="8" t="n">
        <v>12</v>
      </c>
      <c r="G84" s="8" t="n">
        <v>20.7</v>
      </c>
      <c r="H84" s="8" t="n">
        <v>23.9</v>
      </c>
      <c r="I84" s="8" t="n">
        <v>24.9</v>
      </c>
      <c r="J84" s="8" t="n">
        <v>34</v>
      </c>
      <c r="K84" s="8" t="n">
        <v>40.6</v>
      </c>
    </row>
    <row r="85">
      <c r="A85" s="6" t="n">
        <v>2015</v>
      </c>
      <c r="B85" s="8" t="n">
        <v>5.4</v>
      </c>
      <c r="C85" s="8" t="n">
        <v>6</v>
      </c>
      <c r="D85" s="8" t="n">
        <v>7.4</v>
      </c>
      <c r="E85" s="8" t="n">
        <v>9.9</v>
      </c>
      <c r="F85" s="8" t="n">
        <v>12.2</v>
      </c>
      <c r="G85" s="8" t="n">
        <v>12.8</v>
      </c>
      <c r="H85" s="8" t="n">
        <v>13</v>
      </c>
      <c r="I85" s="8" t="n">
        <v>18.6</v>
      </c>
      <c r="J85" s="8" t="n">
        <v>19.5</v>
      </c>
      <c r="K85" s="8" t="n">
        <v>20</v>
      </c>
    </row>
    <row r="86">
      <c r="A86" s="6" t="n">
        <v>2016</v>
      </c>
      <c r="B86" s="7" t="n"/>
      <c r="C86" s="7" t="n"/>
      <c r="D86" s="8" t="n">
        <v>14.6</v>
      </c>
      <c r="E86" s="8" t="n">
        <v>18.5</v>
      </c>
      <c r="F86" s="8" t="n">
        <v>20.1</v>
      </c>
      <c r="G86" s="8" t="n">
        <v>24.4</v>
      </c>
      <c r="H86" s="8" t="n">
        <v>28.1</v>
      </c>
      <c r="I86" s="8" t="n">
        <v>31.7</v>
      </c>
      <c r="J86" s="8" t="n">
        <v>32.6</v>
      </c>
      <c r="K86" s="8" t="n">
        <v>45</v>
      </c>
    </row>
    <row r="87">
      <c r="A87" s="6" t="n">
        <v>2017</v>
      </c>
      <c r="B87" s="7" t="n">
        <v>4.4</v>
      </c>
      <c r="C87" s="7" t="n">
        <v>4.8</v>
      </c>
      <c r="D87" s="7" t="n">
        <v>6.2</v>
      </c>
      <c r="E87" s="7" t="n">
        <v>8.800000000000001</v>
      </c>
      <c r="F87" s="7" t="n">
        <v>10.4</v>
      </c>
      <c r="G87" s="7" t="n">
        <v>14</v>
      </c>
      <c r="H87" s="7" t="n">
        <v>14.8</v>
      </c>
      <c r="I87" s="7" t="n">
        <v>14.8</v>
      </c>
      <c r="J87" s="7" t="n">
        <v>15.2</v>
      </c>
      <c r="K87" s="7" t="n">
        <v>15.2</v>
      </c>
    </row>
    <row r="88">
      <c r="A88" s="6" t="n">
        <v>2018</v>
      </c>
      <c r="B88" s="7" t="n">
        <v>3.6</v>
      </c>
      <c r="C88" s="7" t="n">
        <v>5.6</v>
      </c>
      <c r="D88" s="7" t="n">
        <v>6.2</v>
      </c>
      <c r="E88" s="7" t="n">
        <v>7.8</v>
      </c>
      <c r="F88" s="7" t="n">
        <v>13.1</v>
      </c>
      <c r="G88" s="7" t="n">
        <v>15.4</v>
      </c>
      <c r="H88" s="7" t="n">
        <v>21.3</v>
      </c>
      <c r="I88" s="7" t="n">
        <v>24.2</v>
      </c>
      <c r="J88" s="7" t="n">
        <v>24.2</v>
      </c>
      <c r="K88" s="7" t="n">
        <v>24.6</v>
      </c>
    </row>
    <row r="89">
      <c r="A89" s="6" t="n">
        <v>2019</v>
      </c>
      <c r="B89" s="7" t="n">
        <v>4.8</v>
      </c>
      <c r="C89" s="7" t="n">
        <v>8</v>
      </c>
      <c r="D89" s="7" t="n">
        <v>10</v>
      </c>
      <c r="E89" s="7" t="n">
        <v>12.2</v>
      </c>
      <c r="F89" s="7" t="n">
        <v>15.3</v>
      </c>
      <c r="G89" s="7" t="n">
        <v>18.2</v>
      </c>
      <c r="H89" s="7" t="n">
        <v>21.8</v>
      </c>
      <c r="I89" s="7" t="n">
        <v>25.8</v>
      </c>
      <c r="J89" s="7" t="n">
        <v>26.2</v>
      </c>
      <c r="K89" s="7" t="n">
        <v>26.8</v>
      </c>
    </row>
    <row r="90">
      <c r="A90" s="6" t="n">
        <v>2020</v>
      </c>
      <c r="B90" s="7" t="n"/>
      <c r="C90" s="7" t="n"/>
      <c r="D90" s="7" t="n">
        <v>4.8</v>
      </c>
      <c r="E90" s="7" t="n">
        <v>6.4</v>
      </c>
      <c r="F90" s="7" t="n">
        <v>10.6</v>
      </c>
      <c r="G90" s="7" t="n">
        <v>11.6</v>
      </c>
      <c r="H90" s="7" t="n">
        <v>11.6</v>
      </c>
      <c r="I90" s="7" t="n">
        <v>14.8</v>
      </c>
      <c r="J90" s="7" t="n">
        <v>14.8</v>
      </c>
      <c r="K90" s="7" t="n">
        <v>26.4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Y60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</cols>
  <sheetData>
    <row r="1">
      <c r="A1" s="1" t="inlineStr">
        <is>
          <t>Gauge 31  |  FL681271CF  |  FUWAD 2 AT FUWAD</t>
        </is>
      </c>
    </row>
    <row r="3">
      <c r="A3" s="2" t="inlineStr">
        <is>
          <t>AMS BEFORE gap filling (observed only, mm)</t>
        </is>
      </c>
      <c r="M3" s="3" t="inlineStr">
        <is>
          <t>IDF - design rainfall DEPTH (mm)</t>
        </is>
      </c>
    </row>
    <row r="4">
      <c r="A4" s="4" t="inlineStr">
        <is>
          <t>Water year</t>
        </is>
      </c>
      <c r="B4" s="5" t="inlineStr">
        <is>
          <t>5min</t>
        </is>
      </c>
      <c r="C4" s="5" t="inlineStr">
        <is>
          <t>10min</t>
        </is>
      </c>
      <c r="D4" s="5" t="inlineStr">
        <is>
          <t>15min</t>
        </is>
      </c>
      <c r="E4" s="5" t="inlineStr">
        <is>
          <t>30min</t>
        </is>
      </c>
      <c r="F4" s="5" t="inlineStr">
        <is>
          <t>1h</t>
        </is>
      </c>
      <c r="G4" s="5" t="inlineStr">
        <is>
          <t>2h</t>
        </is>
      </c>
      <c r="H4" s="5" t="inlineStr">
        <is>
          <t>3h</t>
        </is>
      </c>
      <c r="I4" s="5" t="inlineStr">
        <is>
          <t>6h</t>
        </is>
      </c>
      <c r="J4" s="5" t="inlineStr">
        <is>
          <t>12h</t>
        </is>
      </c>
      <c r="K4" s="5" t="inlineStr">
        <is>
          <t>24h</t>
        </is>
      </c>
      <c r="M4" s="4" t="inlineStr">
        <is>
          <t>Duration \ RP</t>
        </is>
      </c>
      <c r="N4" s="4" t="n">
        <v>2</v>
      </c>
      <c r="O4" s="4" t="n">
        <v>5</v>
      </c>
      <c r="P4" s="4" t="n">
        <v>10</v>
      </c>
      <c r="Q4" s="4" t="n">
        <v>25</v>
      </c>
      <c r="R4" s="4" t="n">
        <v>50</v>
      </c>
      <c r="S4" s="4" t="n">
        <v>100</v>
      </c>
      <c r="T4" s="4" t="n">
        <v>200</v>
      </c>
      <c r="U4" s="4" t="n">
        <v>500</v>
      </c>
      <c r="V4" s="4" t="n">
        <v>1000</v>
      </c>
      <c r="W4" s="4" t="n">
        <v>2000</v>
      </c>
      <c r="X4" s="4" t="n">
        <v>5000</v>
      </c>
      <c r="Y4" s="4" t="n">
        <v>10000</v>
      </c>
    </row>
    <row r="5">
      <c r="A5" s="6" t="n">
        <v>1995</v>
      </c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>
        <v>109.5</v>
      </c>
      <c r="M5" s="6" t="inlineStr">
        <is>
          <t>5min</t>
        </is>
      </c>
      <c r="N5" s="6" t="n">
        <v>4.6</v>
      </c>
      <c r="O5" s="6" t="n">
        <v>7.2</v>
      </c>
      <c r="P5" s="6" t="n">
        <v>9</v>
      </c>
      <c r="Q5" s="6" t="n">
        <v>11.2</v>
      </c>
      <c r="R5" s="6" t="n">
        <v>12.9</v>
      </c>
      <c r="S5" s="6" t="n">
        <v>14.6</v>
      </c>
      <c r="T5" s="6" t="n">
        <v>16.4</v>
      </c>
      <c r="U5" s="6" t="n">
        <v>18.7</v>
      </c>
      <c r="V5" s="6" t="n">
        <v>20.5</v>
      </c>
      <c r="W5" s="6" t="n">
        <v>22.3</v>
      </c>
      <c r="X5" s="6" t="n">
        <v>24.7</v>
      </c>
      <c r="Y5" s="6" t="n">
        <v>26.6</v>
      </c>
    </row>
    <row r="6">
      <c r="A6" s="6" t="n">
        <v>1996</v>
      </c>
      <c r="B6" s="7" t="n"/>
      <c r="C6" s="7" t="n"/>
      <c r="D6" s="7" t="n"/>
      <c r="E6" s="7" t="n"/>
      <c r="F6" s="7" t="n"/>
      <c r="G6" s="7" t="n"/>
      <c r="H6" s="7" t="n"/>
      <c r="I6" s="7" t="n"/>
      <c r="J6" s="7" t="n"/>
      <c r="K6" s="7" t="n">
        <v>44.7</v>
      </c>
      <c r="M6" s="6" t="inlineStr">
        <is>
          <t>10min</t>
        </is>
      </c>
      <c r="N6" s="6" t="n">
        <v>7.4</v>
      </c>
      <c r="O6" s="6" t="n">
        <v>11.7</v>
      </c>
      <c r="P6" s="6" t="n">
        <v>14.6</v>
      </c>
      <c r="Q6" s="6" t="n">
        <v>18.4</v>
      </c>
      <c r="R6" s="6" t="n">
        <v>21.3</v>
      </c>
      <c r="S6" s="6" t="n">
        <v>24.2</v>
      </c>
      <c r="T6" s="6" t="n">
        <v>27.1</v>
      </c>
      <c r="U6" s="6" t="n">
        <v>31.1</v>
      </c>
      <c r="V6" s="6" t="n">
        <v>34.2</v>
      </c>
      <c r="W6" s="6" t="n">
        <v>37.4</v>
      </c>
      <c r="X6" s="6" t="n">
        <v>41.7</v>
      </c>
      <c r="Y6" s="6" t="n">
        <v>45</v>
      </c>
    </row>
    <row r="7">
      <c r="A7" s="6" t="n">
        <v>1997</v>
      </c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>
        <v>187.7</v>
      </c>
      <c r="M7" s="6" t="inlineStr">
        <is>
          <t>15min</t>
        </is>
      </c>
      <c r="N7" s="6" t="n">
        <v>9.199999999999999</v>
      </c>
      <c r="O7" s="6" t="n">
        <v>14.9</v>
      </c>
      <c r="P7" s="6" t="n">
        <v>18.8</v>
      </c>
      <c r="Q7" s="6" t="n">
        <v>24.1</v>
      </c>
      <c r="R7" s="6" t="n">
        <v>28.2</v>
      </c>
      <c r="S7" s="6" t="n">
        <v>32.5</v>
      </c>
      <c r="T7" s="6" t="n">
        <v>37</v>
      </c>
      <c r="U7" s="6" t="n">
        <v>43.1</v>
      </c>
      <c r="V7" s="6" t="n">
        <v>48</v>
      </c>
      <c r="W7" s="6" t="n">
        <v>53.1</v>
      </c>
      <c r="X7" s="6" t="n">
        <v>60.2</v>
      </c>
      <c r="Y7" s="6" t="n">
        <v>65.90000000000001</v>
      </c>
    </row>
    <row r="8">
      <c r="A8" s="6" t="n">
        <v>1998</v>
      </c>
      <c r="B8" s="7" t="n">
        <v>4.8</v>
      </c>
      <c r="C8" s="7" t="n">
        <v>7</v>
      </c>
      <c r="D8" s="7" t="n">
        <v>9</v>
      </c>
      <c r="E8" s="7" t="n">
        <v>9.9</v>
      </c>
      <c r="F8" s="7" t="n">
        <v>13.5</v>
      </c>
      <c r="G8" s="7" t="n">
        <v>16.3</v>
      </c>
      <c r="H8" s="7" t="n">
        <v>16.9</v>
      </c>
      <c r="I8" s="7" t="n">
        <v>23.4</v>
      </c>
      <c r="J8" s="7" t="n">
        <v>29.7</v>
      </c>
      <c r="K8" s="7" t="n">
        <v>48.1</v>
      </c>
      <c r="M8" s="6" t="inlineStr">
        <is>
          <t>30min</t>
        </is>
      </c>
      <c r="N8" s="6" t="n">
        <v>12.6</v>
      </c>
      <c r="O8" s="6" t="n">
        <v>20.7</v>
      </c>
      <c r="P8" s="6" t="n">
        <v>26.3</v>
      </c>
      <c r="Q8" s="6" t="n">
        <v>33.7</v>
      </c>
      <c r="R8" s="6" t="n">
        <v>39.4</v>
      </c>
      <c r="S8" s="6" t="n">
        <v>45.3</v>
      </c>
      <c r="T8" s="6" t="n">
        <v>51.4</v>
      </c>
      <c r="U8" s="6" t="n">
        <v>59.8</v>
      </c>
      <c r="V8" s="6" t="n">
        <v>66.5</v>
      </c>
      <c r="W8" s="6" t="n">
        <v>73.3</v>
      </c>
      <c r="X8" s="6" t="n">
        <v>82.8</v>
      </c>
      <c r="Y8" s="6" t="n">
        <v>90.3</v>
      </c>
    </row>
    <row r="9">
      <c r="A9" s="6" t="n">
        <v>1999</v>
      </c>
      <c r="B9" s="7" t="n"/>
      <c r="C9" s="7" t="n">
        <v>0.5</v>
      </c>
      <c r="D9" s="7" t="n">
        <v>0.8</v>
      </c>
      <c r="E9" s="7" t="n">
        <v>1.5</v>
      </c>
      <c r="F9" s="7" t="n">
        <v>1.8</v>
      </c>
      <c r="G9" s="7" t="n">
        <v>1.8</v>
      </c>
      <c r="H9" s="7" t="n">
        <v>1.8</v>
      </c>
      <c r="I9" s="7" t="n">
        <v>1.8</v>
      </c>
      <c r="J9" s="7" t="n">
        <v>1.9</v>
      </c>
      <c r="K9" s="7" t="n">
        <v>2</v>
      </c>
      <c r="M9" s="6" t="inlineStr">
        <is>
          <t>1h</t>
        </is>
      </c>
      <c r="N9" s="6" t="n">
        <v>15.7</v>
      </c>
      <c r="O9" s="6" t="n">
        <v>26</v>
      </c>
      <c r="P9" s="6" t="n">
        <v>33.2</v>
      </c>
      <c r="Q9" s="6" t="n">
        <v>43</v>
      </c>
      <c r="R9" s="6" t="n">
        <v>50.7</v>
      </c>
      <c r="S9" s="6" t="n">
        <v>58.8</v>
      </c>
      <c r="T9" s="6" t="n">
        <v>67.3</v>
      </c>
      <c r="U9" s="6" t="n">
        <v>79.09999999999999</v>
      </c>
      <c r="V9" s="6" t="n">
        <v>88.59999999999999</v>
      </c>
      <c r="W9" s="6" t="n">
        <v>98.59999999999999</v>
      </c>
      <c r="X9" s="6" t="n">
        <v>112.7</v>
      </c>
      <c r="Y9" s="6" t="n">
        <v>123.9</v>
      </c>
    </row>
    <row r="10">
      <c r="A10" s="6" t="n">
        <v>2000</v>
      </c>
      <c r="B10" s="7" t="n"/>
      <c r="C10" s="7" t="n"/>
      <c r="D10" s="7" t="n"/>
      <c r="E10" s="7" t="n">
        <v>0.6</v>
      </c>
      <c r="F10" s="7" t="n">
        <v>0.6</v>
      </c>
      <c r="G10" s="7" t="n">
        <v>0.6</v>
      </c>
      <c r="H10" s="7" t="n">
        <v>0.6</v>
      </c>
      <c r="I10" s="7" t="n">
        <v>0.6</v>
      </c>
      <c r="J10" s="7" t="n">
        <v>0.7</v>
      </c>
      <c r="K10" s="7" t="n">
        <v>0.8</v>
      </c>
      <c r="M10" s="6" t="inlineStr">
        <is>
          <t>2h</t>
        </is>
      </c>
      <c r="N10" s="6" t="n">
        <v>18.2</v>
      </c>
      <c r="O10" s="6" t="n">
        <v>30.8</v>
      </c>
      <c r="P10" s="6" t="n">
        <v>40.2</v>
      </c>
      <c r="Q10" s="6" t="n">
        <v>53.6</v>
      </c>
      <c r="R10" s="6" t="n">
        <v>64.7</v>
      </c>
      <c r="S10" s="6" t="n">
        <v>76.7</v>
      </c>
      <c r="T10" s="6" t="n">
        <v>89.90000000000001</v>
      </c>
      <c r="U10" s="6" t="n">
        <v>109.3</v>
      </c>
      <c r="V10" s="6" t="n">
        <v>125.5</v>
      </c>
      <c r="W10" s="6" t="n">
        <v>143.4</v>
      </c>
      <c r="X10" s="6" t="n">
        <v>169.6</v>
      </c>
      <c r="Y10" s="6" t="n">
        <v>191.7</v>
      </c>
    </row>
    <row r="11">
      <c r="A11" s="6" t="n">
        <v>2001</v>
      </c>
      <c r="B11" s="7" t="n">
        <v>6</v>
      </c>
      <c r="C11" s="7" t="n">
        <v>9.5</v>
      </c>
      <c r="D11" s="7" t="n">
        <v>14</v>
      </c>
      <c r="E11" s="7" t="n">
        <v>21.7</v>
      </c>
      <c r="F11" s="7" t="n">
        <v>24.2</v>
      </c>
      <c r="G11" s="7" t="n">
        <v>24.4</v>
      </c>
      <c r="H11" s="7" t="n">
        <v>24.4</v>
      </c>
      <c r="I11" s="7" t="n">
        <v>24.6</v>
      </c>
      <c r="J11" s="7" t="n">
        <v>24.7</v>
      </c>
      <c r="K11" s="7" t="n">
        <v>24.8</v>
      </c>
      <c r="M11" s="6" t="inlineStr">
        <is>
          <t>3h</t>
        </is>
      </c>
      <c r="N11" s="6" t="n">
        <v>19.6</v>
      </c>
      <c r="O11" s="6" t="n">
        <v>33.9</v>
      </c>
      <c r="P11" s="6" t="n">
        <v>45.2</v>
      </c>
      <c r="Q11" s="6" t="n">
        <v>62</v>
      </c>
      <c r="R11" s="6" t="n">
        <v>76.59999999999999</v>
      </c>
      <c r="S11" s="6" t="n">
        <v>93.09999999999999</v>
      </c>
      <c r="T11" s="6" t="n">
        <v>111.8</v>
      </c>
      <c r="U11" s="6" t="n">
        <v>140.7</v>
      </c>
      <c r="V11" s="6" t="n">
        <v>166.1</v>
      </c>
      <c r="W11" s="6" t="n">
        <v>195.1</v>
      </c>
      <c r="X11" s="6" t="n">
        <v>239.7</v>
      </c>
      <c r="Y11" s="6" t="n">
        <v>279</v>
      </c>
    </row>
    <row r="12">
      <c r="A12" s="6" t="n">
        <v>2002</v>
      </c>
      <c r="B12" s="7" t="n">
        <v>6.2</v>
      </c>
      <c r="C12" s="7" t="n">
        <v>11.6</v>
      </c>
      <c r="D12" s="7" t="n">
        <v>11.6</v>
      </c>
      <c r="E12" s="7" t="n">
        <v>12.3</v>
      </c>
      <c r="F12" s="7" t="n">
        <v>12.3</v>
      </c>
      <c r="G12" s="7" t="n">
        <v>12.5</v>
      </c>
      <c r="H12" s="7" t="n">
        <v>13.3</v>
      </c>
      <c r="I12" s="7" t="n">
        <v>13.4</v>
      </c>
      <c r="J12" s="7" t="n">
        <v>13.5</v>
      </c>
      <c r="K12" s="7" t="n">
        <v>13.6</v>
      </c>
      <c r="M12" s="6" t="inlineStr">
        <is>
          <t>6h</t>
        </is>
      </c>
      <c r="N12" s="6" t="n">
        <v>22.3</v>
      </c>
      <c r="O12" s="6" t="n">
        <v>40.1</v>
      </c>
      <c r="P12" s="6" t="n">
        <v>55.4</v>
      </c>
      <c r="Q12" s="6" t="n">
        <v>79.59999999999999</v>
      </c>
      <c r="R12" s="6" t="n">
        <v>102.1</v>
      </c>
      <c r="S12" s="6" t="n">
        <v>129.1</v>
      </c>
      <c r="T12" s="6" t="n">
        <v>161.5</v>
      </c>
      <c r="U12" s="6" t="n">
        <v>214.9</v>
      </c>
      <c r="V12" s="6" t="n">
        <v>265.1</v>
      </c>
      <c r="W12" s="6" t="n">
        <v>325.6</v>
      </c>
      <c r="X12" s="6" t="n">
        <v>425.2</v>
      </c>
      <c r="Y12" s="6" t="n">
        <v>518.8</v>
      </c>
    </row>
    <row r="13">
      <c r="A13" s="6" t="n">
        <v>2003</v>
      </c>
      <c r="B13" s="7" t="n">
        <v>5.1</v>
      </c>
      <c r="C13" s="7" t="n">
        <v>9</v>
      </c>
      <c r="D13" s="7" t="n">
        <v>12.4</v>
      </c>
      <c r="E13" s="7" t="n">
        <v>15.7</v>
      </c>
      <c r="F13" s="7" t="n">
        <v>15.7</v>
      </c>
      <c r="G13" s="7" t="n">
        <v>15.8</v>
      </c>
      <c r="H13" s="7" t="n">
        <v>15.8</v>
      </c>
      <c r="I13" s="7" t="n">
        <v>16.4</v>
      </c>
      <c r="J13" s="7" t="n">
        <v>21.9</v>
      </c>
      <c r="K13" s="7" t="n">
        <v>22</v>
      </c>
      <c r="M13" s="6" t="inlineStr">
        <is>
          <t>12h</t>
        </is>
      </c>
      <c r="N13" s="6" t="n">
        <v>25.1</v>
      </c>
      <c r="O13" s="6" t="n">
        <v>46.2</v>
      </c>
      <c r="P13" s="6" t="n">
        <v>64.90000000000001</v>
      </c>
      <c r="Q13" s="6" t="n">
        <v>95.7</v>
      </c>
      <c r="R13" s="6" t="n">
        <v>125.3</v>
      </c>
      <c r="S13" s="6" t="n">
        <v>161.7</v>
      </c>
      <c r="T13" s="6" t="n">
        <v>206.8</v>
      </c>
      <c r="U13" s="6" t="n">
        <v>283.3</v>
      </c>
      <c r="V13" s="6" t="n">
        <v>357.6</v>
      </c>
      <c r="W13" s="6" t="n">
        <v>449.7</v>
      </c>
      <c r="X13" s="6" t="n">
        <v>606.3</v>
      </c>
      <c r="Y13" s="6" t="n">
        <v>758.3</v>
      </c>
    </row>
    <row r="14">
      <c r="A14" s="6" t="n">
        <v>2004</v>
      </c>
      <c r="B14" s="7" t="n">
        <v>2.9</v>
      </c>
      <c r="C14" s="7" t="n">
        <v>4.5</v>
      </c>
      <c r="D14" s="7" t="n">
        <v>5.1</v>
      </c>
      <c r="E14" s="7" t="n">
        <v>5.5</v>
      </c>
      <c r="F14" s="7" t="n">
        <v>5.7</v>
      </c>
      <c r="G14" s="7" t="n">
        <v>5.8</v>
      </c>
      <c r="H14" s="7" t="n">
        <v>8.1</v>
      </c>
      <c r="I14" s="7" t="n">
        <v>8.300000000000001</v>
      </c>
      <c r="J14" s="7" t="n">
        <v>8.4</v>
      </c>
      <c r="K14" s="7" t="n">
        <v>8.699999999999999</v>
      </c>
      <c r="M14" s="6" t="inlineStr">
        <is>
          <t>24h</t>
        </is>
      </c>
      <c r="N14" s="6" t="n">
        <v>31.3</v>
      </c>
      <c r="O14" s="6" t="n">
        <v>58.3</v>
      </c>
      <c r="P14" s="6" t="n">
        <v>81.59999999999999</v>
      </c>
      <c r="Q14" s="6" t="n">
        <v>119.2</v>
      </c>
      <c r="R14" s="6" t="n">
        <v>154.4</v>
      </c>
      <c r="S14" s="6" t="n">
        <v>197</v>
      </c>
      <c r="T14" s="6" t="n">
        <v>248.9</v>
      </c>
      <c r="U14" s="6" t="n">
        <v>335</v>
      </c>
      <c r="V14" s="6" t="n">
        <v>416.8</v>
      </c>
      <c r="W14" s="6" t="n">
        <v>516.4</v>
      </c>
      <c r="X14" s="6" t="n">
        <v>682.2</v>
      </c>
      <c r="Y14" s="6" t="n">
        <v>839.8</v>
      </c>
    </row>
    <row r="15">
      <c r="A15" s="6" t="n">
        <v>2005</v>
      </c>
      <c r="B15" s="7" t="n">
        <v>1.2</v>
      </c>
      <c r="C15" s="7" t="n">
        <v>1.8</v>
      </c>
      <c r="D15" s="7" t="n">
        <v>2.2</v>
      </c>
      <c r="E15" s="7" t="n">
        <v>2.7</v>
      </c>
      <c r="F15" s="7" t="n">
        <v>3.2</v>
      </c>
      <c r="G15" s="7" t="n">
        <v>3.2</v>
      </c>
      <c r="H15" s="7" t="n">
        <v>3.2</v>
      </c>
      <c r="I15" s="7" t="n">
        <v>3.3</v>
      </c>
      <c r="J15" s="7" t="n">
        <v>3.4</v>
      </c>
      <c r="K15" s="7" t="n">
        <v>3.6</v>
      </c>
    </row>
    <row r="16">
      <c r="A16" s="6" t="n">
        <v>2006</v>
      </c>
      <c r="B16" s="7" t="n"/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  <c r="M16" s="3" t="inlineStr">
        <is>
          <t>IDF - intensity (mm/hr) [x=duration(min)]</t>
        </is>
      </c>
    </row>
    <row r="17">
      <c r="A17" s="6" t="n">
        <v>2007</v>
      </c>
      <c r="B17" s="7" t="n">
        <v>7</v>
      </c>
      <c r="C17" s="7" t="n">
        <v>11.4</v>
      </c>
      <c r="D17" s="7" t="n">
        <v>14.2</v>
      </c>
      <c r="E17" s="7" t="n">
        <v>27.2</v>
      </c>
      <c r="F17" s="7" t="n">
        <v>47.4</v>
      </c>
      <c r="G17" s="7" t="n">
        <v>82</v>
      </c>
      <c r="H17" s="7" t="n">
        <v>118.6</v>
      </c>
      <c r="I17" s="7" t="n">
        <v>186.6</v>
      </c>
      <c r="J17" s="7" t="n">
        <v>306.2</v>
      </c>
      <c r="K17" s="7" t="n">
        <v>374.1</v>
      </c>
      <c r="M17" t="inlineStr">
        <is>
          <t>Duration(min)</t>
        </is>
      </c>
      <c r="N17" t="inlineStr">
        <is>
          <t>2 yr</t>
        </is>
      </c>
      <c r="O17" t="inlineStr">
        <is>
          <t>5 yr</t>
        </is>
      </c>
      <c r="P17" t="inlineStr">
        <is>
          <t>10 yr</t>
        </is>
      </c>
      <c r="Q17" t="inlineStr">
        <is>
          <t>25 yr</t>
        </is>
      </c>
      <c r="R17" t="inlineStr">
        <is>
          <t>50 yr</t>
        </is>
      </c>
      <c r="S17" t="inlineStr">
        <is>
          <t>100 yr</t>
        </is>
      </c>
      <c r="T17" t="inlineStr">
        <is>
          <t>200 yr</t>
        </is>
      </c>
      <c r="U17" t="inlineStr">
        <is>
          <t>500 yr</t>
        </is>
      </c>
      <c r="V17" t="inlineStr">
        <is>
          <t>1000 yr</t>
        </is>
      </c>
      <c r="W17" t="inlineStr">
        <is>
          <t>2000 yr</t>
        </is>
      </c>
      <c r="X17" t="inlineStr">
        <is>
          <t>5000 yr</t>
        </is>
      </c>
      <c r="Y17" t="inlineStr">
        <is>
          <t>10000 yr</t>
        </is>
      </c>
    </row>
    <row r="18">
      <c r="A18" s="6" t="n">
        <v>2008</v>
      </c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  <c r="K18" s="7" t="n"/>
      <c r="M18" t="n">
        <v>5</v>
      </c>
      <c r="N18" t="n">
        <v>55.3</v>
      </c>
      <c r="O18" t="n">
        <v>86.59999999999999</v>
      </c>
      <c r="P18" t="n">
        <v>107.7</v>
      </c>
      <c r="Q18" t="n">
        <v>134.8</v>
      </c>
      <c r="R18" t="n">
        <v>155.2</v>
      </c>
      <c r="S18" t="n">
        <v>175.8</v>
      </c>
      <c r="T18" t="n">
        <v>196.5</v>
      </c>
      <c r="U18" t="n">
        <v>224.3</v>
      </c>
      <c r="V18" t="n">
        <v>245.7</v>
      </c>
      <c r="W18" t="n">
        <v>267.3</v>
      </c>
      <c r="X18" t="n">
        <v>296.3</v>
      </c>
      <c r="Y18" t="n">
        <v>318.7</v>
      </c>
    </row>
    <row r="19">
      <c r="A19" s="6" t="n">
        <v>2009</v>
      </c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M19" t="n">
        <v>10</v>
      </c>
      <c r="N19" t="n">
        <v>44.6</v>
      </c>
      <c r="O19" t="n">
        <v>70.3</v>
      </c>
      <c r="P19" t="n">
        <v>87.7</v>
      </c>
      <c r="Q19" t="n">
        <v>110.4</v>
      </c>
      <c r="R19" t="n">
        <v>127.6</v>
      </c>
      <c r="S19" t="n">
        <v>145.1</v>
      </c>
      <c r="T19" t="n">
        <v>162.8</v>
      </c>
      <c r="U19" t="n">
        <v>186.8</v>
      </c>
      <c r="V19" t="n">
        <v>205.4</v>
      </c>
      <c r="W19" t="n">
        <v>224.4</v>
      </c>
      <c r="X19" t="n">
        <v>250.1</v>
      </c>
      <c r="Y19" t="n">
        <v>269.9</v>
      </c>
    </row>
    <row r="20">
      <c r="A20" s="6" t="n">
        <v>2010</v>
      </c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M20" t="n">
        <v>15</v>
      </c>
      <c r="N20" t="n">
        <v>37</v>
      </c>
      <c r="O20" t="n">
        <v>59.5</v>
      </c>
      <c r="P20" t="n">
        <v>75.40000000000001</v>
      </c>
      <c r="Q20" t="n">
        <v>96.5</v>
      </c>
      <c r="R20" t="n">
        <v>113</v>
      </c>
      <c r="S20" t="n">
        <v>130</v>
      </c>
      <c r="T20" t="n">
        <v>147.8</v>
      </c>
      <c r="U20" t="n">
        <v>172.5</v>
      </c>
      <c r="V20" t="n">
        <v>192.1</v>
      </c>
      <c r="W20" t="n">
        <v>212.6</v>
      </c>
      <c r="X20" t="n">
        <v>241</v>
      </c>
      <c r="Y20" t="n">
        <v>263.6</v>
      </c>
    </row>
    <row r="21">
      <c r="A21" s="6" t="n">
        <v>2011</v>
      </c>
      <c r="B21" s="7" t="n">
        <v>0.8</v>
      </c>
      <c r="C21" s="7" t="n">
        <v>1.2</v>
      </c>
      <c r="D21" s="7" t="n">
        <v>1.8</v>
      </c>
      <c r="E21" s="7" t="n">
        <v>3</v>
      </c>
      <c r="F21" s="7" t="n">
        <v>4.4</v>
      </c>
      <c r="G21" s="7" t="n">
        <v>4.5</v>
      </c>
      <c r="H21" s="7" t="n">
        <v>4.5</v>
      </c>
      <c r="I21" s="7" t="n">
        <v>4.6</v>
      </c>
      <c r="J21" s="7" t="n">
        <v>4.8</v>
      </c>
      <c r="K21" s="7" t="n">
        <v>4.9</v>
      </c>
      <c r="M21" t="n">
        <v>30</v>
      </c>
      <c r="N21" t="n">
        <v>25.3</v>
      </c>
      <c r="O21" t="n">
        <v>41.4</v>
      </c>
      <c r="P21" t="n">
        <v>52.6</v>
      </c>
      <c r="Q21" t="n">
        <v>67.40000000000001</v>
      </c>
      <c r="R21" t="n">
        <v>78.90000000000001</v>
      </c>
      <c r="S21" t="n">
        <v>90.7</v>
      </c>
      <c r="T21" t="n">
        <v>102.9</v>
      </c>
      <c r="U21" t="n">
        <v>119.7</v>
      </c>
      <c r="V21" t="n">
        <v>132.9</v>
      </c>
      <c r="W21" t="n">
        <v>146.7</v>
      </c>
      <c r="X21" t="n">
        <v>165.6</v>
      </c>
      <c r="Y21" t="n">
        <v>180.6</v>
      </c>
    </row>
    <row r="22">
      <c r="A22" s="6" t="n">
        <v>2012</v>
      </c>
      <c r="B22" s="7" t="n">
        <v>11.8</v>
      </c>
      <c r="C22" s="7" t="n">
        <v>19</v>
      </c>
      <c r="D22" s="7" t="n">
        <v>23.6</v>
      </c>
      <c r="E22" s="7" t="n">
        <v>37.6</v>
      </c>
      <c r="F22" s="7" t="n">
        <v>41.5</v>
      </c>
      <c r="G22" s="7" t="n">
        <v>42.7</v>
      </c>
      <c r="H22" s="7" t="n">
        <v>42.9</v>
      </c>
      <c r="I22" s="7" t="n">
        <v>43.8</v>
      </c>
      <c r="J22" s="7" t="n">
        <v>44</v>
      </c>
      <c r="K22" s="7" t="n">
        <v>45.1</v>
      </c>
      <c r="M22" t="n">
        <v>60</v>
      </c>
      <c r="N22" t="n">
        <v>15.7</v>
      </c>
      <c r="O22" t="n">
        <v>26</v>
      </c>
      <c r="P22" t="n">
        <v>33.2</v>
      </c>
      <c r="Q22" t="n">
        <v>43</v>
      </c>
      <c r="R22" t="n">
        <v>50.7</v>
      </c>
      <c r="S22" t="n">
        <v>58.8</v>
      </c>
      <c r="T22" t="n">
        <v>67.3</v>
      </c>
      <c r="U22" t="n">
        <v>79.09999999999999</v>
      </c>
      <c r="V22" t="n">
        <v>88.59999999999999</v>
      </c>
      <c r="W22" t="n">
        <v>98.59999999999999</v>
      </c>
      <c r="X22" t="n">
        <v>112.7</v>
      </c>
      <c r="Y22" t="n">
        <v>123.9</v>
      </c>
    </row>
    <row r="23">
      <c r="A23" s="6" t="n">
        <v>2013</v>
      </c>
      <c r="B23" s="7" t="n">
        <v>12.8</v>
      </c>
      <c r="C23" s="7" t="n">
        <v>21.8</v>
      </c>
      <c r="D23" s="7" t="n">
        <v>30.4</v>
      </c>
      <c r="E23" s="7" t="n">
        <v>37.6</v>
      </c>
      <c r="F23" s="7" t="n">
        <v>45.7</v>
      </c>
      <c r="G23" s="7" t="n">
        <v>54.3</v>
      </c>
      <c r="H23" s="7" t="n">
        <v>57.6</v>
      </c>
      <c r="I23" s="7" t="n">
        <v>61.2</v>
      </c>
      <c r="J23" s="7" t="n">
        <v>61.6</v>
      </c>
      <c r="K23" s="7" t="n">
        <v>73.59999999999999</v>
      </c>
      <c r="M23" t="n">
        <v>120</v>
      </c>
      <c r="N23" t="n">
        <v>9.1</v>
      </c>
      <c r="O23" t="n">
        <v>15.4</v>
      </c>
      <c r="P23" t="n">
        <v>20.1</v>
      </c>
      <c r="Q23" t="n">
        <v>26.8</v>
      </c>
      <c r="R23" t="n">
        <v>32.3</v>
      </c>
      <c r="S23" t="n">
        <v>38.4</v>
      </c>
      <c r="T23" t="n">
        <v>45</v>
      </c>
      <c r="U23" t="n">
        <v>54.6</v>
      </c>
      <c r="V23" t="n">
        <v>62.8</v>
      </c>
      <c r="W23" t="n">
        <v>71.7</v>
      </c>
      <c r="X23" t="n">
        <v>84.8</v>
      </c>
      <c r="Y23" t="n">
        <v>95.8</v>
      </c>
    </row>
    <row r="24">
      <c r="A24" s="6" t="n">
        <v>2014</v>
      </c>
      <c r="B24" s="7" t="n">
        <v>4.4</v>
      </c>
      <c r="C24" s="7" t="n">
        <v>7.2</v>
      </c>
      <c r="D24" s="7" t="n">
        <v>7.6</v>
      </c>
      <c r="E24" s="7" t="n">
        <v>10.4</v>
      </c>
      <c r="F24" s="7" t="n">
        <v>12.6</v>
      </c>
      <c r="G24" s="7" t="n">
        <v>16.4</v>
      </c>
      <c r="H24" s="7" t="n">
        <v>16.6</v>
      </c>
      <c r="I24" s="7" t="n">
        <v>16.6</v>
      </c>
      <c r="J24" s="7" t="n">
        <v>19.8</v>
      </c>
      <c r="K24" s="7" t="n">
        <v>20.3</v>
      </c>
      <c r="M24" t="n">
        <v>180</v>
      </c>
      <c r="N24" t="n">
        <v>6.5</v>
      </c>
      <c r="O24" t="n">
        <v>11.3</v>
      </c>
      <c r="P24" t="n">
        <v>15.1</v>
      </c>
      <c r="Q24" t="n">
        <v>20.7</v>
      </c>
      <c r="R24" t="n">
        <v>25.5</v>
      </c>
      <c r="S24" t="n">
        <v>31</v>
      </c>
      <c r="T24" t="n">
        <v>37.3</v>
      </c>
      <c r="U24" t="n">
        <v>46.9</v>
      </c>
      <c r="V24" t="n">
        <v>55.4</v>
      </c>
      <c r="W24" t="n">
        <v>65</v>
      </c>
      <c r="X24" t="n">
        <v>79.90000000000001</v>
      </c>
      <c r="Y24" t="n">
        <v>93</v>
      </c>
    </row>
    <row r="25">
      <c r="A25" s="6" t="n">
        <v>2015</v>
      </c>
      <c r="B25" s="7" t="n">
        <v>3.6</v>
      </c>
      <c r="C25" s="7" t="n">
        <v>4.2</v>
      </c>
      <c r="D25" s="7" t="n">
        <v>4.2</v>
      </c>
      <c r="E25" s="7" t="n">
        <v>4.2</v>
      </c>
      <c r="F25" s="7" t="n">
        <v>4.3</v>
      </c>
      <c r="G25" s="7" t="n">
        <v>4.3</v>
      </c>
      <c r="H25" s="7" t="n">
        <v>4.6</v>
      </c>
      <c r="I25" s="7" t="n">
        <v>7.5</v>
      </c>
      <c r="J25" s="7" t="n">
        <v>7.7</v>
      </c>
      <c r="K25" s="7" t="n">
        <v>7.9</v>
      </c>
      <c r="M25" t="n">
        <v>360</v>
      </c>
      <c r="N25" t="n">
        <v>3.7</v>
      </c>
      <c r="O25" t="n">
        <v>6.7</v>
      </c>
      <c r="P25" t="n">
        <v>9.199999999999999</v>
      </c>
      <c r="Q25" t="n">
        <v>13.3</v>
      </c>
      <c r="R25" t="n">
        <v>17</v>
      </c>
      <c r="S25" t="n">
        <v>21.5</v>
      </c>
      <c r="T25" t="n">
        <v>26.9</v>
      </c>
      <c r="U25" t="n">
        <v>35.8</v>
      </c>
      <c r="V25" t="n">
        <v>44.2</v>
      </c>
      <c r="W25" t="n">
        <v>54.3</v>
      </c>
      <c r="X25" t="n">
        <v>70.90000000000001</v>
      </c>
      <c r="Y25" t="n">
        <v>86.5</v>
      </c>
    </row>
    <row r="26">
      <c r="A26" s="6" t="n">
        <v>2016</v>
      </c>
      <c r="B26" s="7" t="n">
        <v>3.6</v>
      </c>
      <c r="C26" s="7" t="n">
        <v>4.4</v>
      </c>
      <c r="D26" s="7" t="n">
        <v>7.6</v>
      </c>
      <c r="E26" s="7" t="n">
        <v>8.199999999999999</v>
      </c>
      <c r="F26" s="7" t="n">
        <v>8.6</v>
      </c>
      <c r="G26" s="7" t="n">
        <v>8.6</v>
      </c>
      <c r="H26" s="7" t="n">
        <v>8.6</v>
      </c>
      <c r="I26" s="7" t="n">
        <v>8.6</v>
      </c>
      <c r="J26" s="7" t="n">
        <v>8.6</v>
      </c>
      <c r="K26" s="7" t="n">
        <v>8.6</v>
      </c>
      <c r="M26" t="n">
        <v>720</v>
      </c>
      <c r="N26" t="n">
        <v>2.1</v>
      </c>
      <c r="O26" t="n">
        <v>3.9</v>
      </c>
      <c r="P26" t="n">
        <v>5.4</v>
      </c>
      <c r="Q26" t="n">
        <v>8</v>
      </c>
      <c r="R26" t="n">
        <v>10.4</v>
      </c>
      <c r="S26" t="n">
        <v>13.5</v>
      </c>
      <c r="T26" t="n">
        <v>17.2</v>
      </c>
      <c r="U26" t="n">
        <v>23.6</v>
      </c>
      <c r="V26" t="n">
        <v>29.8</v>
      </c>
      <c r="W26" t="n">
        <v>37.5</v>
      </c>
      <c r="X26" t="n">
        <v>50.5</v>
      </c>
      <c r="Y26" t="n">
        <v>63.2</v>
      </c>
    </row>
    <row r="27">
      <c r="A27" s="6" t="n">
        <v>2017</v>
      </c>
      <c r="B27" s="7" t="n">
        <v>4</v>
      </c>
      <c r="C27" s="7" t="n">
        <v>5.2</v>
      </c>
      <c r="D27" s="7" t="n">
        <v>7</v>
      </c>
      <c r="E27" s="7" t="n">
        <v>8.800000000000001</v>
      </c>
      <c r="F27" s="7" t="n">
        <v>15</v>
      </c>
      <c r="G27" s="7" t="n">
        <v>20.6</v>
      </c>
      <c r="H27" s="7" t="n">
        <v>24</v>
      </c>
      <c r="I27" s="7" t="n">
        <v>24.2</v>
      </c>
      <c r="J27" s="7" t="n">
        <v>24.2</v>
      </c>
      <c r="K27" s="7" t="n">
        <v>24.2</v>
      </c>
      <c r="M27" t="n">
        <v>1440</v>
      </c>
      <c r="N27" t="n">
        <v>1.3</v>
      </c>
      <c r="O27" t="n">
        <v>2.4</v>
      </c>
      <c r="P27" t="n">
        <v>3.4</v>
      </c>
      <c r="Q27" t="n">
        <v>5</v>
      </c>
      <c r="R27" t="n">
        <v>6.4</v>
      </c>
      <c r="S27" t="n">
        <v>8.199999999999999</v>
      </c>
      <c r="T27" t="n">
        <v>10.4</v>
      </c>
      <c r="U27" t="n">
        <v>14</v>
      </c>
      <c r="V27" t="n">
        <v>17.4</v>
      </c>
      <c r="W27" t="n">
        <v>21.5</v>
      </c>
      <c r="X27" t="n">
        <v>28.4</v>
      </c>
      <c r="Y27" t="n">
        <v>35</v>
      </c>
    </row>
    <row r="28">
      <c r="A28" s="6" t="n">
        <v>2018</v>
      </c>
      <c r="B28" s="7" t="n">
        <v>2.1</v>
      </c>
      <c r="C28" s="7" t="n">
        <v>4.2</v>
      </c>
      <c r="D28" s="7" t="n">
        <v>6</v>
      </c>
      <c r="E28" s="7" t="n">
        <v>8.6</v>
      </c>
      <c r="F28" s="7" t="n">
        <v>9.800000000000001</v>
      </c>
      <c r="G28" s="7" t="n">
        <v>12.5</v>
      </c>
      <c r="H28" s="7" t="n">
        <v>13</v>
      </c>
      <c r="I28" s="7" t="n">
        <v>14.9</v>
      </c>
      <c r="J28" s="7" t="n">
        <v>15.6</v>
      </c>
      <c r="K28" s="7" t="n">
        <v>23.8</v>
      </c>
    </row>
    <row r="29">
      <c r="A29" s="6" t="n">
        <v>2019</v>
      </c>
      <c r="B29" s="7" t="n">
        <v>4.2</v>
      </c>
      <c r="C29" s="7" t="n">
        <v>7</v>
      </c>
      <c r="D29" s="7" t="n">
        <v>10</v>
      </c>
      <c r="E29" s="7" t="n">
        <v>18.2</v>
      </c>
      <c r="F29" s="7" t="n">
        <v>31.6</v>
      </c>
      <c r="G29" s="7" t="n">
        <v>38.4</v>
      </c>
      <c r="H29" s="7" t="n">
        <v>38.4</v>
      </c>
      <c r="I29" s="7" t="n">
        <v>47.8</v>
      </c>
      <c r="J29" s="7" t="n">
        <v>50.4</v>
      </c>
      <c r="K29" s="7" t="n">
        <v>50.4</v>
      </c>
    </row>
    <row r="30">
      <c r="A30" s="6" t="n">
        <v>2020</v>
      </c>
      <c r="B30" s="7" t="n">
        <v>2.9</v>
      </c>
      <c r="C30" s="7" t="n">
        <v>5.8</v>
      </c>
      <c r="D30" s="7" t="n">
        <v>6.9</v>
      </c>
      <c r="E30" s="7" t="n">
        <v>9.6</v>
      </c>
      <c r="F30" s="7" t="n">
        <v>13.4</v>
      </c>
      <c r="G30" s="7" t="n">
        <v>20</v>
      </c>
      <c r="H30" s="7" t="n">
        <v>26.6</v>
      </c>
      <c r="I30" s="7" t="n">
        <v>31.8</v>
      </c>
      <c r="J30" s="7" t="n">
        <v>31.8</v>
      </c>
      <c r="K30" s="7" t="n">
        <v>32.8</v>
      </c>
    </row>
    <row r="33">
      <c r="A33" s="2" t="inlineStr">
        <is>
          <t>AMS AFTER gap filling (mm)  -  yellow = added or changed by gap filling</t>
        </is>
      </c>
    </row>
    <row r="34">
      <c r="A34" s="4" t="inlineStr">
        <is>
          <t>Water year</t>
        </is>
      </c>
      <c r="B34" s="5" t="inlineStr">
        <is>
          <t>5min</t>
        </is>
      </c>
      <c r="C34" s="5" t="inlineStr">
        <is>
          <t>10min</t>
        </is>
      </c>
      <c r="D34" s="5" t="inlineStr">
        <is>
          <t>15min</t>
        </is>
      </c>
      <c r="E34" s="5" t="inlineStr">
        <is>
          <t>30min</t>
        </is>
      </c>
      <c r="F34" s="5" t="inlineStr">
        <is>
          <t>1h</t>
        </is>
      </c>
      <c r="G34" s="5" t="inlineStr">
        <is>
          <t>2h</t>
        </is>
      </c>
      <c r="H34" s="5" t="inlineStr">
        <is>
          <t>3h</t>
        </is>
      </c>
      <c r="I34" s="5" t="inlineStr">
        <is>
          <t>6h</t>
        </is>
      </c>
      <c r="J34" s="5" t="inlineStr">
        <is>
          <t>12h</t>
        </is>
      </c>
      <c r="K34" s="5" t="inlineStr">
        <is>
          <t>24h</t>
        </is>
      </c>
    </row>
    <row r="35">
      <c r="A35" s="6" t="n">
        <v>1995</v>
      </c>
      <c r="B35" s="7" t="n"/>
      <c r="C35" s="7" t="n"/>
      <c r="D35" s="7" t="n"/>
      <c r="E35" s="7" t="n"/>
      <c r="F35" s="7" t="n"/>
      <c r="G35" s="7" t="n"/>
      <c r="H35" s="7" t="n"/>
      <c r="I35" s="7" t="n"/>
      <c r="J35" s="7" t="n"/>
      <c r="K35" s="7" t="n">
        <v>109.5</v>
      </c>
    </row>
    <row r="36">
      <c r="A36" s="6" t="n">
        <v>1996</v>
      </c>
      <c r="B36" s="7" t="n"/>
      <c r="C36" s="7" t="n"/>
      <c r="D36" s="7" t="n"/>
      <c r="E36" s="7" t="n"/>
      <c r="F36" s="7" t="n"/>
      <c r="G36" s="7" t="n"/>
      <c r="H36" s="7" t="n"/>
      <c r="I36" s="7" t="n"/>
      <c r="J36" s="7" t="n"/>
      <c r="K36" s="7" t="n">
        <v>44.7</v>
      </c>
    </row>
    <row r="37">
      <c r="A37" s="6" t="n">
        <v>1997</v>
      </c>
      <c r="B37" s="7" t="n"/>
      <c r="C37" s="7" t="n"/>
      <c r="D37" s="7" t="n"/>
      <c r="E37" s="7" t="n"/>
      <c r="F37" s="7" t="n"/>
      <c r="G37" s="7" t="n"/>
      <c r="H37" s="7" t="n"/>
      <c r="I37" s="7" t="n"/>
      <c r="J37" s="7" t="n"/>
      <c r="K37" s="7" t="n">
        <v>187.7</v>
      </c>
    </row>
    <row r="38">
      <c r="A38" s="6" t="n">
        <v>1998</v>
      </c>
      <c r="B38" s="7" t="n">
        <v>4.8</v>
      </c>
      <c r="C38" s="7" t="n">
        <v>7</v>
      </c>
      <c r="D38" s="7" t="n">
        <v>9</v>
      </c>
      <c r="E38" s="7" t="n">
        <v>9.9</v>
      </c>
      <c r="F38" s="7" t="n">
        <v>13.5</v>
      </c>
      <c r="G38" s="7" t="n">
        <v>16.3</v>
      </c>
      <c r="H38" s="7" t="n">
        <v>16.9</v>
      </c>
      <c r="I38" s="7" t="n">
        <v>23.4</v>
      </c>
      <c r="J38" s="7" t="n">
        <v>29.7</v>
      </c>
      <c r="K38" s="7" t="n">
        <v>48.1</v>
      </c>
    </row>
    <row r="39">
      <c r="A39" s="6" t="n">
        <v>1999</v>
      </c>
      <c r="B39" s="8" t="n">
        <v>1</v>
      </c>
      <c r="C39" s="8" t="n">
        <v>2</v>
      </c>
      <c r="D39" s="8" t="n">
        <v>2.7</v>
      </c>
      <c r="E39" s="8" t="n">
        <v>3.9</v>
      </c>
      <c r="F39" s="8" t="n">
        <v>5.3</v>
      </c>
      <c r="G39" s="8" t="n">
        <v>7.6</v>
      </c>
      <c r="H39" s="8" t="n">
        <v>10.2</v>
      </c>
      <c r="I39" s="8" t="n">
        <v>14.2</v>
      </c>
      <c r="J39" s="8" t="n">
        <v>16.7</v>
      </c>
      <c r="K39" s="8" t="n">
        <v>31.3</v>
      </c>
    </row>
    <row r="40">
      <c r="A40" s="6" t="n">
        <v>2000</v>
      </c>
      <c r="B40" s="7" t="n"/>
      <c r="C40" s="7" t="n"/>
      <c r="D40" s="7" t="n"/>
      <c r="E40" s="7" t="n">
        <v>0.6</v>
      </c>
      <c r="F40" s="7" t="n">
        <v>0.6</v>
      </c>
      <c r="G40" s="7" t="n">
        <v>0.6</v>
      </c>
      <c r="H40" s="7" t="n">
        <v>0.6</v>
      </c>
      <c r="I40" s="7" t="n">
        <v>0.6</v>
      </c>
      <c r="J40" s="7" t="n">
        <v>0.7</v>
      </c>
      <c r="K40" s="7" t="n">
        <v>0.8</v>
      </c>
    </row>
    <row r="41">
      <c r="A41" s="6" t="n">
        <v>2001</v>
      </c>
      <c r="B41" s="7" t="n">
        <v>6</v>
      </c>
      <c r="C41" s="7" t="n">
        <v>9.5</v>
      </c>
      <c r="D41" s="7" t="n">
        <v>14</v>
      </c>
      <c r="E41" s="7" t="n">
        <v>21.7</v>
      </c>
      <c r="F41" s="7" t="n">
        <v>24.2</v>
      </c>
      <c r="G41" s="7" t="n">
        <v>24.4</v>
      </c>
      <c r="H41" s="7" t="n">
        <v>24.4</v>
      </c>
      <c r="I41" s="7" t="n">
        <v>24.6</v>
      </c>
      <c r="J41" s="7" t="n">
        <v>24.7</v>
      </c>
      <c r="K41" s="7" t="n">
        <v>24.8</v>
      </c>
    </row>
    <row r="42">
      <c r="A42" s="6" t="n">
        <v>2002</v>
      </c>
      <c r="B42" s="7" t="n">
        <v>6.2</v>
      </c>
      <c r="C42" s="7" t="n">
        <v>11.6</v>
      </c>
      <c r="D42" s="7" t="n">
        <v>11.6</v>
      </c>
      <c r="E42" s="8" t="n">
        <v>14.2</v>
      </c>
      <c r="F42" s="8" t="n">
        <v>18.6</v>
      </c>
      <c r="G42" s="8" t="n">
        <v>20</v>
      </c>
      <c r="H42" s="8" t="n">
        <v>20.1</v>
      </c>
      <c r="I42" s="8" t="n">
        <v>20.2</v>
      </c>
      <c r="J42" s="8" t="n">
        <v>20.3</v>
      </c>
      <c r="K42" s="8" t="n">
        <v>20.4</v>
      </c>
    </row>
    <row r="43">
      <c r="A43" s="6" t="n">
        <v>2003</v>
      </c>
      <c r="B43" s="7" t="n">
        <v>5.1</v>
      </c>
      <c r="C43" s="7" t="n">
        <v>9</v>
      </c>
      <c r="D43" s="7" t="n">
        <v>12.4</v>
      </c>
      <c r="E43" s="7" t="n">
        <v>15.7</v>
      </c>
      <c r="F43" s="8" t="n">
        <v>20.8</v>
      </c>
      <c r="G43" s="8" t="n">
        <v>23.2</v>
      </c>
      <c r="H43" s="8" t="n">
        <v>23.2</v>
      </c>
      <c r="I43" s="8" t="n">
        <v>23.2</v>
      </c>
      <c r="J43" s="8" t="n">
        <v>23.3</v>
      </c>
      <c r="K43" s="8" t="n">
        <v>23.4</v>
      </c>
    </row>
    <row r="44">
      <c r="A44" s="6" t="n">
        <v>2004</v>
      </c>
      <c r="B44" s="7" t="n">
        <v>2.9</v>
      </c>
      <c r="C44" s="7" t="n">
        <v>4.5</v>
      </c>
      <c r="D44" s="7" t="n">
        <v>5.1</v>
      </c>
      <c r="E44" s="7" t="n">
        <v>5.5</v>
      </c>
      <c r="F44" s="7" t="n">
        <v>5.7</v>
      </c>
      <c r="G44" s="7" t="n">
        <v>5.8</v>
      </c>
      <c r="H44" s="7" t="n">
        <v>8.1</v>
      </c>
      <c r="I44" s="7" t="n">
        <v>8.300000000000001</v>
      </c>
      <c r="J44" s="7" t="n">
        <v>8.4</v>
      </c>
      <c r="K44" s="7" t="n">
        <v>8.699999999999999</v>
      </c>
    </row>
    <row r="45">
      <c r="A45" s="6" t="n">
        <v>2005</v>
      </c>
      <c r="B45" s="7" t="n">
        <v>1.2</v>
      </c>
      <c r="C45" s="7" t="n">
        <v>1.8</v>
      </c>
      <c r="D45" s="8" t="n">
        <v>2.7</v>
      </c>
      <c r="E45" s="8" t="n">
        <v>3.7</v>
      </c>
      <c r="F45" s="8" t="n">
        <v>4.6</v>
      </c>
      <c r="G45" s="8" t="n">
        <v>6.4</v>
      </c>
      <c r="H45" s="8" t="n">
        <v>7.2</v>
      </c>
      <c r="I45" s="8" t="n">
        <v>9.9</v>
      </c>
      <c r="J45" s="8" t="n">
        <v>19.3</v>
      </c>
      <c r="K45" s="8" t="n">
        <v>38.3</v>
      </c>
    </row>
    <row r="46">
      <c r="A46" s="6" t="n">
        <v>2006</v>
      </c>
      <c r="B46" s="8" t="n">
        <v>4.9</v>
      </c>
      <c r="C46" s="8" t="n">
        <v>9.4</v>
      </c>
      <c r="D46" s="8" t="n">
        <v>11.6</v>
      </c>
      <c r="E46" s="8" t="n">
        <v>13.5</v>
      </c>
      <c r="F46" s="8" t="n">
        <v>17</v>
      </c>
      <c r="G46" s="8" t="n">
        <v>22.8</v>
      </c>
      <c r="H46" s="8" t="n">
        <v>23.7</v>
      </c>
      <c r="I46" s="8" t="n">
        <v>24</v>
      </c>
      <c r="J46" s="8" t="n">
        <v>27.5</v>
      </c>
      <c r="K46" s="8" t="n">
        <v>34.1</v>
      </c>
    </row>
    <row r="47">
      <c r="A47" s="6" t="n">
        <v>2007</v>
      </c>
      <c r="B47" s="8" t="n">
        <v>8.6</v>
      </c>
      <c r="C47" s="7" t="n">
        <v>11.4</v>
      </c>
      <c r="D47" s="7" t="n">
        <v>14.2</v>
      </c>
      <c r="E47" s="7" t="n">
        <v>27.2</v>
      </c>
      <c r="F47" s="7" t="n">
        <v>47.4</v>
      </c>
      <c r="G47" s="7" t="n">
        <v>82</v>
      </c>
      <c r="H47" s="7" t="n">
        <v>118.6</v>
      </c>
      <c r="I47" s="7" t="n">
        <v>186.6</v>
      </c>
      <c r="J47" s="7" t="n">
        <v>306.2</v>
      </c>
      <c r="K47" s="7" t="n">
        <v>374.1</v>
      </c>
    </row>
    <row r="48">
      <c r="A48" s="6" t="n">
        <v>2008</v>
      </c>
      <c r="B48" s="7" t="n"/>
      <c r="C48" s="7" t="n"/>
      <c r="D48" s="7" t="n"/>
      <c r="E48" s="7" t="n"/>
      <c r="F48" s="8" t="n">
        <v>0.6</v>
      </c>
      <c r="G48" s="8" t="n">
        <v>0.9</v>
      </c>
      <c r="H48" s="8" t="n">
        <v>1.3</v>
      </c>
      <c r="I48" s="8" t="n">
        <v>2.4</v>
      </c>
      <c r="J48" s="8" t="n">
        <v>3.8</v>
      </c>
      <c r="K48" s="8" t="n">
        <v>5</v>
      </c>
    </row>
    <row r="49">
      <c r="A49" s="6" t="n">
        <v>2009</v>
      </c>
      <c r="B49" s="8" t="n">
        <v>1.6</v>
      </c>
      <c r="C49" s="8" t="n">
        <v>2.5</v>
      </c>
      <c r="D49" s="8" t="n">
        <v>2.8</v>
      </c>
      <c r="E49" s="8" t="n">
        <v>4.1</v>
      </c>
      <c r="F49" s="8" t="n">
        <v>5.4</v>
      </c>
      <c r="G49" s="8" t="n">
        <v>6.9</v>
      </c>
      <c r="H49" s="8" t="n">
        <v>7.6</v>
      </c>
      <c r="I49" s="8" t="n">
        <v>9.1</v>
      </c>
      <c r="J49" s="8" t="n">
        <v>14.9</v>
      </c>
      <c r="K49" s="8" t="n">
        <v>24.9</v>
      </c>
    </row>
    <row r="50">
      <c r="A50" s="6" t="n">
        <v>2010</v>
      </c>
      <c r="B50" s="8" t="n">
        <v>4.2</v>
      </c>
      <c r="C50" s="8" t="n">
        <v>6.6</v>
      </c>
      <c r="D50" s="8" t="n">
        <v>9.6</v>
      </c>
      <c r="E50" s="8" t="n">
        <v>13.2</v>
      </c>
      <c r="F50" s="8" t="n">
        <v>14.8</v>
      </c>
      <c r="G50" s="8" t="n">
        <v>15.3</v>
      </c>
      <c r="H50" s="8" t="n">
        <v>15.8</v>
      </c>
      <c r="I50" s="8" t="n">
        <v>17.9</v>
      </c>
      <c r="J50" s="8" t="n">
        <v>22.9</v>
      </c>
      <c r="K50" s="8" t="n">
        <v>30.2</v>
      </c>
    </row>
    <row r="51">
      <c r="A51" s="6" t="n">
        <v>2011</v>
      </c>
      <c r="B51" s="7" t="n">
        <v>0.8</v>
      </c>
      <c r="C51" s="7" t="n">
        <v>1.2</v>
      </c>
      <c r="D51" s="7" t="n">
        <v>1.8</v>
      </c>
      <c r="E51" s="7" t="n">
        <v>3</v>
      </c>
      <c r="F51" s="7" t="n">
        <v>4.4</v>
      </c>
      <c r="G51" s="7" t="n">
        <v>4.5</v>
      </c>
      <c r="H51" s="7" t="n">
        <v>4.5</v>
      </c>
      <c r="I51" s="7" t="n">
        <v>4.6</v>
      </c>
      <c r="J51" s="7" t="n">
        <v>4.8</v>
      </c>
      <c r="K51" s="7" t="n">
        <v>4.9</v>
      </c>
    </row>
    <row r="52">
      <c r="A52" s="6" t="n">
        <v>2012</v>
      </c>
      <c r="B52" s="7" t="n">
        <v>11.8</v>
      </c>
      <c r="C52" s="7" t="n">
        <v>19</v>
      </c>
      <c r="D52" s="7" t="n">
        <v>23.6</v>
      </c>
      <c r="E52" s="7" t="n">
        <v>37.6</v>
      </c>
      <c r="F52" s="7" t="n">
        <v>41.5</v>
      </c>
      <c r="G52" s="7" t="n">
        <v>42.7</v>
      </c>
      <c r="H52" s="7" t="n">
        <v>42.9</v>
      </c>
      <c r="I52" s="7" t="n">
        <v>43.8</v>
      </c>
      <c r="J52" s="7" t="n">
        <v>44</v>
      </c>
      <c r="K52" s="7" t="n">
        <v>45.1</v>
      </c>
    </row>
    <row r="53">
      <c r="A53" s="6" t="n">
        <v>2013</v>
      </c>
      <c r="B53" s="7" t="n">
        <v>12.8</v>
      </c>
      <c r="C53" s="7" t="n">
        <v>21.8</v>
      </c>
      <c r="D53" s="7" t="n">
        <v>30.4</v>
      </c>
      <c r="E53" s="7" t="n">
        <v>37.6</v>
      </c>
      <c r="F53" s="7" t="n">
        <v>45.7</v>
      </c>
      <c r="G53" s="7" t="n">
        <v>54.3</v>
      </c>
      <c r="H53" s="7" t="n">
        <v>57.6</v>
      </c>
      <c r="I53" s="7" t="n">
        <v>61.2</v>
      </c>
      <c r="J53" s="7" t="n">
        <v>61.6</v>
      </c>
      <c r="K53" s="7" t="n">
        <v>73.59999999999999</v>
      </c>
    </row>
    <row r="54">
      <c r="A54" s="6" t="n">
        <v>2014</v>
      </c>
      <c r="B54" s="7" t="n">
        <v>4.4</v>
      </c>
      <c r="C54" s="7" t="n">
        <v>7.2</v>
      </c>
      <c r="D54" s="7" t="n">
        <v>7.6</v>
      </c>
      <c r="E54" s="7" t="n">
        <v>10.4</v>
      </c>
      <c r="F54" s="7" t="n">
        <v>12.6</v>
      </c>
      <c r="G54" s="7" t="n">
        <v>16.4</v>
      </c>
      <c r="H54" s="7" t="n">
        <v>16.6</v>
      </c>
      <c r="I54" s="7" t="n">
        <v>16.6</v>
      </c>
      <c r="J54" s="7" t="n">
        <v>19.8</v>
      </c>
      <c r="K54" s="7" t="n">
        <v>20.3</v>
      </c>
    </row>
    <row r="55">
      <c r="A55" s="6" t="n">
        <v>2015</v>
      </c>
      <c r="B55" s="7" t="n">
        <v>3.6</v>
      </c>
      <c r="C55" s="7" t="n">
        <v>4.2</v>
      </c>
      <c r="D55" s="7" t="n">
        <v>4.2</v>
      </c>
      <c r="E55" s="7" t="n">
        <v>4.3</v>
      </c>
      <c r="F55" s="8" t="n">
        <v>6</v>
      </c>
      <c r="G55" s="8" t="n">
        <v>6.5</v>
      </c>
      <c r="H55" s="8" t="n">
        <v>6.6</v>
      </c>
      <c r="I55" s="8" t="n">
        <v>9.6</v>
      </c>
      <c r="J55" s="8" t="n">
        <v>10.4</v>
      </c>
      <c r="K55" s="8" t="n">
        <v>10.6</v>
      </c>
    </row>
    <row r="56">
      <c r="A56" s="6" t="n">
        <v>2016</v>
      </c>
      <c r="B56" s="8" t="n">
        <v>4.2</v>
      </c>
      <c r="C56" s="8" t="n">
        <v>7.4</v>
      </c>
      <c r="D56" s="8" t="n">
        <v>10.6</v>
      </c>
      <c r="E56" s="8" t="n">
        <v>18.5</v>
      </c>
      <c r="F56" s="8" t="n">
        <v>23.4</v>
      </c>
      <c r="G56" s="8" t="n">
        <v>23.5</v>
      </c>
      <c r="H56" s="8" t="n">
        <v>23.5</v>
      </c>
      <c r="I56" s="8" t="n">
        <v>25.1</v>
      </c>
      <c r="J56" s="8" t="n">
        <v>26.5</v>
      </c>
      <c r="K56" s="8" t="n">
        <v>39.5</v>
      </c>
    </row>
    <row r="57">
      <c r="A57" s="6" t="n">
        <v>2017</v>
      </c>
      <c r="B57" s="7" t="n">
        <v>4</v>
      </c>
      <c r="C57" s="7" t="n">
        <v>5.2</v>
      </c>
      <c r="D57" s="7" t="n">
        <v>7</v>
      </c>
      <c r="E57" s="7" t="n">
        <v>8.800000000000001</v>
      </c>
      <c r="F57" s="7" t="n">
        <v>15</v>
      </c>
      <c r="G57" s="7" t="n">
        <v>20.6</v>
      </c>
      <c r="H57" s="7" t="n">
        <v>24</v>
      </c>
      <c r="I57" s="7" t="n">
        <v>24.2</v>
      </c>
      <c r="J57" s="7" t="n">
        <v>24.2</v>
      </c>
      <c r="K57" s="7" t="n">
        <v>24.2</v>
      </c>
    </row>
    <row r="58">
      <c r="A58" s="6" t="n">
        <v>2018</v>
      </c>
      <c r="B58" s="7" t="n">
        <v>2.1</v>
      </c>
      <c r="C58" s="7" t="n">
        <v>4.2</v>
      </c>
      <c r="D58" s="7" t="n">
        <v>6</v>
      </c>
      <c r="E58" s="7" t="n">
        <v>8.6</v>
      </c>
      <c r="F58" s="7" t="n">
        <v>9.800000000000001</v>
      </c>
      <c r="G58" s="7" t="n">
        <v>12.5</v>
      </c>
      <c r="H58" s="7" t="n">
        <v>13</v>
      </c>
      <c r="I58" s="7" t="n">
        <v>14.9</v>
      </c>
      <c r="J58" s="7" t="n">
        <v>15.6</v>
      </c>
      <c r="K58" s="7" t="n">
        <v>23.8</v>
      </c>
    </row>
    <row r="59">
      <c r="A59" s="6" t="n">
        <v>2019</v>
      </c>
      <c r="B59" s="7" t="n">
        <v>4.2</v>
      </c>
      <c r="C59" s="7" t="n">
        <v>7</v>
      </c>
      <c r="D59" s="7" t="n">
        <v>10</v>
      </c>
      <c r="E59" s="7" t="n">
        <v>18.2</v>
      </c>
      <c r="F59" s="7" t="n">
        <v>31.6</v>
      </c>
      <c r="G59" s="7" t="n">
        <v>38.4</v>
      </c>
      <c r="H59" s="7" t="n">
        <v>38.4</v>
      </c>
      <c r="I59" s="7" t="n">
        <v>47.8</v>
      </c>
      <c r="J59" s="7" t="n">
        <v>50.4</v>
      </c>
      <c r="K59" s="7" t="n">
        <v>50.4</v>
      </c>
    </row>
    <row r="60">
      <c r="A60" s="6" t="n">
        <v>2020</v>
      </c>
      <c r="B60" s="7" t="n">
        <v>2.9</v>
      </c>
      <c r="C60" s="7" t="n">
        <v>5.8</v>
      </c>
      <c r="D60" s="7" t="n">
        <v>6.9</v>
      </c>
      <c r="E60" s="7" t="n">
        <v>9.6</v>
      </c>
      <c r="F60" s="7" t="n">
        <v>13.4</v>
      </c>
      <c r="G60" s="7" t="n">
        <v>20</v>
      </c>
      <c r="H60" s="7" t="n">
        <v>26.6</v>
      </c>
      <c r="I60" s="7" t="n">
        <v>31.8</v>
      </c>
      <c r="J60" s="7" t="n">
        <v>31.8</v>
      </c>
      <c r="K60" s="7" t="n">
        <v>32.8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Y5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</cols>
  <sheetData>
    <row r="1">
      <c r="A1" s="1" t="inlineStr">
        <is>
          <t>Gauge 32  |  FL788017AF  |  HAYFADH AT HAYFADH</t>
        </is>
      </c>
    </row>
    <row r="3">
      <c r="A3" s="2" t="inlineStr">
        <is>
          <t>AMS BEFORE gap filling (observed only, mm)</t>
        </is>
      </c>
      <c r="M3" s="3" t="inlineStr">
        <is>
          <t>IDF - design rainfall DEPTH (mm)</t>
        </is>
      </c>
    </row>
    <row r="4">
      <c r="A4" s="4" t="inlineStr">
        <is>
          <t>Water year</t>
        </is>
      </c>
      <c r="B4" s="5" t="inlineStr">
        <is>
          <t>5min</t>
        </is>
      </c>
      <c r="C4" s="5" t="inlineStr">
        <is>
          <t>10min</t>
        </is>
      </c>
      <c r="D4" s="5" t="inlineStr">
        <is>
          <t>15min</t>
        </is>
      </c>
      <c r="E4" s="5" t="inlineStr">
        <is>
          <t>30min</t>
        </is>
      </c>
      <c r="F4" s="5" t="inlineStr">
        <is>
          <t>1h</t>
        </is>
      </c>
      <c r="G4" s="5" t="inlineStr">
        <is>
          <t>2h</t>
        </is>
      </c>
      <c r="H4" s="5" t="inlineStr">
        <is>
          <t>3h</t>
        </is>
      </c>
      <c r="I4" s="5" t="inlineStr">
        <is>
          <t>6h</t>
        </is>
      </c>
      <c r="J4" s="5" t="inlineStr">
        <is>
          <t>12h</t>
        </is>
      </c>
      <c r="K4" s="5" t="inlineStr">
        <is>
          <t>24h</t>
        </is>
      </c>
      <c r="M4" s="4" t="inlineStr">
        <is>
          <t>Duration \ RP</t>
        </is>
      </c>
      <c r="N4" s="4" t="n">
        <v>2</v>
      </c>
      <c r="O4" s="4" t="n">
        <v>5</v>
      </c>
      <c r="P4" s="4" t="n">
        <v>10</v>
      </c>
      <c r="Q4" s="4" t="n">
        <v>25</v>
      </c>
      <c r="R4" s="4" t="n">
        <v>50</v>
      </c>
      <c r="S4" s="4" t="n">
        <v>100</v>
      </c>
      <c r="T4" s="4" t="n">
        <v>200</v>
      </c>
      <c r="U4" s="4" t="n">
        <v>500</v>
      </c>
      <c r="V4" s="4" t="n">
        <v>1000</v>
      </c>
      <c r="W4" s="4" t="n">
        <v>2000</v>
      </c>
      <c r="X4" s="4" t="n">
        <v>5000</v>
      </c>
      <c r="Y4" s="4" t="n">
        <v>10000</v>
      </c>
    </row>
    <row r="5">
      <c r="A5" s="6" t="n">
        <v>1995</v>
      </c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>
        <v>126.5</v>
      </c>
      <c r="M5" s="6" t="inlineStr">
        <is>
          <t>5min</t>
        </is>
      </c>
      <c r="N5" s="6" t="n">
        <v>4.7</v>
      </c>
      <c r="O5" s="6" t="n">
        <v>7.4</v>
      </c>
      <c r="P5" s="6" t="n">
        <v>9.1</v>
      </c>
      <c r="Q5" s="6" t="n">
        <v>11.4</v>
      </c>
      <c r="R5" s="6" t="n">
        <v>13</v>
      </c>
      <c r="S5" s="6" t="n">
        <v>14.7</v>
      </c>
      <c r="T5" s="6" t="n">
        <v>16.3</v>
      </c>
      <c r="U5" s="6" t="n">
        <v>18.4</v>
      </c>
      <c r="V5" s="6" t="n">
        <v>20</v>
      </c>
      <c r="W5" s="6" t="n">
        <v>21.6</v>
      </c>
      <c r="X5" s="6" t="n">
        <v>23.7</v>
      </c>
      <c r="Y5" s="6" t="n">
        <v>25.3</v>
      </c>
    </row>
    <row r="6">
      <c r="A6" s="6" t="n">
        <v>1996</v>
      </c>
      <c r="B6" s="7" t="n"/>
      <c r="C6" s="7" t="n"/>
      <c r="D6" s="7" t="n"/>
      <c r="E6" s="7" t="n"/>
      <c r="F6" s="7" t="n"/>
      <c r="G6" s="7" t="n"/>
      <c r="H6" s="7" t="n"/>
      <c r="I6" s="7" t="n"/>
      <c r="J6" s="7" t="n"/>
      <c r="K6" s="7" t="n">
        <v>58.9</v>
      </c>
      <c r="M6" s="6" t="inlineStr">
        <is>
          <t>10min</t>
        </is>
      </c>
      <c r="N6" s="6" t="n">
        <v>7.5</v>
      </c>
      <c r="O6" s="6" t="n">
        <v>11.8</v>
      </c>
      <c r="P6" s="6" t="n">
        <v>14.7</v>
      </c>
      <c r="Q6" s="6" t="n">
        <v>18.4</v>
      </c>
      <c r="R6" s="6" t="n">
        <v>21.1</v>
      </c>
      <c r="S6" s="6" t="n">
        <v>23.8</v>
      </c>
      <c r="T6" s="6" t="n">
        <v>26.5</v>
      </c>
      <c r="U6" s="6" t="n">
        <v>30</v>
      </c>
      <c r="V6" s="6" t="n">
        <v>32.7</v>
      </c>
      <c r="W6" s="6" t="n">
        <v>35.5</v>
      </c>
      <c r="X6" s="6" t="n">
        <v>39</v>
      </c>
      <c r="Y6" s="6" t="n">
        <v>41.8</v>
      </c>
    </row>
    <row r="7">
      <c r="A7" s="6" t="n">
        <v>1997</v>
      </c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>
        <v>68.5</v>
      </c>
      <c r="M7" s="6" t="inlineStr">
        <is>
          <t>15min</t>
        </is>
      </c>
      <c r="N7" s="6" t="n">
        <v>9.199999999999999</v>
      </c>
      <c r="O7" s="6" t="n">
        <v>15</v>
      </c>
      <c r="P7" s="6" t="n">
        <v>19</v>
      </c>
      <c r="Q7" s="6" t="n">
        <v>24.3</v>
      </c>
      <c r="R7" s="6" t="n">
        <v>28.4</v>
      </c>
      <c r="S7" s="6" t="n">
        <v>32.7</v>
      </c>
      <c r="T7" s="6" t="n">
        <v>37.1</v>
      </c>
      <c r="U7" s="6" t="n">
        <v>43.2</v>
      </c>
      <c r="V7" s="6" t="n">
        <v>48</v>
      </c>
      <c r="W7" s="6" t="n">
        <v>53</v>
      </c>
      <c r="X7" s="6" t="n">
        <v>59.9</v>
      </c>
      <c r="Y7" s="6" t="n">
        <v>65.40000000000001</v>
      </c>
    </row>
    <row r="8">
      <c r="A8" s="6" t="n">
        <v>1998</v>
      </c>
      <c r="B8" s="7" t="n"/>
      <c r="C8" s="7" t="n"/>
      <c r="D8" s="7" t="n"/>
      <c r="E8" s="7" t="n"/>
      <c r="F8" s="7" t="n"/>
      <c r="G8" s="7" t="n"/>
      <c r="H8" s="7" t="n"/>
      <c r="I8" s="7" t="n"/>
      <c r="J8" s="7" t="n"/>
      <c r="K8" s="7" t="n">
        <v>41</v>
      </c>
      <c r="M8" s="6" t="inlineStr">
        <is>
          <t>30min</t>
        </is>
      </c>
      <c r="N8" s="6" t="n">
        <v>12.5</v>
      </c>
      <c r="O8" s="6" t="n">
        <v>20.7</v>
      </c>
      <c r="P8" s="6" t="n">
        <v>26.5</v>
      </c>
      <c r="Q8" s="6" t="n">
        <v>34.3</v>
      </c>
      <c r="R8" s="6" t="n">
        <v>40.4</v>
      </c>
      <c r="S8" s="6" t="n">
        <v>46.8</v>
      </c>
      <c r="T8" s="6" t="n">
        <v>53.5</v>
      </c>
      <c r="U8" s="6" t="n">
        <v>62.9</v>
      </c>
      <c r="V8" s="6" t="n">
        <v>70.3</v>
      </c>
      <c r="W8" s="6" t="n">
        <v>78.2</v>
      </c>
      <c r="X8" s="6" t="n">
        <v>89.2</v>
      </c>
      <c r="Y8" s="6" t="n">
        <v>98</v>
      </c>
    </row>
    <row r="9">
      <c r="A9" s="6" t="n">
        <v>1999</v>
      </c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M9" s="6" t="inlineStr">
        <is>
          <t>1h</t>
        </is>
      </c>
      <c r="N9" s="6" t="n">
        <v>15.6</v>
      </c>
      <c r="O9" s="6" t="n">
        <v>26.2</v>
      </c>
      <c r="P9" s="6" t="n">
        <v>34.1</v>
      </c>
      <c r="Q9" s="6" t="n">
        <v>45</v>
      </c>
      <c r="R9" s="6" t="n">
        <v>53.9</v>
      </c>
      <c r="S9" s="6" t="n">
        <v>63.5</v>
      </c>
      <c r="T9" s="6" t="n">
        <v>73.90000000000001</v>
      </c>
      <c r="U9" s="6" t="n">
        <v>88.90000000000001</v>
      </c>
      <c r="V9" s="6" t="n">
        <v>101.3</v>
      </c>
      <c r="W9" s="6" t="n">
        <v>114.8</v>
      </c>
      <c r="X9" s="6" t="n">
        <v>134.3</v>
      </c>
      <c r="Y9" s="6" t="n">
        <v>150.5</v>
      </c>
    </row>
    <row r="10">
      <c r="A10" s="6" t="n">
        <v>2001</v>
      </c>
      <c r="B10" s="7" t="n">
        <v>3</v>
      </c>
      <c r="C10" s="7" t="n">
        <v>4.8</v>
      </c>
      <c r="D10" s="7" t="n">
        <v>7</v>
      </c>
      <c r="E10" s="7" t="n">
        <v>11.2</v>
      </c>
      <c r="F10" s="7" t="n">
        <v>15.7</v>
      </c>
      <c r="G10" s="7" t="n">
        <v>17.6</v>
      </c>
      <c r="H10" s="7" t="n">
        <v>19</v>
      </c>
      <c r="I10" s="7" t="n">
        <v>19.8</v>
      </c>
      <c r="J10" s="7" t="n">
        <v>19.9</v>
      </c>
      <c r="K10" s="7" t="n">
        <v>20</v>
      </c>
      <c r="M10" s="6" t="inlineStr">
        <is>
          <t>2h</t>
        </is>
      </c>
      <c r="N10" s="6" t="n">
        <v>17.8</v>
      </c>
      <c r="O10" s="6" t="n">
        <v>31.2</v>
      </c>
      <c r="P10" s="6" t="n">
        <v>41.9</v>
      </c>
      <c r="Q10" s="6" t="n">
        <v>58</v>
      </c>
      <c r="R10" s="6" t="n">
        <v>72.09999999999999</v>
      </c>
      <c r="S10" s="6" t="n">
        <v>88.3</v>
      </c>
      <c r="T10" s="6" t="n">
        <v>106.8</v>
      </c>
      <c r="U10" s="6" t="n">
        <v>135.6</v>
      </c>
      <c r="V10" s="6" t="n">
        <v>161.2</v>
      </c>
      <c r="W10" s="6" t="n">
        <v>190.7</v>
      </c>
      <c r="X10" s="6" t="n">
        <v>236.6</v>
      </c>
      <c r="Y10" s="6" t="n">
        <v>277.5</v>
      </c>
    </row>
    <row r="11">
      <c r="A11" s="6" t="n">
        <v>2002</v>
      </c>
      <c r="B11" s="7" t="n">
        <v>2.8</v>
      </c>
      <c r="C11" s="7" t="n">
        <v>4.2</v>
      </c>
      <c r="D11" s="7" t="n">
        <v>5.2</v>
      </c>
      <c r="E11" s="7" t="n">
        <v>6</v>
      </c>
      <c r="F11" s="7" t="n">
        <v>6.6</v>
      </c>
      <c r="G11" s="7" t="n">
        <v>12.8</v>
      </c>
      <c r="H11" s="7" t="n">
        <v>12.9</v>
      </c>
      <c r="I11" s="7" t="n">
        <v>13</v>
      </c>
      <c r="J11" s="7" t="n">
        <v>13.1</v>
      </c>
      <c r="K11" s="7" t="n">
        <v>13.3</v>
      </c>
      <c r="M11" s="6" t="inlineStr">
        <is>
          <t>3h</t>
        </is>
      </c>
      <c r="N11" s="6" t="n">
        <v>19.1</v>
      </c>
      <c r="O11" s="6" t="n">
        <v>34.2</v>
      </c>
      <c r="P11" s="6" t="n">
        <v>47</v>
      </c>
      <c r="Q11" s="6" t="n">
        <v>67.3</v>
      </c>
      <c r="R11" s="6" t="n">
        <v>86</v>
      </c>
      <c r="S11" s="6" t="n">
        <v>108.3</v>
      </c>
      <c r="T11" s="6" t="n">
        <v>135.1</v>
      </c>
      <c r="U11" s="6" t="n">
        <v>178.9</v>
      </c>
      <c r="V11" s="6" t="n">
        <v>219.9</v>
      </c>
      <c r="W11" s="6" t="n">
        <v>269.1</v>
      </c>
      <c r="X11" s="6" t="n">
        <v>349.7</v>
      </c>
      <c r="Y11" s="6" t="n">
        <v>425.1</v>
      </c>
    </row>
    <row r="12">
      <c r="A12" s="6" t="n">
        <v>2003</v>
      </c>
      <c r="B12" s="7" t="n">
        <v>4.8</v>
      </c>
      <c r="C12" s="7" t="n">
        <v>7.8</v>
      </c>
      <c r="D12" s="7" t="n">
        <v>10.8</v>
      </c>
      <c r="E12" s="7" t="n">
        <v>15.4</v>
      </c>
      <c r="F12" s="7" t="n">
        <v>20.6</v>
      </c>
      <c r="G12" s="7" t="n">
        <v>21.6</v>
      </c>
      <c r="H12" s="7" t="n">
        <v>21.6</v>
      </c>
      <c r="I12" s="7" t="n">
        <v>21.7</v>
      </c>
      <c r="J12" s="7" t="n">
        <v>21.8</v>
      </c>
      <c r="K12" s="7" t="n">
        <v>22</v>
      </c>
      <c r="M12" s="6" t="inlineStr">
        <is>
          <t>6h</t>
        </is>
      </c>
      <c r="N12" s="6" t="n">
        <v>21.7</v>
      </c>
      <c r="O12" s="6" t="n">
        <v>40.9</v>
      </c>
      <c r="P12" s="6" t="n">
        <v>59</v>
      </c>
      <c r="Q12" s="6" t="n">
        <v>90.40000000000001</v>
      </c>
      <c r="R12" s="6" t="n">
        <v>122</v>
      </c>
      <c r="S12" s="6" t="n">
        <v>162.9</v>
      </c>
      <c r="T12" s="6" t="n">
        <v>215.8</v>
      </c>
      <c r="U12" s="6" t="n">
        <v>310.4</v>
      </c>
      <c r="V12" s="6" t="n">
        <v>406.9</v>
      </c>
      <c r="W12" s="6" t="n">
        <v>532</v>
      </c>
      <c r="X12" s="6" t="n">
        <v>756</v>
      </c>
      <c r="Y12" s="6" t="n">
        <v>984.6</v>
      </c>
    </row>
    <row r="13">
      <c r="A13" s="6" t="n">
        <v>2004</v>
      </c>
      <c r="B13" s="7" t="n">
        <v>3.8</v>
      </c>
      <c r="C13" s="7" t="n">
        <v>7.4</v>
      </c>
      <c r="D13" s="7" t="n">
        <v>9.199999999999999</v>
      </c>
      <c r="E13" s="7" t="n">
        <v>10.2</v>
      </c>
      <c r="F13" s="7" t="n">
        <v>10.3</v>
      </c>
      <c r="G13" s="7" t="n">
        <v>10.3</v>
      </c>
      <c r="H13" s="7" t="n">
        <v>12.6</v>
      </c>
      <c r="I13" s="7" t="n">
        <v>14.7</v>
      </c>
      <c r="J13" s="7" t="n">
        <v>14.9</v>
      </c>
      <c r="K13" s="7" t="n">
        <v>15.1</v>
      </c>
      <c r="M13" s="6" t="inlineStr">
        <is>
          <t>12h</t>
        </is>
      </c>
      <c r="N13" s="6" t="n">
        <v>24.1</v>
      </c>
      <c r="O13" s="6" t="n">
        <v>47.2</v>
      </c>
      <c r="P13" s="6" t="n">
        <v>70.40000000000001</v>
      </c>
      <c r="Q13" s="6" t="n">
        <v>113.3</v>
      </c>
      <c r="R13" s="6" t="n">
        <v>159.1</v>
      </c>
      <c r="S13" s="6" t="n">
        <v>221.2</v>
      </c>
      <c r="T13" s="6" t="n">
        <v>305.5</v>
      </c>
      <c r="U13" s="6" t="n">
        <v>465.4</v>
      </c>
      <c r="V13" s="6" t="n">
        <v>637.9</v>
      </c>
      <c r="W13" s="6" t="n">
        <v>872.8</v>
      </c>
      <c r="X13" s="6" t="n">
        <v>1318.3</v>
      </c>
      <c r="Y13" s="6" t="n">
        <v>1799.1</v>
      </c>
    </row>
    <row r="14">
      <c r="A14" s="6" t="n">
        <v>2005</v>
      </c>
      <c r="B14" s="7" t="n">
        <v>3.6</v>
      </c>
      <c r="C14" s="7" t="n">
        <v>4.8</v>
      </c>
      <c r="D14" s="7" t="n">
        <v>5.8</v>
      </c>
      <c r="E14" s="7" t="n">
        <v>8.199999999999999</v>
      </c>
      <c r="F14" s="7" t="n">
        <v>8.4</v>
      </c>
      <c r="G14" s="7" t="n">
        <v>8.4</v>
      </c>
      <c r="H14" s="7" t="n">
        <v>8.4</v>
      </c>
      <c r="I14" s="7" t="n">
        <v>12.8</v>
      </c>
      <c r="J14" s="7" t="n">
        <v>16</v>
      </c>
      <c r="K14" s="7" t="n">
        <v>16.1</v>
      </c>
      <c r="M14" s="6" t="inlineStr">
        <is>
          <t>24h</t>
        </is>
      </c>
      <c r="N14" s="6" t="n">
        <v>30.5</v>
      </c>
      <c r="O14" s="6" t="n">
        <v>60.2</v>
      </c>
      <c r="P14" s="6" t="n">
        <v>88.59999999999999</v>
      </c>
      <c r="Q14" s="6" t="n">
        <v>139.1</v>
      </c>
      <c r="R14" s="6" t="n">
        <v>190.9</v>
      </c>
      <c r="S14" s="6" t="n">
        <v>258.7</v>
      </c>
      <c r="T14" s="6" t="n">
        <v>347.8</v>
      </c>
      <c r="U14" s="6" t="n">
        <v>510.1</v>
      </c>
      <c r="V14" s="6" t="n">
        <v>678.5</v>
      </c>
      <c r="W14" s="6" t="n">
        <v>900.1</v>
      </c>
      <c r="X14" s="6" t="n">
        <v>1318.3</v>
      </c>
      <c r="Y14" s="6" t="n">
        <v>1799.1</v>
      </c>
    </row>
    <row r="15">
      <c r="A15" s="6" t="n">
        <v>2006</v>
      </c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</row>
    <row r="16">
      <c r="A16" s="6" t="n">
        <v>2007</v>
      </c>
      <c r="B16" s="7" t="n">
        <v>10.4</v>
      </c>
      <c r="C16" s="7" t="n">
        <v>16.6</v>
      </c>
      <c r="D16" s="7" t="n">
        <v>22.2</v>
      </c>
      <c r="E16" s="7" t="n">
        <v>36</v>
      </c>
      <c r="F16" s="7" t="n">
        <v>69.40000000000001</v>
      </c>
      <c r="G16" s="7" t="n">
        <v>126.8</v>
      </c>
      <c r="H16" s="7" t="n">
        <v>171.4</v>
      </c>
      <c r="I16" s="7" t="n">
        <v>308</v>
      </c>
      <c r="J16" s="7" t="n">
        <v>503</v>
      </c>
      <c r="K16" s="7" t="n">
        <v>620.6</v>
      </c>
      <c r="M16" s="3" t="inlineStr">
        <is>
          <t>IDF - intensity (mm/hr) [x=duration(min)]</t>
        </is>
      </c>
    </row>
    <row r="17">
      <c r="A17" s="6" t="n">
        <v>2009</v>
      </c>
      <c r="B17" s="7" t="n">
        <v>1.2</v>
      </c>
      <c r="C17" s="7" t="n">
        <v>1.8</v>
      </c>
      <c r="D17" s="7" t="n">
        <v>2.2</v>
      </c>
      <c r="E17" s="7" t="n">
        <v>3</v>
      </c>
      <c r="F17" s="7" t="n">
        <v>3.4</v>
      </c>
      <c r="G17" s="7" t="n">
        <v>3.5</v>
      </c>
      <c r="H17" s="7" t="n">
        <v>3.8</v>
      </c>
      <c r="I17" s="7" t="n">
        <v>5</v>
      </c>
      <c r="J17" s="7" t="n">
        <v>6.1</v>
      </c>
      <c r="K17" s="7" t="n">
        <v>10.7</v>
      </c>
      <c r="M17" t="inlineStr">
        <is>
          <t>Duration(min)</t>
        </is>
      </c>
      <c r="N17" t="inlineStr">
        <is>
          <t>2 yr</t>
        </is>
      </c>
      <c r="O17" t="inlineStr">
        <is>
          <t>5 yr</t>
        </is>
      </c>
      <c r="P17" t="inlineStr">
        <is>
          <t>10 yr</t>
        </is>
      </c>
      <c r="Q17" t="inlineStr">
        <is>
          <t>25 yr</t>
        </is>
      </c>
      <c r="R17" t="inlineStr">
        <is>
          <t>50 yr</t>
        </is>
      </c>
      <c r="S17" t="inlineStr">
        <is>
          <t>100 yr</t>
        </is>
      </c>
      <c r="T17" t="inlineStr">
        <is>
          <t>200 yr</t>
        </is>
      </c>
      <c r="U17" t="inlineStr">
        <is>
          <t>500 yr</t>
        </is>
      </c>
      <c r="V17" t="inlineStr">
        <is>
          <t>1000 yr</t>
        </is>
      </c>
      <c r="W17" t="inlineStr">
        <is>
          <t>2000 yr</t>
        </is>
      </c>
      <c r="X17" t="inlineStr">
        <is>
          <t>5000 yr</t>
        </is>
      </c>
      <c r="Y17" t="inlineStr">
        <is>
          <t>10000 yr</t>
        </is>
      </c>
    </row>
    <row r="18">
      <c r="A18" s="6" t="n">
        <v>2010</v>
      </c>
      <c r="B18" s="7" t="n">
        <v>5.4</v>
      </c>
      <c r="C18" s="7" t="n">
        <v>8.199999999999999</v>
      </c>
      <c r="D18" s="7" t="n">
        <v>10</v>
      </c>
      <c r="E18" s="7" t="n">
        <v>13.4</v>
      </c>
      <c r="F18" s="7" t="n">
        <v>19.2</v>
      </c>
      <c r="G18" s="7" t="n">
        <v>20.2</v>
      </c>
      <c r="H18" s="7" t="n">
        <v>20.3</v>
      </c>
      <c r="I18" s="7" t="n">
        <v>20.4</v>
      </c>
      <c r="J18" s="7" t="n">
        <v>20.7</v>
      </c>
      <c r="K18" s="7" t="n">
        <v>25.5</v>
      </c>
      <c r="M18" t="n">
        <v>5</v>
      </c>
      <c r="N18" t="n">
        <v>55.8</v>
      </c>
      <c r="O18" t="n">
        <v>88.2</v>
      </c>
      <c r="P18" t="n">
        <v>109.6</v>
      </c>
      <c r="Q18" t="n">
        <v>136.4</v>
      </c>
      <c r="R18" t="n">
        <v>156.3</v>
      </c>
      <c r="S18" t="n">
        <v>175.9</v>
      </c>
      <c r="T18" t="n">
        <v>195.4</v>
      </c>
      <c r="U18" t="n">
        <v>221</v>
      </c>
      <c r="V18" t="n">
        <v>240.3</v>
      </c>
      <c r="W18" t="n">
        <v>259.5</v>
      </c>
      <c r="X18" t="n">
        <v>284.8</v>
      </c>
      <c r="Y18" t="n">
        <v>303.9</v>
      </c>
    </row>
    <row r="19">
      <c r="A19" s="6" t="n">
        <v>2011</v>
      </c>
      <c r="B19" s="7" t="n">
        <v>1.4</v>
      </c>
      <c r="C19" s="7" t="n">
        <v>2.2</v>
      </c>
      <c r="D19" s="7" t="n">
        <v>3</v>
      </c>
      <c r="E19" s="7" t="n">
        <v>3.7</v>
      </c>
      <c r="F19" s="7" t="n">
        <v>4.2</v>
      </c>
      <c r="G19" s="7" t="n">
        <v>4.2</v>
      </c>
      <c r="H19" s="7" t="n">
        <v>4.2</v>
      </c>
      <c r="I19" s="7" t="n">
        <v>4.2</v>
      </c>
      <c r="J19" s="7" t="n">
        <v>4.3</v>
      </c>
      <c r="K19" s="7" t="n">
        <v>4.4</v>
      </c>
      <c r="M19" t="n">
        <v>10</v>
      </c>
      <c r="N19" t="n">
        <v>45.1</v>
      </c>
      <c r="O19" t="n">
        <v>71.09999999999999</v>
      </c>
      <c r="P19" t="n">
        <v>88.40000000000001</v>
      </c>
      <c r="Q19" t="n">
        <v>110.2</v>
      </c>
      <c r="R19" t="n">
        <v>126.5</v>
      </c>
      <c r="S19" t="n">
        <v>142.7</v>
      </c>
      <c r="T19" t="n">
        <v>158.9</v>
      </c>
      <c r="U19" t="n">
        <v>180.2</v>
      </c>
      <c r="V19" t="n">
        <v>196.5</v>
      </c>
      <c r="W19" t="n">
        <v>212.7</v>
      </c>
      <c r="X19" t="n">
        <v>234.2</v>
      </c>
      <c r="Y19" t="n">
        <v>250.6</v>
      </c>
    </row>
    <row r="20">
      <c r="A20" s="6" t="n">
        <v>2012</v>
      </c>
      <c r="B20" s="7" t="n">
        <v>6</v>
      </c>
      <c r="C20" s="7" t="n">
        <v>10.4</v>
      </c>
      <c r="D20" s="7" t="n">
        <v>14</v>
      </c>
      <c r="E20" s="7" t="n">
        <v>23.2</v>
      </c>
      <c r="F20" s="7" t="n">
        <v>36.4</v>
      </c>
      <c r="G20" s="7" t="n">
        <v>38.9</v>
      </c>
      <c r="H20" s="7" t="n">
        <v>41.2</v>
      </c>
      <c r="I20" s="7" t="n">
        <v>42.2</v>
      </c>
      <c r="J20" s="7" t="n">
        <v>42.3</v>
      </c>
      <c r="K20" s="7" t="n">
        <v>46</v>
      </c>
      <c r="M20" t="n">
        <v>15</v>
      </c>
      <c r="N20" t="n">
        <v>36.9</v>
      </c>
      <c r="O20" t="n">
        <v>59.9</v>
      </c>
      <c r="P20" t="n">
        <v>75.90000000000001</v>
      </c>
      <c r="Q20" t="n">
        <v>97.09999999999999</v>
      </c>
      <c r="R20" t="n">
        <v>113.7</v>
      </c>
      <c r="S20" t="n">
        <v>130.7</v>
      </c>
      <c r="T20" t="n">
        <v>148.3</v>
      </c>
      <c r="U20" t="n">
        <v>172.7</v>
      </c>
      <c r="V20" t="n">
        <v>192</v>
      </c>
      <c r="W20" t="n">
        <v>212</v>
      </c>
      <c r="X20" t="n">
        <v>239.7</v>
      </c>
      <c r="Y20" t="n">
        <v>261.6</v>
      </c>
    </row>
    <row r="21">
      <c r="A21" s="6" t="n">
        <v>2013</v>
      </c>
      <c r="B21" s="7" t="n">
        <v>3.4</v>
      </c>
      <c r="C21" s="7" t="n">
        <v>6</v>
      </c>
      <c r="D21" s="7" t="n">
        <v>7.6</v>
      </c>
      <c r="E21" s="7" t="n">
        <v>14</v>
      </c>
      <c r="F21" s="7" t="n">
        <v>17.2</v>
      </c>
      <c r="G21" s="7" t="n">
        <v>18.9</v>
      </c>
      <c r="H21" s="7" t="n">
        <v>20.8</v>
      </c>
      <c r="I21" s="7" t="n">
        <v>27</v>
      </c>
      <c r="J21" s="7" t="n">
        <v>27.1</v>
      </c>
      <c r="K21" s="7" t="n">
        <v>27.4</v>
      </c>
      <c r="M21" t="n">
        <v>30</v>
      </c>
      <c r="N21" t="n">
        <v>25</v>
      </c>
      <c r="O21" t="n">
        <v>41.4</v>
      </c>
      <c r="P21" t="n">
        <v>53</v>
      </c>
      <c r="Q21" t="n">
        <v>68.59999999999999</v>
      </c>
      <c r="R21" t="n">
        <v>80.90000000000001</v>
      </c>
      <c r="S21" t="n">
        <v>93.7</v>
      </c>
      <c r="T21" t="n">
        <v>107.1</v>
      </c>
      <c r="U21" t="n">
        <v>125.7</v>
      </c>
      <c r="V21" t="n">
        <v>140.7</v>
      </c>
      <c r="W21" t="n">
        <v>156.4</v>
      </c>
      <c r="X21" t="n">
        <v>178.3</v>
      </c>
      <c r="Y21" t="n">
        <v>195.9</v>
      </c>
    </row>
    <row r="22">
      <c r="A22" s="6" t="n">
        <v>2014</v>
      </c>
      <c r="B22" s="7" t="n">
        <v>5.2</v>
      </c>
      <c r="C22" s="7" t="n">
        <v>10.4</v>
      </c>
      <c r="D22" s="7" t="n">
        <v>13.2</v>
      </c>
      <c r="E22" s="7" t="n">
        <v>21</v>
      </c>
      <c r="F22" s="7" t="n">
        <v>26.8</v>
      </c>
      <c r="G22" s="7" t="n">
        <v>26.8</v>
      </c>
      <c r="H22" s="7" t="n">
        <v>26.9</v>
      </c>
      <c r="I22" s="7" t="n">
        <v>27.8</v>
      </c>
      <c r="J22" s="7" t="n">
        <v>27.9</v>
      </c>
      <c r="K22" s="7" t="n">
        <v>28.1</v>
      </c>
      <c r="M22" t="n">
        <v>60</v>
      </c>
      <c r="N22" t="n">
        <v>15.6</v>
      </c>
      <c r="O22" t="n">
        <v>26.2</v>
      </c>
      <c r="P22" t="n">
        <v>34.1</v>
      </c>
      <c r="Q22" t="n">
        <v>45</v>
      </c>
      <c r="R22" t="n">
        <v>53.9</v>
      </c>
      <c r="S22" t="n">
        <v>63.5</v>
      </c>
      <c r="T22" t="n">
        <v>73.90000000000001</v>
      </c>
      <c r="U22" t="n">
        <v>88.90000000000001</v>
      </c>
      <c r="V22" t="n">
        <v>101.3</v>
      </c>
      <c r="W22" t="n">
        <v>114.8</v>
      </c>
      <c r="X22" t="n">
        <v>134.3</v>
      </c>
      <c r="Y22" t="n">
        <v>150.5</v>
      </c>
    </row>
    <row r="23">
      <c r="A23" s="6" t="n">
        <v>2015</v>
      </c>
      <c r="B23" s="7" t="n">
        <v>3</v>
      </c>
      <c r="C23" s="7" t="n">
        <v>4</v>
      </c>
      <c r="D23" s="7" t="n">
        <v>5</v>
      </c>
      <c r="E23" s="7" t="n">
        <v>6.2</v>
      </c>
      <c r="F23" s="7" t="n">
        <v>6.6</v>
      </c>
      <c r="G23" s="7" t="n">
        <v>7.2</v>
      </c>
      <c r="H23" s="7" t="n">
        <v>8.800000000000001</v>
      </c>
      <c r="I23" s="7" t="n">
        <v>14.8</v>
      </c>
      <c r="J23" s="7" t="n">
        <v>14.9</v>
      </c>
      <c r="K23" s="7" t="n">
        <v>15</v>
      </c>
      <c r="M23" t="n">
        <v>120</v>
      </c>
      <c r="N23" t="n">
        <v>8.9</v>
      </c>
      <c r="O23" t="n">
        <v>15.6</v>
      </c>
      <c r="P23" t="n">
        <v>21</v>
      </c>
      <c r="Q23" t="n">
        <v>29</v>
      </c>
      <c r="R23" t="n">
        <v>36.1</v>
      </c>
      <c r="S23" t="n">
        <v>44.1</v>
      </c>
      <c r="T23" t="n">
        <v>53.4</v>
      </c>
      <c r="U23" t="n">
        <v>67.8</v>
      </c>
      <c r="V23" t="n">
        <v>80.59999999999999</v>
      </c>
      <c r="W23" t="n">
        <v>95.40000000000001</v>
      </c>
      <c r="X23" t="n">
        <v>118.3</v>
      </c>
      <c r="Y23" t="n">
        <v>138.7</v>
      </c>
    </row>
    <row r="24">
      <c r="A24" s="6" t="n">
        <v>2016</v>
      </c>
      <c r="B24" s="7" t="n">
        <v>35.5</v>
      </c>
      <c r="C24" s="7" t="n">
        <v>71</v>
      </c>
      <c r="D24" s="7" t="n">
        <v>80.59999999999999</v>
      </c>
      <c r="E24" s="7" t="n">
        <v>103.4</v>
      </c>
      <c r="F24" s="7" t="n">
        <v>105</v>
      </c>
      <c r="G24" s="7" t="n">
        <v>105</v>
      </c>
      <c r="H24" s="7" t="n">
        <v>105</v>
      </c>
      <c r="I24" s="7" t="n">
        <v>154</v>
      </c>
      <c r="J24" s="7" t="n">
        <v>154</v>
      </c>
      <c r="K24" s="7" t="n">
        <v>154</v>
      </c>
      <c r="M24" t="n">
        <v>180</v>
      </c>
      <c r="N24" t="n">
        <v>6.4</v>
      </c>
      <c r="O24" t="n">
        <v>11.4</v>
      </c>
      <c r="P24" t="n">
        <v>15.7</v>
      </c>
      <c r="Q24" t="n">
        <v>22.4</v>
      </c>
      <c r="R24" t="n">
        <v>28.7</v>
      </c>
      <c r="S24" t="n">
        <v>36.1</v>
      </c>
      <c r="T24" t="n">
        <v>45</v>
      </c>
      <c r="U24" t="n">
        <v>59.6</v>
      </c>
      <c r="V24" t="n">
        <v>73.3</v>
      </c>
      <c r="W24" t="n">
        <v>89.7</v>
      </c>
      <c r="X24" t="n">
        <v>116.6</v>
      </c>
      <c r="Y24" t="n">
        <v>141.7</v>
      </c>
    </row>
    <row r="25">
      <c r="A25" s="6" t="n">
        <v>2017</v>
      </c>
      <c r="B25" s="7" t="n">
        <v>5</v>
      </c>
      <c r="C25" s="7" t="n">
        <v>5.6</v>
      </c>
      <c r="D25" s="7" t="n">
        <v>5.8</v>
      </c>
      <c r="E25" s="7" t="n">
        <v>7.4</v>
      </c>
      <c r="F25" s="7" t="n">
        <v>13.4</v>
      </c>
      <c r="G25" s="7" t="n">
        <v>20.2</v>
      </c>
      <c r="H25" s="7" t="n">
        <v>23.4</v>
      </c>
      <c r="I25" s="7" t="n">
        <v>24</v>
      </c>
      <c r="J25" s="7" t="n">
        <v>24</v>
      </c>
      <c r="K25" s="7" t="n">
        <v>24</v>
      </c>
      <c r="M25" t="n">
        <v>360</v>
      </c>
      <c r="N25" t="n">
        <v>3.6</v>
      </c>
      <c r="O25" t="n">
        <v>6.8</v>
      </c>
      <c r="P25" t="n">
        <v>9.800000000000001</v>
      </c>
      <c r="Q25" t="n">
        <v>15.1</v>
      </c>
      <c r="R25" t="n">
        <v>20.3</v>
      </c>
      <c r="S25" t="n">
        <v>27.2</v>
      </c>
      <c r="T25" t="n">
        <v>36</v>
      </c>
      <c r="U25" t="n">
        <v>51.7</v>
      </c>
      <c r="V25" t="n">
        <v>67.8</v>
      </c>
      <c r="W25" t="n">
        <v>88.7</v>
      </c>
      <c r="X25" t="n">
        <v>126</v>
      </c>
      <c r="Y25" t="n">
        <v>164.1</v>
      </c>
    </row>
    <row r="26">
      <c r="A26" s="6" t="n">
        <v>2018</v>
      </c>
      <c r="B26" s="7" t="n">
        <v>3.5</v>
      </c>
      <c r="C26" s="7" t="n">
        <v>7</v>
      </c>
      <c r="D26" s="7" t="n">
        <v>9</v>
      </c>
      <c r="E26" s="7" t="n">
        <v>11.3</v>
      </c>
      <c r="F26" s="7" t="n">
        <v>14</v>
      </c>
      <c r="G26" s="7" t="n">
        <v>15.2</v>
      </c>
      <c r="H26" s="7" t="n">
        <v>17.8</v>
      </c>
      <c r="I26" s="7" t="n">
        <v>25.8</v>
      </c>
      <c r="J26" s="7" t="n">
        <v>27.4</v>
      </c>
      <c r="K26" s="7" t="n">
        <v>30.4</v>
      </c>
      <c r="M26" t="n">
        <v>720</v>
      </c>
      <c r="N26" t="n">
        <v>2</v>
      </c>
      <c r="O26" t="n">
        <v>3.9</v>
      </c>
      <c r="P26" t="n">
        <v>5.9</v>
      </c>
      <c r="Q26" t="n">
        <v>9.4</v>
      </c>
      <c r="R26" t="n">
        <v>13.3</v>
      </c>
      <c r="S26" t="n">
        <v>18.4</v>
      </c>
      <c r="T26" t="n">
        <v>25.5</v>
      </c>
      <c r="U26" t="n">
        <v>38.8</v>
      </c>
      <c r="V26" t="n">
        <v>53.2</v>
      </c>
      <c r="W26" t="n">
        <v>72.7</v>
      </c>
      <c r="X26" t="n">
        <v>109.9</v>
      </c>
      <c r="Y26" t="n">
        <v>149.9</v>
      </c>
    </row>
    <row r="27">
      <c r="A27" s="6" t="n">
        <v>2019</v>
      </c>
      <c r="B27" s="7" t="n">
        <v>6.6</v>
      </c>
      <c r="C27" s="7" t="n">
        <v>6.6</v>
      </c>
      <c r="D27" s="7" t="n">
        <v>7.6</v>
      </c>
      <c r="E27" s="7" t="n">
        <v>13.2</v>
      </c>
      <c r="F27" s="7" t="n">
        <v>20.8</v>
      </c>
      <c r="G27" s="7" t="n">
        <v>22.6</v>
      </c>
      <c r="H27" s="7" t="n">
        <v>22.6</v>
      </c>
      <c r="I27" s="7" t="n">
        <v>22.6</v>
      </c>
      <c r="J27" s="7" t="n">
        <v>22.8</v>
      </c>
      <c r="K27" s="7" t="n">
        <v>22.8</v>
      </c>
      <c r="M27" t="n">
        <v>1440</v>
      </c>
      <c r="N27" t="n">
        <v>1.3</v>
      </c>
      <c r="O27" t="n">
        <v>2.5</v>
      </c>
      <c r="P27" t="n">
        <v>3.7</v>
      </c>
      <c r="Q27" t="n">
        <v>5.8</v>
      </c>
      <c r="R27" t="n">
        <v>8</v>
      </c>
      <c r="S27" t="n">
        <v>10.8</v>
      </c>
      <c r="T27" t="n">
        <v>14.5</v>
      </c>
      <c r="U27" t="n">
        <v>21.3</v>
      </c>
      <c r="V27" t="n">
        <v>28.3</v>
      </c>
      <c r="W27" t="n">
        <v>37.5</v>
      </c>
      <c r="X27" t="n">
        <v>54.9</v>
      </c>
      <c r="Y27" t="n">
        <v>75</v>
      </c>
    </row>
    <row r="28">
      <c r="A28" s="6" t="n">
        <v>2020</v>
      </c>
      <c r="B28" s="7" t="n"/>
      <c r="C28" s="7" t="n"/>
      <c r="D28" s="7" t="n">
        <v>10.6</v>
      </c>
      <c r="E28" s="7" t="n">
        <v>11.8</v>
      </c>
      <c r="F28" s="7" t="n">
        <v>11.8</v>
      </c>
      <c r="G28" s="7" t="n">
        <v>11.8</v>
      </c>
      <c r="H28" s="7" t="n">
        <v>11.8</v>
      </c>
      <c r="I28" s="7" t="n">
        <v>15.2</v>
      </c>
      <c r="J28" s="7" t="n">
        <v>15.2</v>
      </c>
      <c r="K28" s="7" t="n">
        <v>15.2</v>
      </c>
    </row>
    <row r="31">
      <c r="A31" s="2" t="inlineStr">
        <is>
          <t>AMS AFTER gap filling (mm)  -  yellow = added or changed by gap filling</t>
        </is>
      </c>
    </row>
    <row r="32">
      <c r="A32" s="4" t="inlineStr">
        <is>
          <t>Water year</t>
        </is>
      </c>
      <c r="B32" s="5" t="inlineStr">
        <is>
          <t>5min</t>
        </is>
      </c>
      <c r="C32" s="5" t="inlineStr">
        <is>
          <t>10min</t>
        </is>
      </c>
      <c r="D32" s="5" t="inlineStr">
        <is>
          <t>15min</t>
        </is>
      </c>
      <c r="E32" s="5" t="inlineStr">
        <is>
          <t>30min</t>
        </is>
      </c>
      <c r="F32" s="5" t="inlineStr">
        <is>
          <t>1h</t>
        </is>
      </c>
      <c r="G32" s="5" t="inlineStr">
        <is>
          <t>2h</t>
        </is>
      </c>
      <c r="H32" s="5" t="inlineStr">
        <is>
          <t>3h</t>
        </is>
      </c>
      <c r="I32" s="5" t="inlineStr">
        <is>
          <t>6h</t>
        </is>
      </c>
      <c r="J32" s="5" t="inlineStr">
        <is>
          <t>12h</t>
        </is>
      </c>
      <c r="K32" s="5" t="inlineStr">
        <is>
          <t>24h</t>
        </is>
      </c>
    </row>
    <row r="33">
      <c r="A33" s="6" t="n">
        <v>1995</v>
      </c>
      <c r="B33" s="7" t="n"/>
      <c r="C33" s="7" t="n"/>
      <c r="D33" s="7" t="n"/>
      <c r="E33" s="7" t="n"/>
      <c r="F33" s="7" t="n"/>
      <c r="G33" s="7" t="n"/>
      <c r="H33" s="7" t="n"/>
      <c r="I33" s="7" t="n"/>
      <c r="J33" s="7" t="n"/>
      <c r="K33" s="7" t="n">
        <v>126.5</v>
      </c>
    </row>
    <row r="34">
      <c r="A34" s="6" t="n">
        <v>1996</v>
      </c>
      <c r="B34" s="7" t="n"/>
      <c r="C34" s="7" t="n"/>
      <c r="D34" s="7" t="n"/>
      <c r="E34" s="7" t="n"/>
      <c r="F34" s="7" t="n"/>
      <c r="G34" s="7" t="n"/>
      <c r="H34" s="7" t="n"/>
      <c r="I34" s="7" t="n"/>
      <c r="J34" s="7" t="n"/>
      <c r="K34" s="7" t="n">
        <v>58.9</v>
      </c>
    </row>
    <row r="35">
      <c r="A35" s="6" t="n">
        <v>1997</v>
      </c>
      <c r="B35" s="7" t="n"/>
      <c r="C35" s="7" t="n"/>
      <c r="D35" s="7" t="n"/>
      <c r="E35" s="7" t="n"/>
      <c r="F35" s="7" t="n"/>
      <c r="G35" s="7" t="n"/>
      <c r="H35" s="7" t="n"/>
      <c r="I35" s="7" t="n"/>
      <c r="J35" s="7" t="n"/>
      <c r="K35" s="7" t="n">
        <v>68.5</v>
      </c>
    </row>
    <row r="36">
      <c r="A36" s="6" t="n">
        <v>1998</v>
      </c>
      <c r="B36" s="7" t="n"/>
      <c r="C36" s="7" t="n"/>
      <c r="D36" s="7" t="n"/>
      <c r="E36" s="7" t="n"/>
      <c r="F36" s="7" t="n"/>
      <c r="G36" s="7" t="n"/>
      <c r="H36" s="7" t="n"/>
      <c r="I36" s="7" t="n"/>
      <c r="J36" s="7" t="n"/>
      <c r="K36" s="7" t="n">
        <v>41</v>
      </c>
    </row>
    <row r="37">
      <c r="A37" s="6" t="n">
        <v>1999</v>
      </c>
      <c r="B37" s="8" t="n">
        <v>2.1</v>
      </c>
      <c r="C37" s="8" t="n">
        <v>3.9</v>
      </c>
      <c r="D37" s="8" t="n">
        <v>5.4</v>
      </c>
      <c r="E37" s="8" t="n">
        <v>7.1</v>
      </c>
      <c r="F37" s="8" t="n">
        <v>8.1</v>
      </c>
      <c r="G37" s="8" t="n">
        <v>9.300000000000001</v>
      </c>
      <c r="H37" s="8" t="n">
        <v>12.9</v>
      </c>
      <c r="I37" s="8" t="n">
        <v>14.2</v>
      </c>
      <c r="J37" s="8" t="n">
        <v>17.1</v>
      </c>
      <c r="K37" s="8" t="n">
        <v>23.4</v>
      </c>
    </row>
    <row r="38">
      <c r="A38" s="6" t="n">
        <v>2001</v>
      </c>
      <c r="B38" s="7" t="n">
        <v>3</v>
      </c>
      <c r="C38" s="7" t="n">
        <v>4.8</v>
      </c>
      <c r="D38" s="7" t="n">
        <v>7</v>
      </c>
      <c r="E38" s="7" t="n">
        <v>11.2</v>
      </c>
      <c r="F38" s="7" t="n">
        <v>15.7</v>
      </c>
      <c r="G38" s="7" t="n">
        <v>17.6</v>
      </c>
      <c r="H38" s="7" t="n">
        <v>19</v>
      </c>
      <c r="I38" s="7" t="n">
        <v>19.8</v>
      </c>
      <c r="J38" s="7" t="n">
        <v>19.9</v>
      </c>
      <c r="K38" s="8" t="n">
        <v>21.1</v>
      </c>
    </row>
    <row r="39">
      <c r="A39" s="6" t="n">
        <v>2002</v>
      </c>
      <c r="B39" s="7" t="n">
        <v>2.8</v>
      </c>
      <c r="C39" s="7" t="n">
        <v>4.2</v>
      </c>
      <c r="D39" s="7" t="n">
        <v>5.2</v>
      </c>
      <c r="E39" s="7" t="n">
        <v>6</v>
      </c>
      <c r="F39" s="7" t="n">
        <v>6.6</v>
      </c>
      <c r="G39" s="7" t="n">
        <v>12.8</v>
      </c>
      <c r="H39" s="7" t="n">
        <v>12.9</v>
      </c>
      <c r="I39" s="7" t="n">
        <v>13</v>
      </c>
      <c r="J39" s="7" t="n">
        <v>13.1</v>
      </c>
      <c r="K39" s="7" t="n">
        <v>13.3</v>
      </c>
    </row>
    <row r="40">
      <c r="A40" s="6" t="n">
        <v>2003</v>
      </c>
      <c r="B40" s="7" t="n">
        <v>4.8</v>
      </c>
      <c r="C40" s="7" t="n">
        <v>7.8</v>
      </c>
      <c r="D40" s="7" t="n">
        <v>10.8</v>
      </c>
      <c r="E40" s="7" t="n">
        <v>15.4</v>
      </c>
      <c r="F40" s="7" t="n">
        <v>20.6</v>
      </c>
      <c r="G40" s="7" t="n">
        <v>21.6</v>
      </c>
      <c r="H40" s="7" t="n">
        <v>21.6</v>
      </c>
      <c r="I40" s="7" t="n">
        <v>21.7</v>
      </c>
      <c r="J40" s="7" t="n">
        <v>21.8</v>
      </c>
      <c r="K40" s="7" t="n">
        <v>22</v>
      </c>
    </row>
    <row r="41">
      <c r="A41" s="6" t="n">
        <v>2004</v>
      </c>
      <c r="B41" s="7" t="n">
        <v>3.8</v>
      </c>
      <c r="C41" s="7" t="n">
        <v>7.4</v>
      </c>
      <c r="D41" s="7" t="n">
        <v>9.199999999999999</v>
      </c>
      <c r="E41" s="7" t="n">
        <v>10.2</v>
      </c>
      <c r="F41" s="7" t="n">
        <v>10.3</v>
      </c>
      <c r="G41" s="7" t="n">
        <v>10.3</v>
      </c>
      <c r="H41" s="7" t="n">
        <v>12.6</v>
      </c>
      <c r="I41" s="7" t="n">
        <v>14.7</v>
      </c>
      <c r="J41" s="7" t="n">
        <v>14.9</v>
      </c>
      <c r="K41" s="7" t="n">
        <v>15.1</v>
      </c>
    </row>
    <row r="42">
      <c r="A42" s="6" t="n">
        <v>2005</v>
      </c>
      <c r="B42" s="7" t="n">
        <v>3.6</v>
      </c>
      <c r="C42" s="7" t="n">
        <v>4.8</v>
      </c>
      <c r="D42" s="8" t="n">
        <v>6</v>
      </c>
      <c r="E42" s="7" t="n">
        <v>8.199999999999999</v>
      </c>
      <c r="F42" s="8" t="n">
        <v>10.4</v>
      </c>
      <c r="G42" s="8" t="n">
        <v>11.6</v>
      </c>
      <c r="H42" s="8" t="n">
        <v>12</v>
      </c>
      <c r="I42" s="7" t="n">
        <v>12.8</v>
      </c>
      <c r="J42" s="8" t="n">
        <v>18.1</v>
      </c>
      <c r="K42" s="8" t="n">
        <v>30.4</v>
      </c>
    </row>
    <row r="43">
      <c r="A43" s="6" t="n">
        <v>2006</v>
      </c>
      <c r="B43" s="8" t="n">
        <v>1.6</v>
      </c>
      <c r="C43" s="8" t="n">
        <v>3.2</v>
      </c>
      <c r="D43" s="8" t="n">
        <v>3.9</v>
      </c>
      <c r="E43" s="8" t="n">
        <v>4.6</v>
      </c>
      <c r="F43" s="8" t="n">
        <v>4.8</v>
      </c>
      <c r="G43" s="8" t="n">
        <v>4.9</v>
      </c>
      <c r="H43" s="8" t="n">
        <v>5.3</v>
      </c>
      <c r="I43" s="8" t="n">
        <v>5.8</v>
      </c>
      <c r="J43" s="8" t="n">
        <v>5.9</v>
      </c>
      <c r="K43" s="8" t="n">
        <v>7</v>
      </c>
    </row>
    <row r="44">
      <c r="A44" s="6" t="n">
        <v>2007</v>
      </c>
      <c r="B44" s="7" t="n">
        <v>10.4</v>
      </c>
      <c r="C44" s="7" t="n">
        <v>16.6</v>
      </c>
      <c r="D44" s="7" t="n">
        <v>22.2</v>
      </c>
      <c r="E44" s="7" t="n">
        <v>36</v>
      </c>
      <c r="F44" s="7" t="n">
        <v>69.40000000000001</v>
      </c>
      <c r="G44" s="7" t="n">
        <v>126.8</v>
      </c>
      <c r="H44" s="7" t="n">
        <v>171.4</v>
      </c>
      <c r="I44" s="7" t="n">
        <v>308</v>
      </c>
      <c r="J44" s="7" t="n">
        <v>503</v>
      </c>
      <c r="K44" s="7" t="n">
        <v>620.6</v>
      </c>
    </row>
    <row r="45">
      <c r="A45" s="6" t="n">
        <v>2009</v>
      </c>
      <c r="B45" s="7" t="n">
        <v>1.2</v>
      </c>
      <c r="C45" s="7" t="n">
        <v>1.8</v>
      </c>
      <c r="D45" s="7" t="n">
        <v>2.2</v>
      </c>
      <c r="E45" s="7" t="n">
        <v>3</v>
      </c>
      <c r="F45" s="7" t="n">
        <v>3.4</v>
      </c>
      <c r="G45" s="7" t="n">
        <v>3.5</v>
      </c>
      <c r="H45" s="7" t="n">
        <v>3.8</v>
      </c>
      <c r="I45" s="7" t="n">
        <v>5</v>
      </c>
      <c r="J45" s="7" t="n">
        <v>6.1</v>
      </c>
      <c r="K45" s="7" t="n">
        <v>10.7</v>
      </c>
    </row>
    <row r="46">
      <c r="A46" s="6" t="n">
        <v>2010</v>
      </c>
      <c r="B46" s="7" t="n">
        <v>5.4</v>
      </c>
      <c r="C46" s="7" t="n">
        <v>8.199999999999999</v>
      </c>
      <c r="D46" s="7" t="n">
        <v>10</v>
      </c>
      <c r="E46" s="7" t="n">
        <v>13.4</v>
      </c>
      <c r="F46" s="7" t="n">
        <v>19.2</v>
      </c>
      <c r="G46" s="7" t="n">
        <v>20.2</v>
      </c>
      <c r="H46" s="7" t="n">
        <v>20.3</v>
      </c>
      <c r="I46" s="7" t="n">
        <v>20.4</v>
      </c>
      <c r="J46" s="7" t="n">
        <v>20.7</v>
      </c>
      <c r="K46" s="7" t="n">
        <v>25.5</v>
      </c>
    </row>
    <row r="47">
      <c r="A47" s="6" t="n">
        <v>2011</v>
      </c>
      <c r="B47" s="7" t="n">
        <v>1.4</v>
      </c>
      <c r="C47" s="7" t="n">
        <v>2.2</v>
      </c>
      <c r="D47" s="7" t="n">
        <v>3</v>
      </c>
      <c r="E47" s="7" t="n">
        <v>3.7</v>
      </c>
      <c r="F47" s="7" t="n">
        <v>4.2</v>
      </c>
      <c r="G47" s="7" t="n">
        <v>4.2</v>
      </c>
      <c r="H47" s="7" t="n">
        <v>4.2</v>
      </c>
      <c r="I47" s="7" t="n">
        <v>4.2</v>
      </c>
      <c r="J47" s="7" t="n">
        <v>4.3</v>
      </c>
      <c r="K47" s="7" t="n">
        <v>4.4</v>
      </c>
    </row>
    <row r="48">
      <c r="A48" s="6" t="n">
        <v>2012</v>
      </c>
      <c r="B48" s="7" t="n">
        <v>6</v>
      </c>
      <c r="C48" s="7" t="n">
        <v>10.4</v>
      </c>
      <c r="D48" s="7" t="n">
        <v>14</v>
      </c>
      <c r="E48" s="7" t="n">
        <v>23.2</v>
      </c>
      <c r="F48" s="7" t="n">
        <v>36.4</v>
      </c>
      <c r="G48" s="7" t="n">
        <v>38.9</v>
      </c>
      <c r="H48" s="7" t="n">
        <v>41.2</v>
      </c>
      <c r="I48" s="7" t="n">
        <v>42.2</v>
      </c>
      <c r="J48" s="7" t="n">
        <v>42.3</v>
      </c>
      <c r="K48" s="8" t="n">
        <v>46.9</v>
      </c>
    </row>
    <row r="49">
      <c r="A49" s="6" t="n">
        <v>2013</v>
      </c>
      <c r="B49" s="8" t="n">
        <v>3.8</v>
      </c>
      <c r="C49" s="8" t="n">
        <v>6.6</v>
      </c>
      <c r="D49" s="8" t="n">
        <v>8.300000000000001</v>
      </c>
      <c r="E49" s="8" t="n">
        <v>15</v>
      </c>
      <c r="F49" s="8" t="n">
        <v>19.4</v>
      </c>
      <c r="G49" s="8" t="n">
        <v>22.2</v>
      </c>
      <c r="H49" s="8" t="n">
        <v>22.8</v>
      </c>
      <c r="I49" s="7" t="n">
        <v>27</v>
      </c>
      <c r="J49" s="7" t="n">
        <v>27.1</v>
      </c>
      <c r="K49" s="8" t="n">
        <v>28.9</v>
      </c>
    </row>
    <row r="50">
      <c r="A50" s="6" t="n">
        <v>2014</v>
      </c>
      <c r="B50" s="7" t="n">
        <v>5.2</v>
      </c>
      <c r="C50" s="7" t="n">
        <v>10.4</v>
      </c>
      <c r="D50" s="7" t="n">
        <v>13.2</v>
      </c>
      <c r="E50" s="7" t="n">
        <v>21</v>
      </c>
      <c r="F50" s="7" t="n">
        <v>26.8</v>
      </c>
      <c r="G50" s="7" t="n">
        <v>26.8</v>
      </c>
      <c r="H50" s="7" t="n">
        <v>26.9</v>
      </c>
      <c r="I50" s="7" t="n">
        <v>27.8</v>
      </c>
      <c r="J50" s="7" t="n">
        <v>27.9</v>
      </c>
      <c r="K50" s="7" t="n">
        <v>28.1</v>
      </c>
    </row>
    <row r="51">
      <c r="A51" s="6" t="n">
        <v>2015</v>
      </c>
      <c r="B51" s="7" t="n">
        <v>3</v>
      </c>
      <c r="C51" s="7" t="n">
        <v>4</v>
      </c>
      <c r="D51" s="7" t="n">
        <v>5</v>
      </c>
      <c r="E51" s="7" t="n">
        <v>6.2</v>
      </c>
      <c r="F51" s="7" t="n">
        <v>6.6</v>
      </c>
      <c r="G51" s="7" t="n">
        <v>7.2</v>
      </c>
      <c r="H51" s="7" t="n">
        <v>8.800000000000001</v>
      </c>
      <c r="I51" s="7" t="n">
        <v>14.8</v>
      </c>
      <c r="J51" s="7" t="n">
        <v>14.9</v>
      </c>
      <c r="K51" s="7" t="n">
        <v>15</v>
      </c>
    </row>
    <row r="52">
      <c r="A52" s="6" t="n">
        <v>2016</v>
      </c>
      <c r="B52" s="7" t="n">
        <v>35.5</v>
      </c>
      <c r="C52" s="7" t="n">
        <v>71</v>
      </c>
      <c r="D52" s="7" t="n">
        <v>80.59999999999999</v>
      </c>
      <c r="E52" s="7" t="n">
        <v>103.4</v>
      </c>
      <c r="F52" s="7" t="n">
        <v>105</v>
      </c>
      <c r="G52" s="7" t="n">
        <v>105</v>
      </c>
      <c r="H52" s="7" t="n">
        <v>105</v>
      </c>
      <c r="I52" s="7" t="n">
        <v>154</v>
      </c>
      <c r="J52" s="7" t="n">
        <v>154</v>
      </c>
      <c r="K52" s="7" t="n">
        <v>154</v>
      </c>
    </row>
    <row r="53">
      <c r="A53" s="6" t="n">
        <v>2017</v>
      </c>
      <c r="B53" s="7" t="n">
        <v>5</v>
      </c>
      <c r="C53" s="7" t="n">
        <v>5.6</v>
      </c>
      <c r="D53" s="7" t="n">
        <v>5.8</v>
      </c>
      <c r="E53" s="7" t="n">
        <v>7.4</v>
      </c>
      <c r="F53" s="7" t="n">
        <v>13.4</v>
      </c>
      <c r="G53" s="7" t="n">
        <v>20.2</v>
      </c>
      <c r="H53" s="7" t="n">
        <v>23.4</v>
      </c>
      <c r="I53" s="7" t="n">
        <v>24</v>
      </c>
      <c r="J53" s="7" t="n">
        <v>24</v>
      </c>
      <c r="K53" s="7" t="n">
        <v>24</v>
      </c>
    </row>
    <row r="54">
      <c r="A54" s="6" t="n">
        <v>2018</v>
      </c>
      <c r="B54" s="7" t="n">
        <v>3.5</v>
      </c>
      <c r="C54" s="7" t="n">
        <v>7</v>
      </c>
      <c r="D54" s="7" t="n">
        <v>9</v>
      </c>
      <c r="E54" s="7" t="n">
        <v>11.3</v>
      </c>
      <c r="F54" s="7" t="n">
        <v>14</v>
      </c>
      <c r="G54" s="7" t="n">
        <v>15.2</v>
      </c>
      <c r="H54" s="7" t="n">
        <v>17.8</v>
      </c>
      <c r="I54" s="7" t="n">
        <v>25.8</v>
      </c>
      <c r="J54" s="7" t="n">
        <v>27.4</v>
      </c>
      <c r="K54" s="7" t="n">
        <v>30.4</v>
      </c>
    </row>
    <row r="55">
      <c r="A55" s="6" t="n">
        <v>2019</v>
      </c>
      <c r="B55" s="7" t="n">
        <v>6.6</v>
      </c>
      <c r="C55" s="7" t="n">
        <v>6.6</v>
      </c>
      <c r="D55" s="7" t="n">
        <v>7.6</v>
      </c>
      <c r="E55" s="7" t="n">
        <v>13.2</v>
      </c>
      <c r="F55" s="7" t="n">
        <v>20.8</v>
      </c>
      <c r="G55" s="7" t="n">
        <v>22.6</v>
      </c>
      <c r="H55" s="7" t="n">
        <v>22.6</v>
      </c>
      <c r="I55" s="7" t="n">
        <v>22.6</v>
      </c>
      <c r="J55" s="7" t="n">
        <v>22.8</v>
      </c>
      <c r="K55" s="7" t="n">
        <v>22.8</v>
      </c>
    </row>
    <row r="56">
      <c r="A56" s="6" t="n">
        <v>2020</v>
      </c>
      <c r="B56" s="7" t="n"/>
      <c r="C56" s="7" t="n"/>
      <c r="D56" s="7" t="n">
        <v>10.6</v>
      </c>
      <c r="E56" s="7" t="n">
        <v>11.8</v>
      </c>
      <c r="F56" s="7" t="n">
        <v>11.8</v>
      </c>
      <c r="G56" s="7" t="n">
        <v>11.8</v>
      </c>
      <c r="H56" s="7" t="n">
        <v>11.8</v>
      </c>
      <c r="I56" s="7" t="n">
        <v>15.2</v>
      </c>
      <c r="J56" s="7" t="n">
        <v>15.2</v>
      </c>
      <c r="K56" s="7" t="n">
        <v>15.2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Y58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</cols>
  <sheetData>
    <row r="1">
      <c r="A1" s="1" t="inlineStr">
        <is>
          <t>Gauge 38  |  FL275746AF  |  MUSBIT NEAR MUSBIT</t>
        </is>
      </c>
    </row>
    <row r="3">
      <c r="A3" s="2" t="inlineStr">
        <is>
          <t>AMS BEFORE gap filling (observed only, mm)</t>
        </is>
      </c>
      <c r="M3" s="3" t="inlineStr">
        <is>
          <t>IDF - design rainfall DEPTH (mm)</t>
        </is>
      </c>
    </row>
    <row r="4">
      <c r="A4" s="4" t="inlineStr">
        <is>
          <t>Water year</t>
        </is>
      </c>
      <c r="B4" s="5" t="inlineStr">
        <is>
          <t>5min</t>
        </is>
      </c>
      <c r="C4" s="5" t="inlineStr">
        <is>
          <t>10min</t>
        </is>
      </c>
      <c r="D4" s="5" t="inlineStr">
        <is>
          <t>15min</t>
        </is>
      </c>
      <c r="E4" s="5" t="inlineStr">
        <is>
          <t>30min</t>
        </is>
      </c>
      <c r="F4" s="5" t="inlineStr">
        <is>
          <t>1h</t>
        </is>
      </c>
      <c r="G4" s="5" t="inlineStr">
        <is>
          <t>2h</t>
        </is>
      </c>
      <c r="H4" s="5" t="inlineStr">
        <is>
          <t>3h</t>
        </is>
      </c>
      <c r="I4" s="5" t="inlineStr">
        <is>
          <t>6h</t>
        </is>
      </c>
      <c r="J4" s="5" t="inlineStr">
        <is>
          <t>12h</t>
        </is>
      </c>
      <c r="K4" s="5" t="inlineStr">
        <is>
          <t>24h</t>
        </is>
      </c>
      <c r="M4" s="4" t="inlineStr">
        <is>
          <t>Duration \ RP</t>
        </is>
      </c>
      <c r="N4" s="4" t="n">
        <v>2</v>
      </c>
      <c r="O4" s="4" t="n">
        <v>5</v>
      </c>
      <c r="P4" s="4" t="n">
        <v>10</v>
      </c>
      <c r="Q4" s="4" t="n">
        <v>25</v>
      </c>
      <c r="R4" s="4" t="n">
        <v>50</v>
      </c>
      <c r="S4" s="4" t="n">
        <v>100</v>
      </c>
      <c r="T4" s="4" t="n">
        <v>200</v>
      </c>
      <c r="U4" s="4" t="n">
        <v>500</v>
      </c>
      <c r="V4" s="4" t="n">
        <v>1000</v>
      </c>
      <c r="W4" s="4" t="n">
        <v>2000</v>
      </c>
      <c r="X4" s="4" t="n">
        <v>5000</v>
      </c>
      <c r="Y4" s="4" t="n">
        <v>10000</v>
      </c>
    </row>
    <row r="5">
      <c r="A5" s="6" t="n">
        <v>1995</v>
      </c>
      <c r="B5" s="7" t="n">
        <v>5.4</v>
      </c>
      <c r="C5" s="7" t="n">
        <v>8.800000000000001</v>
      </c>
      <c r="D5" s="7" t="n">
        <v>9.6</v>
      </c>
      <c r="E5" s="7" t="n">
        <v>13.4</v>
      </c>
      <c r="F5" s="7" t="n">
        <v>14.8</v>
      </c>
      <c r="G5" s="7" t="n">
        <v>14.9</v>
      </c>
      <c r="H5" s="7" t="n">
        <v>16.7</v>
      </c>
      <c r="I5" s="7" t="n">
        <v>21.7</v>
      </c>
      <c r="J5" s="7" t="n">
        <v>38.8</v>
      </c>
      <c r="K5" s="7" t="n">
        <v>44.5</v>
      </c>
      <c r="M5" s="6" t="inlineStr">
        <is>
          <t>5min</t>
        </is>
      </c>
      <c r="N5" s="6" t="n">
        <v>4.4</v>
      </c>
      <c r="O5" s="6" t="n">
        <v>7.1</v>
      </c>
      <c r="P5" s="6" t="n">
        <v>9.199999999999999</v>
      </c>
      <c r="Q5" s="6" t="n">
        <v>12.3</v>
      </c>
      <c r="R5" s="6" t="n">
        <v>14.9</v>
      </c>
      <c r="S5" s="6" t="n">
        <v>17.9</v>
      </c>
      <c r="T5" s="6" t="n">
        <v>21.2</v>
      </c>
      <c r="U5" s="6" t="n">
        <v>26.2</v>
      </c>
      <c r="V5" s="6" t="n">
        <v>30.6</v>
      </c>
      <c r="W5" s="6" t="n">
        <v>35.5</v>
      </c>
      <c r="X5" s="6" t="n">
        <v>43</v>
      </c>
      <c r="Y5" s="6" t="n">
        <v>49.4</v>
      </c>
    </row>
    <row r="6">
      <c r="A6" s="6" t="n">
        <v>1996</v>
      </c>
      <c r="B6" s="7" t="n">
        <v>6.8</v>
      </c>
      <c r="C6" s="7" t="n">
        <v>8.800000000000001</v>
      </c>
      <c r="D6" s="7" t="n">
        <v>11</v>
      </c>
      <c r="E6" s="7" t="n">
        <v>15.4</v>
      </c>
      <c r="F6" s="7" t="n">
        <v>18.6</v>
      </c>
      <c r="G6" s="7" t="n">
        <v>19.8</v>
      </c>
      <c r="H6" s="7" t="n">
        <v>19.8</v>
      </c>
      <c r="I6" s="7" t="n">
        <v>19.9</v>
      </c>
      <c r="J6" s="7" t="n">
        <v>20</v>
      </c>
      <c r="K6" s="7" t="n">
        <v>28</v>
      </c>
      <c r="M6" s="6" t="inlineStr">
        <is>
          <t>10min</t>
        </is>
      </c>
      <c r="N6" s="6" t="n">
        <v>7.1</v>
      </c>
      <c r="O6" s="6" t="n">
        <v>11.7</v>
      </c>
      <c r="P6" s="6" t="n">
        <v>15.4</v>
      </c>
      <c r="Q6" s="6" t="n">
        <v>20.9</v>
      </c>
      <c r="R6" s="6" t="n">
        <v>25.6</v>
      </c>
      <c r="S6" s="6" t="n">
        <v>31</v>
      </c>
      <c r="T6" s="6" t="n">
        <v>37.2</v>
      </c>
      <c r="U6" s="6" t="n">
        <v>46.6</v>
      </c>
      <c r="V6" s="6" t="n">
        <v>55</v>
      </c>
      <c r="W6" s="6" t="n">
        <v>64.5</v>
      </c>
      <c r="X6" s="6" t="n">
        <v>79.09999999999999</v>
      </c>
      <c r="Y6" s="6" t="n">
        <v>92.09999999999999</v>
      </c>
    </row>
    <row r="7">
      <c r="A7" s="6" t="n">
        <v>1997</v>
      </c>
      <c r="B7" s="7" t="n">
        <v>5</v>
      </c>
      <c r="C7" s="7" t="n">
        <v>8</v>
      </c>
      <c r="D7" s="7" t="n">
        <v>9.4</v>
      </c>
      <c r="E7" s="7" t="n">
        <v>11.3</v>
      </c>
      <c r="F7" s="7" t="n">
        <v>12.2</v>
      </c>
      <c r="G7" s="7" t="n">
        <v>19.6</v>
      </c>
      <c r="H7" s="7" t="n">
        <v>22.7</v>
      </c>
      <c r="I7" s="7" t="n">
        <v>23.4</v>
      </c>
      <c r="J7" s="7" t="n">
        <v>28</v>
      </c>
      <c r="K7" s="7" t="n">
        <v>40.6</v>
      </c>
      <c r="M7" s="6" t="inlineStr">
        <is>
          <t>15min</t>
        </is>
      </c>
      <c r="N7" s="6" t="n">
        <v>9</v>
      </c>
      <c r="O7" s="6" t="n">
        <v>15</v>
      </c>
      <c r="P7" s="6" t="n">
        <v>19.6</v>
      </c>
      <c r="Q7" s="6" t="n">
        <v>26.5</v>
      </c>
      <c r="R7" s="6" t="n">
        <v>32.3</v>
      </c>
      <c r="S7" s="6" t="n">
        <v>38.9</v>
      </c>
      <c r="T7" s="6" t="n">
        <v>46.3</v>
      </c>
      <c r="U7" s="6" t="n">
        <v>57.7</v>
      </c>
      <c r="V7" s="6" t="n">
        <v>67.5</v>
      </c>
      <c r="W7" s="6" t="n">
        <v>78.7</v>
      </c>
      <c r="X7" s="6" t="n">
        <v>95.7</v>
      </c>
      <c r="Y7" s="6" t="n">
        <v>110.6</v>
      </c>
    </row>
    <row r="8">
      <c r="A8" s="6" t="n">
        <v>1998</v>
      </c>
      <c r="B8" s="7" t="n">
        <v>11.2</v>
      </c>
      <c r="C8" s="7" t="n">
        <v>19.2</v>
      </c>
      <c r="D8" s="7" t="n">
        <v>25</v>
      </c>
      <c r="E8" s="7" t="n">
        <v>34.6</v>
      </c>
      <c r="F8" s="7" t="n">
        <v>37.6</v>
      </c>
      <c r="G8" s="7" t="n">
        <v>37.6</v>
      </c>
      <c r="H8" s="7" t="n">
        <v>37.7</v>
      </c>
      <c r="I8" s="7" t="n">
        <v>37.8</v>
      </c>
      <c r="J8" s="7" t="n">
        <v>38.1</v>
      </c>
      <c r="K8" s="7" t="n">
        <v>42</v>
      </c>
      <c r="M8" s="6" t="inlineStr">
        <is>
          <t>30min</t>
        </is>
      </c>
      <c r="N8" s="6" t="n">
        <v>12.6</v>
      </c>
      <c r="O8" s="6" t="n">
        <v>20.9</v>
      </c>
      <c r="P8" s="6" t="n">
        <v>27.1</v>
      </c>
      <c r="Q8" s="6" t="n">
        <v>35.8</v>
      </c>
      <c r="R8" s="6" t="n">
        <v>42.9</v>
      </c>
      <c r="S8" s="6" t="n">
        <v>50.6</v>
      </c>
      <c r="T8" s="6" t="n">
        <v>59</v>
      </c>
      <c r="U8" s="6" t="n">
        <v>71.2</v>
      </c>
      <c r="V8" s="6" t="n">
        <v>81.40000000000001</v>
      </c>
      <c r="W8" s="6" t="n">
        <v>92.40000000000001</v>
      </c>
      <c r="X8" s="6" t="n">
        <v>108.6</v>
      </c>
      <c r="Y8" s="6" t="n">
        <v>122.1</v>
      </c>
    </row>
    <row r="9">
      <c r="A9" s="6" t="n">
        <v>1999</v>
      </c>
      <c r="B9" s="7" t="n">
        <v>5.8</v>
      </c>
      <c r="C9" s="7" t="n">
        <v>7.8</v>
      </c>
      <c r="D9" s="7" t="n">
        <v>8.800000000000001</v>
      </c>
      <c r="E9" s="7" t="n">
        <v>9.1</v>
      </c>
      <c r="F9" s="7" t="n">
        <v>9.199999999999999</v>
      </c>
      <c r="G9" s="7" t="n">
        <v>9.300000000000001</v>
      </c>
      <c r="H9" s="7" t="n">
        <v>9.300000000000001</v>
      </c>
      <c r="I9" s="7" t="n">
        <v>9.4</v>
      </c>
      <c r="J9" s="7" t="n">
        <v>9.5</v>
      </c>
      <c r="K9" s="7" t="n">
        <v>9.6</v>
      </c>
      <c r="M9" s="6" t="inlineStr">
        <is>
          <t>1h</t>
        </is>
      </c>
      <c r="N9" s="6" t="n">
        <v>15.6</v>
      </c>
      <c r="O9" s="6" t="n">
        <v>25.8</v>
      </c>
      <c r="P9" s="6" t="n">
        <v>33.3</v>
      </c>
      <c r="Q9" s="6" t="n">
        <v>43.8</v>
      </c>
      <c r="R9" s="6" t="n">
        <v>52.3</v>
      </c>
      <c r="S9" s="6" t="n">
        <v>61.5</v>
      </c>
      <c r="T9" s="6" t="n">
        <v>71.40000000000001</v>
      </c>
      <c r="U9" s="6" t="n">
        <v>85.7</v>
      </c>
      <c r="V9" s="6" t="n">
        <v>97.59999999999999</v>
      </c>
      <c r="W9" s="6" t="n">
        <v>110.5</v>
      </c>
      <c r="X9" s="6" t="n">
        <v>129.2</v>
      </c>
      <c r="Y9" s="6" t="n">
        <v>144.6</v>
      </c>
    </row>
    <row r="10">
      <c r="A10" s="6" t="n">
        <v>2000</v>
      </c>
      <c r="B10" s="7" t="n"/>
      <c r="C10" s="7" t="n"/>
      <c r="D10" s="7" t="n"/>
      <c r="E10" s="7" t="n"/>
      <c r="F10" s="7" t="n"/>
      <c r="G10" s="7" t="n"/>
      <c r="H10" s="7" t="n"/>
      <c r="I10" s="7" t="n"/>
      <c r="J10" s="7" t="n"/>
      <c r="K10" s="7" t="n"/>
      <c r="M10" s="6" t="inlineStr">
        <is>
          <t>2h</t>
        </is>
      </c>
      <c r="N10" s="6" t="n">
        <v>18.6</v>
      </c>
      <c r="O10" s="6" t="n">
        <v>31.4</v>
      </c>
      <c r="P10" s="6" t="n">
        <v>41.1</v>
      </c>
      <c r="Q10" s="6" t="n">
        <v>55</v>
      </c>
      <c r="R10" s="6" t="n">
        <v>66.59999999999999</v>
      </c>
      <c r="S10" s="6" t="n">
        <v>79.3</v>
      </c>
      <c r="T10" s="6" t="n">
        <v>93.3</v>
      </c>
      <c r="U10" s="6" t="n">
        <v>114</v>
      </c>
      <c r="V10" s="6" t="n">
        <v>131.6</v>
      </c>
      <c r="W10" s="6" t="n">
        <v>151.1</v>
      </c>
      <c r="X10" s="6" t="n">
        <v>180</v>
      </c>
      <c r="Y10" s="6" t="n">
        <v>204.5</v>
      </c>
    </row>
    <row r="11">
      <c r="A11" s="6" t="n">
        <v>2001</v>
      </c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M11" s="6" t="inlineStr">
        <is>
          <t>3h</t>
        </is>
      </c>
      <c r="N11" s="6" t="n">
        <v>20.1</v>
      </c>
      <c r="O11" s="6" t="n">
        <v>34.5</v>
      </c>
      <c r="P11" s="6" t="n">
        <v>45.8</v>
      </c>
      <c r="Q11" s="6" t="n">
        <v>62.4</v>
      </c>
      <c r="R11" s="6" t="n">
        <v>76.7</v>
      </c>
      <c r="S11" s="6" t="n">
        <v>92.8</v>
      </c>
      <c r="T11" s="6" t="n">
        <v>111</v>
      </c>
      <c r="U11" s="6" t="n">
        <v>138.7</v>
      </c>
      <c r="V11" s="6" t="n">
        <v>163</v>
      </c>
      <c r="W11" s="6" t="n">
        <v>190.4</v>
      </c>
      <c r="X11" s="6" t="n">
        <v>232.4</v>
      </c>
      <c r="Y11" s="6" t="n">
        <v>269.1</v>
      </c>
    </row>
    <row r="12">
      <c r="A12" s="6" t="n">
        <v>2002</v>
      </c>
      <c r="B12" s="7" t="n">
        <v>4.4</v>
      </c>
      <c r="C12" s="7" t="n">
        <v>5.8</v>
      </c>
      <c r="D12" s="7" t="n">
        <v>6.6</v>
      </c>
      <c r="E12" s="7" t="n">
        <v>10.6</v>
      </c>
      <c r="F12" s="7" t="n">
        <v>18.2</v>
      </c>
      <c r="G12" s="7" t="n">
        <v>19.2</v>
      </c>
      <c r="H12" s="7" t="n">
        <v>19.2</v>
      </c>
      <c r="I12" s="7" t="n">
        <v>19.3</v>
      </c>
      <c r="J12" s="7" t="n">
        <v>19.4</v>
      </c>
      <c r="K12" s="7" t="n">
        <v>19.6</v>
      </c>
      <c r="M12" s="6" t="inlineStr">
        <is>
          <t>6h</t>
        </is>
      </c>
      <c r="N12" s="6" t="n">
        <v>22.6</v>
      </c>
      <c r="O12" s="6" t="n">
        <v>39.5</v>
      </c>
      <c r="P12" s="6" t="n">
        <v>53.2</v>
      </c>
      <c r="Q12" s="6" t="n">
        <v>74.09999999999999</v>
      </c>
      <c r="R12" s="6" t="n">
        <v>92.5</v>
      </c>
      <c r="S12" s="6" t="n">
        <v>113.8</v>
      </c>
      <c r="T12" s="6" t="n">
        <v>138.4</v>
      </c>
      <c r="U12" s="6" t="n">
        <v>177.2</v>
      </c>
      <c r="V12" s="6" t="n">
        <v>212</v>
      </c>
      <c r="W12" s="6" t="n">
        <v>252.4</v>
      </c>
      <c r="X12" s="6" t="n">
        <v>316</v>
      </c>
      <c r="Y12" s="6" t="n">
        <v>373.2</v>
      </c>
    </row>
    <row r="13">
      <c r="A13" s="6" t="n">
        <v>2003</v>
      </c>
      <c r="B13" s="7" t="n">
        <v>9</v>
      </c>
      <c r="C13" s="7" t="n">
        <v>17.6</v>
      </c>
      <c r="D13" s="7" t="n">
        <v>20.4</v>
      </c>
      <c r="E13" s="7" t="n">
        <v>25.8</v>
      </c>
      <c r="F13" s="7" t="n">
        <v>42.2</v>
      </c>
      <c r="G13" s="7" t="n">
        <v>51.6</v>
      </c>
      <c r="H13" s="7" t="n">
        <v>55.7</v>
      </c>
      <c r="I13" s="7" t="n">
        <v>56.5</v>
      </c>
      <c r="J13" s="7" t="n">
        <v>56.6</v>
      </c>
      <c r="K13" s="7" t="n">
        <v>56.8</v>
      </c>
      <c r="M13" s="6" t="inlineStr">
        <is>
          <t>12h</t>
        </is>
      </c>
      <c r="N13" s="6" t="n">
        <v>25.8</v>
      </c>
      <c r="O13" s="6" t="n">
        <v>46</v>
      </c>
      <c r="P13" s="6" t="n">
        <v>62.6</v>
      </c>
      <c r="Q13" s="6" t="n">
        <v>88.3</v>
      </c>
      <c r="R13" s="6" t="n">
        <v>111.4</v>
      </c>
      <c r="S13" s="6" t="n">
        <v>138.5</v>
      </c>
      <c r="T13" s="6" t="n">
        <v>170.3</v>
      </c>
      <c r="U13" s="6" t="n">
        <v>221.1</v>
      </c>
      <c r="V13" s="6" t="n">
        <v>267.5</v>
      </c>
      <c r="W13" s="6" t="n">
        <v>322.1</v>
      </c>
      <c r="X13" s="6" t="n">
        <v>409.5</v>
      </c>
      <c r="Y13" s="6" t="n">
        <v>489.3</v>
      </c>
    </row>
    <row r="14">
      <c r="A14" s="6" t="n">
        <v>2004</v>
      </c>
      <c r="B14" s="7" t="n"/>
      <c r="C14" s="7" t="n"/>
      <c r="D14" s="7" t="n"/>
      <c r="E14" s="7" t="n"/>
      <c r="F14" s="7" t="n"/>
      <c r="G14" s="7" t="n"/>
      <c r="H14" s="7" t="n"/>
      <c r="I14" s="7" t="n"/>
      <c r="J14" s="7" t="n"/>
      <c r="K14" s="7" t="n"/>
      <c r="M14" s="6" t="inlineStr">
        <is>
          <t>24h</t>
        </is>
      </c>
      <c r="N14" s="6" t="n">
        <v>30.4</v>
      </c>
      <c r="O14" s="6" t="n">
        <v>54.8</v>
      </c>
      <c r="P14" s="6" t="n">
        <v>75</v>
      </c>
      <c r="Q14" s="6" t="n">
        <v>106.3</v>
      </c>
      <c r="R14" s="6" t="n">
        <v>134.7</v>
      </c>
      <c r="S14" s="6" t="n">
        <v>168</v>
      </c>
      <c r="T14" s="6" t="n">
        <v>207.3</v>
      </c>
      <c r="U14" s="6" t="n">
        <v>270.3</v>
      </c>
      <c r="V14" s="6" t="n">
        <v>328.1</v>
      </c>
      <c r="W14" s="6" t="n">
        <v>396.4</v>
      </c>
      <c r="X14" s="6" t="n">
        <v>506.1</v>
      </c>
      <c r="Y14" s="6" t="n">
        <v>606.8</v>
      </c>
    </row>
    <row r="15">
      <c r="A15" s="6" t="n">
        <v>2005</v>
      </c>
      <c r="B15" s="7" t="n">
        <v>6.8</v>
      </c>
      <c r="C15" s="7" t="n">
        <v>11.2</v>
      </c>
      <c r="D15" s="7" t="n">
        <v>13.4</v>
      </c>
      <c r="E15" s="7" t="n">
        <v>18.4</v>
      </c>
      <c r="F15" s="7" t="n">
        <v>25.6</v>
      </c>
      <c r="G15" s="7" t="n">
        <v>26.7</v>
      </c>
      <c r="H15" s="7" t="n">
        <v>27.2</v>
      </c>
      <c r="I15" s="7" t="n">
        <v>47</v>
      </c>
      <c r="J15" s="7" t="n">
        <v>50.4</v>
      </c>
      <c r="K15" s="7" t="n">
        <v>85.7</v>
      </c>
    </row>
    <row r="16">
      <c r="A16" s="6" t="n">
        <v>2006</v>
      </c>
      <c r="B16" s="7" t="n">
        <v>3.4</v>
      </c>
      <c r="C16" s="7" t="n">
        <v>5.4</v>
      </c>
      <c r="D16" s="7" t="n">
        <v>6.2</v>
      </c>
      <c r="E16" s="7" t="n">
        <v>9.1</v>
      </c>
      <c r="F16" s="7" t="n">
        <v>9.199999999999999</v>
      </c>
      <c r="G16" s="7" t="n">
        <v>9.300000000000001</v>
      </c>
      <c r="H16" s="7" t="n">
        <v>9.300000000000001</v>
      </c>
      <c r="I16" s="7" t="n">
        <v>11.8</v>
      </c>
      <c r="J16" s="7" t="n">
        <v>14.7</v>
      </c>
      <c r="K16" s="7" t="n">
        <v>23.4</v>
      </c>
      <c r="M16" s="3" t="inlineStr">
        <is>
          <t>IDF - intensity (mm/hr) [x=duration(min)]</t>
        </is>
      </c>
    </row>
    <row r="17">
      <c r="A17" s="6" t="n">
        <v>2007</v>
      </c>
      <c r="B17" s="7" t="n">
        <v>7.2</v>
      </c>
      <c r="C17" s="7" t="n">
        <v>14</v>
      </c>
      <c r="D17" s="7" t="n">
        <v>18.2</v>
      </c>
      <c r="E17" s="7" t="n">
        <v>21</v>
      </c>
      <c r="F17" s="7" t="n">
        <v>24.6</v>
      </c>
      <c r="G17" s="7" t="n">
        <v>35.6</v>
      </c>
      <c r="H17" s="7" t="n">
        <v>42.7</v>
      </c>
      <c r="I17" s="7" t="n">
        <v>48.8</v>
      </c>
      <c r="J17" s="7" t="n">
        <v>60.3</v>
      </c>
      <c r="K17" s="7" t="n">
        <v>60.5</v>
      </c>
      <c r="M17" t="inlineStr">
        <is>
          <t>Duration(min)</t>
        </is>
      </c>
      <c r="N17" t="inlineStr">
        <is>
          <t>2 yr</t>
        </is>
      </c>
      <c r="O17" t="inlineStr">
        <is>
          <t>5 yr</t>
        </is>
      </c>
      <c r="P17" t="inlineStr">
        <is>
          <t>10 yr</t>
        </is>
      </c>
      <c r="Q17" t="inlineStr">
        <is>
          <t>25 yr</t>
        </is>
      </c>
      <c r="R17" t="inlineStr">
        <is>
          <t>50 yr</t>
        </is>
      </c>
      <c r="S17" t="inlineStr">
        <is>
          <t>100 yr</t>
        </is>
      </c>
      <c r="T17" t="inlineStr">
        <is>
          <t>200 yr</t>
        </is>
      </c>
      <c r="U17" t="inlineStr">
        <is>
          <t>500 yr</t>
        </is>
      </c>
      <c r="V17" t="inlineStr">
        <is>
          <t>1000 yr</t>
        </is>
      </c>
      <c r="W17" t="inlineStr">
        <is>
          <t>2000 yr</t>
        </is>
      </c>
      <c r="X17" t="inlineStr">
        <is>
          <t>5000 yr</t>
        </is>
      </c>
      <c r="Y17" t="inlineStr">
        <is>
          <t>10000 yr</t>
        </is>
      </c>
    </row>
    <row r="18">
      <c r="A18" s="6" t="n">
        <v>2009</v>
      </c>
      <c r="B18" s="7" t="n">
        <v>4.6</v>
      </c>
      <c r="C18" s="7" t="n">
        <v>6.4</v>
      </c>
      <c r="D18" s="7" t="n">
        <v>7.6</v>
      </c>
      <c r="E18" s="7" t="n">
        <v>8.4</v>
      </c>
      <c r="F18" s="7" t="n">
        <v>12.2</v>
      </c>
      <c r="G18" s="7" t="n">
        <v>12.9</v>
      </c>
      <c r="H18" s="7" t="n">
        <v>13</v>
      </c>
      <c r="I18" s="7" t="n">
        <v>13.2</v>
      </c>
      <c r="J18" s="7" t="n">
        <v>14.3</v>
      </c>
      <c r="K18" s="7" t="n">
        <v>20.2</v>
      </c>
      <c r="M18" t="n">
        <v>5</v>
      </c>
      <c r="N18" t="n">
        <v>53</v>
      </c>
      <c r="O18" t="n">
        <v>85.5</v>
      </c>
      <c r="P18" t="n">
        <v>110.7</v>
      </c>
      <c r="Q18" t="n">
        <v>147.7</v>
      </c>
      <c r="R18" t="n">
        <v>179.3</v>
      </c>
      <c r="S18" t="n">
        <v>214.7</v>
      </c>
      <c r="T18" t="n">
        <v>254.4</v>
      </c>
      <c r="U18" t="n">
        <v>314.7</v>
      </c>
      <c r="V18" t="n">
        <v>367.1</v>
      </c>
      <c r="W18" t="n">
        <v>426</v>
      </c>
      <c r="X18" t="n">
        <v>515.5</v>
      </c>
      <c r="Y18" t="n">
        <v>593.3</v>
      </c>
    </row>
    <row r="19">
      <c r="A19" s="6" t="n">
        <v>2010</v>
      </c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M19" t="n">
        <v>10</v>
      </c>
      <c r="N19" t="n">
        <v>42.6</v>
      </c>
      <c r="O19" t="n">
        <v>70.40000000000001</v>
      </c>
      <c r="P19" t="n">
        <v>92.5</v>
      </c>
      <c r="Q19" t="n">
        <v>125.3</v>
      </c>
      <c r="R19" t="n">
        <v>153.8</v>
      </c>
      <c r="S19" t="n">
        <v>186.2</v>
      </c>
      <c r="T19" t="n">
        <v>223</v>
      </c>
      <c r="U19" t="n">
        <v>279.8</v>
      </c>
      <c r="V19" t="n">
        <v>329.7</v>
      </c>
      <c r="W19" t="n">
        <v>386.8</v>
      </c>
      <c r="X19" t="n">
        <v>474.8</v>
      </c>
      <c r="Y19" t="n">
        <v>552.4</v>
      </c>
    </row>
    <row r="20">
      <c r="A20" s="6" t="n">
        <v>2011</v>
      </c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M20" t="n">
        <v>15</v>
      </c>
      <c r="N20" t="n">
        <v>36.1</v>
      </c>
      <c r="O20" t="n">
        <v>59.9</v>
      </c>
      <c r="P20" t="n">
        <v>78.5</v>
      </c>
      <c r="Q20" t="n">
        <v>105.8</v>
      </c>
      <c r="R20" t="n">
        <v>129.3</v>
      </c>
      <c r="S20" t="n">
        <v>155.6</v>
      </c>
      <c r="T20" t="n">
        <v>185.4</v>
      </c>
      <c r="U20" t="n">
        <v>230.7</v>
      </c>
      <c r="V20" t="n">
        <v>270.2</v>
      </c>
      <c r="W20" t="n">
        <v>314.8</v>
      </c>
      <c r="X20" t="n">
        <v>382.9</v>
      </c>
      <c r="Y20" t="n">
        <v>442.3</v>
      </c>
    </row>
    <row r="21">
      <c r="A21" s="6" t="n">
        <v>2012</v>
      </c>
      <c r="B21" s="7" t="n">
        <v>8.199999999999999</v>
      </c>
      <c r="C21" s="7" t="n">
        <v>12.4</v>
      </c>
      <c r="D21" s="7" t="n">
        <v>14</v>
      </c>
      <c r="E21" s="7" t="n">
        <v>14.4</v>
      </c>
      <c r="F21" s="7" t="n">
        <v>14.4</v>
      </c>
      <c r="G21" s="7" t="n">
        <v>14.5</v>
      </c>
      <c r="H21" s="7" t="n">
        <v>14.5</v>
      </c>
      <c r="I21" s="7" t="n">
        <v>18.4</v>
      </c>
      <c r="J21" s="7" t="n">
        <v>19</v>
      </c>
      <c r="K21" s="7" t="n">
        <v>20.4</v>
      </c>
      <c r="M21" t="n">
        <v>30</v>
      </c>
      <c r="N21" t="n">
        <v>25.2</v>
      </c>
      <c r="O21" t="n">
        <v>41.8</v>
      </c>
      <c r="P21" t="n">
        <v>54.2</v>
      </c>
      <c r="Q21" t="n">
        <v>71.59999999999999</v>
      </c>
      <c r="R21" t="n">
        <v>85.8</v>
      </c>
      <c r="S21" t="n">
        <v>101.2</v>
      </c>
      <c r="T21" t="n">
        <v>118</v>
      </c>
      <c r="U21" t="n">
        <v>142.4</v>
      </c>
      <c r="V21" t="n">
        <v>162.7</v>
      </c>
      <c r="W21" t="n">
        <v>184.9</v>
      </c>
      <c r="X21" t="n">
        <v>217.2</v>
      </c>
      <c r="Y21" t="n">
        <v>244.2</v>
      </c>
    </row>
    <row r="22">
      <c r="A22" s="6" t="n">
        <v>2013</v>
      </c>
      <c r="B22" s="7" t="n">
        <v>6.8</v>
      </c>
      <c r="C22" s="7" t="n">
        <v>12.4</v>
      </c>
      <c r="D22" s="7" t="n">
        <v>16</v>
      </c>
      <c r="E22" s="7" t="n">
        <v>22.6</v>
      </c>
      <c r="F22" s="7" t="n">
        <v>26.2</v>
      </c>
      <c r="G22" s="7" t="n">
        <v>33</v>
      </c>
      <c r="H22" s="7" t="n">
        <v>36.2</v>
      </c>
      <c r="I22" s="7" t="n">
        <v>48.1</v>
      </c>
      <c r="J22" s="7" t="n">
        <v>48.5</v>
      </c>
      <c r="K22" s="7" t="n">
        <v>53</v>
      </c>
      <c r="M22" t="n">
        <v>60</v>
      </c>
      <c r="N22" t="n">
        <v>15.6</v>
      </c>
      <c r="O22" t="n">
        <v>25.8</v>
      </c>
      <c r="P22" t="n">
        <v>33.3</v>
      </c>
      <c r="Q22" t="n">
        <v>43.8</v>
      </c>
      <c r="R22" t="n">
        <v>52.3</v>
      </c>
      <c r="S22" t="n">
        <v>61.5</v>
      </c>
      <c r="T22" t="n">
        <v>71.40000000000001</v>
      </c>
      <c r="U22" t="n">
        <v>85.7</v>
      </c>
      <c r="V22" t="n">
        <v>97.59999999999999</v>
      </c>
      <c r="W22" t="n">
        <v>110.5</v>
      </c>
      <c r="X22" t="n">
        <v>129.2</v>
      </c>
      <c r="Y22" t="n">
        <v>144.6</v>
      </c>
    </row>
    <row r="23">
      <c r="A23" s="6" t="n">
        <v>2014</v>
      </c>
      <c r="B23" s="7" t="n">
        <v>6.4</v>
      </c>
      <c r="C23" s="7" t="n">
        <v>11.2</v>
      </c>
      <c r="D23" s="7" t="n">
        <v>17</v>
      </c>
      <c r="E23" s="7" t="n">
        <v>24.4</v>
      </c>
      <c r="F23" s="7" t="n">
        <v>25</v>
      </c>
      <c r="G23" s="7" t="n">
        <v>29.8</v>
      </c>
      <c r="H23" s="7" t="n">
        <v>35.6</v>
      </c>
      <c r="I23" s="7" t="n">
        <v>39.1</v>
      </c>
      <c r="J23" s="7" t="n">
        <v>44.8</v>
      </c>
      <c r="K23" s="7" t="n">
        <v>46.5</v>
      </c>
      <c r="M23" t="n">
        <v>120</v>
      </c>
      <c r="N23" t="n">
        <v>9.300000000000001</v>
      </c>
      <c r="O23" t="n">
        <v>15.7</v>
      </c>
      <c r="P23" t="n">
        <v>20.6</v>
      </c>
      <c r="Q23" t="n">
        <v>27.5</v>
      </c>
      <c r="R23" t="n">
        <v>33.3</v>
      </c>
      <c r="S23" t="n">
        <v>39.6</v>
      </c>
      <c r="T23" t="n">
        <v>46.6</v>
      </c>
      <c r="U23" t="n">
        <v>57</v>
      </c>
      <c r="V23" t="n">
        <v>65.8</v>
      </c>
      <c r="W23" t="n">
        <v>75.5</v>
      </c>
      <c r="X23" t="n">
        <v>90</v>
      </c>
      <c r="Y23" t="n">
        <v>102.3</v>
      </c>
    </row>
    <row r="24">
      <c r="A24" s="6" t="n">
        <v>2015</v>
      </c>
      <c r="B24" s="7" t="n">
        <v>4.4</v>
      </c>
      <c r="C24" s="7" t="n">
        <v>5.8</v>
      </c>
      <c r="D24" s="7" t="n">
        <v>7.4</v>
      </c>
      <c r="E24" s="7" t="n">
        <v>9.4</v>
      </c>
      <c r="F24" s="7" t="n">
        <v>9.4</v>
      </c>
      <c r="G24" s="7" t="n">
        <v>9.4</v>
      </c>
      <c r="H24" s="7" t="n">
        <v>9.4</v>
      </c>
      <c r="I24" s="7" t="n">
        <v>9.5</v>
      </c>
      <c r="J24" s="7" t="n">
        <v>9.6</v>
      </c>
      <c r="K24" s="7" t="n">
        <v>9.800000000000001</v>
      </c>
      <c r="M24" t="n">
        <v>180</v>
      </c>
      <c r="N24" t="n">
        <v>6.7</v>
      </c>
      <c r="O24" t="n">
        <v>11.5</v>
      </c>
      <c r="P24" t="n">
        <v>15.3</v>
      </c>
      <c r="Q24" t="n">
        <v>20.8</v>
      </c>
      <c r="R24" t="n">
        <v>25.6</v>
      </c>
      <c r="S24" t="n">
        <v>30.9</v>
      </c>
      <c r="T24" t="n">
        <v>37</v>
      </c>
      <c r="U24" t="n">
        <v>46.2</v>
      </c>
      <c r="V24" t="n">
        <v>54.3</v>
      </c>
      <c r="W24" t="n">
        <v>63.5</v>
      </c>
      <c r="X24" t="n">
        <v>77.5</v>
      </c>
      <c r="Y24" t="n">
        <v>89.7</v>
      </c>
    </row>
    <row r="25">
      <c r="A25" s="6" t="n">
        <v>2016</v>
      </c>
      <c r="B25" s="7" t="n">
        <v>6.6</v>
      </c>
      <c r="C25" s="7" t="n">
        <v>11.2</v>
      </c>
      <c r="D25" s="7" t="n">
        <v>15.4</v>
      </c>
      <c r="E25" s="7" t="n">
        <v>21.4</v>
      </c>
      <c r="F25" s="7" t="n">
        <v>32.8</v>
      </c>
      <c r="G25" s="7" t="n">
        <v>37.8</v>
      </c>
      <c r="H25" s="7" t="n">
        <v>37.8</v>
      </c>
      <c r="I25" s="7" t="n">
        <v>37.9</v>
      </c>
      <c r="J25" s="7" t="n">
        <v>39.8</v>
      </c>
      <c r="K25" s="7" t="n">
        <v>53.6</v>
      </c>
      <c r="M25" t="n">
        <v>360</v>
      </c>
      <c r="N25" t="n">
        <v>3.8</v>
      </c>
      <c r="O25" t="n">
        <v>6.6</v>
      </c>
      <c r="P25" t="n">
        <v>8.9</v>
      </c>
      <c r="Q25" t="n">
        <v>12.3</v>
      </c>
      <c r="R25" t="n">
        <v>15.4</v>
      </c>
      <c r="S25" t="n">
        <v>19</v>
      </c>
      <c r="T25" t="n">
        <v>23.1</v>
      </c>
      <c r="U25" t="n">
        <v>29.5</v>
      </c>
      <c r="V25" t="n">
        <v>35.3</v>
      </c>
      <c r="W25" t="n">
        <v>42.1</v>
      </c>
      <c r="X25" t="n">
        <v>52.7</v>
      </c>
      <c r="Y25" t="n">
        <v>62.2</v>
      </c>
    </row>
    <row r="26">
      <c r="A26" s="6" t="n">
        <v>2017</v>
      </c>
      <c r="B26" s="7" t="n">
        <v>3.8</v>
      </c>
      <c r="C26" s="7" t="n">
        <v>6</v>
      </c>
      <c r="D26" s="7" t="n">
        <v>6.6</v>
      </c>
      <c r="E26" s="7" t="n">
        <v>10.6</v>
      </c>
      <c r="F26" s="7" t="n">
        <v>15</v>
      </c>
      <c r="G26" s="7" t="n">
        <v>15.2</v>
      </c>
      <c r="H26" s="7" t="n">
        <v>15.4</v>
      </c>
      <c r="I26" s="7" t="n">
        <v>15.5</v>
      </c>
      <c r="J26" s="7" t="n">
        <v>15.6</v>
      </c>
      <c r="K26" s="7" t="n">
        <v>15.8</v>
      </c>
      <c r="M26" t="n">
        <v>720</v>
      </c>
      <c r="N26" t="n">
        <v>2.2</v>
      </c>
      <c r="O26" t="n">
        <v>3.8</v>
      </c>
      <c r="P26" t="n">
        <v>5.2</v>
      </c>
      <c r="Q26" t="n">
        <v>7.4</v>
      </c>
      <c r="R26" t="n">
        <v>9.300000000000001</v>
      </c>
      <c r="S26" t="n">
        <v>11.5</v>
      </c>
      <c r="T26" t="n">
        <v>14.2</v>
      </c>
      <c r="U26" t="n">
        <v>18.4</v>
      </c>
      <c r="V26" t="n">
        <v>22.3</v>
      </c>
      <c r="W26" t="n">
        <v>26.8</v>
      </c>
      <c r="X26" t="n">
        <v>34.1</v>
      </c>
      <c r="Y26" t="n">
        <v>40.8</v>
      </c>
    </row>
    <row r="27">
      <c r="A27" s="6" t="n">
        <v>2018</v>
      </c>
      <c r="B27" s="7" t="n">
        <v>6</v>
      </c>
      <c r="C27" s="7" t="n">
        <v>12</v>
      </c>
      <c r="D27" s="7" t="n">
        <v>15.4</v>
      </c>
      <c r="E27" s="7" t="n">
        <v>18.4</v>
      </c>
      <c r="F27" s="7" t="n">
        <v>18.4</v>
      </c>
      <c r="G27" s="7" t="n">
        <v>18.4</v>
      </c>
      <c r="H27" s="7" t="n">
        <v>18.4</v>
      </c>
      <c r="I27" s="7" t="n">
        <v>18.5</v>
      </c>
      <c r="J27" s="7" t="n">
        <v>22</v>
      </c>
      <c r="K27" s="7" t="n">
        <v>22.2</v>
      </c>
      <c r="M27" t="n">
        <v>1440</v>
      </c>
      <c r="N27" t="n">
        <v>1.3</v>
      </c>
      <c r="O27" t="n">
        <v>2.3</v>
      </c>
      <c r="P27" t="n">
        <v>3.1</v>
      </c>
      <c r="Q27" t="n">
        <v>4.4</v>
      </c>
      <c r="R27" t="n">
        <v>5.6</v>
      </c>
      <c r="S27" t="n">
        <v>7</v>
      </c>
      <c r="T27" t="n">
        <v>8.6</v>
      </c>
      <c r="U27" t="n">
        <v>11.3</v>
      </c>
      <c r="V27" t="n">
        <v>13.7</v>
      </c>
      <c r="W27" t="n">
        <v>16.5</v>
      </c>
      <c r="X27" t="n">
        <v>21.1</v>
      </c>
      <c r="Y27" t="n">
        <v>25.3</v>
      </c>
    </row>
    <row r="28">
      <c r="A28" s="6" t="n">
        <v>2019</v>
      </c>
      <c r="B28" s="7" t="n">
        <v>4.6</v>
      </c>
      <c r="C28" s="7" t="n">
        <v>8.4</v>
      </c>
      <c r="D28" s="7" t="n">
        <v>12.4</v>
      </c>
      <c r="E28" s="7" t="n">
        <v>20.4</v>
      </c>
      <c r="F28" s="7" t="n">
        <v>26</v>
      </c>
      <c r="G28" s="7" t="n">
        <v>32.6</v>
      </c>
      <c r="H28" s="7" t="n">
        <v>33.2</v>
      </c>
      <c r="I28" s="7" t="n">
        <v>34</v>
      </c>
      <c r="J28" s="7" t="n">
        <v>34.3</v>
      </c>
      <c r="K28" s="7" t="n">
        <v>65.59999999999999</v>
      </c>
    </row>
    <row r="29">
      <c r="A29" s="6" t="n">
        <v>2020</v>
      </c>
      <c r="B29" s="7" t="n">
        <v>4.6</v>
      </c>
      <c r="C29" s="7" t="n">
        <v>7.4</v>
      </c>
      <c r="D29" s="7" t="n">
        <v>10.2</v>
      </c>
      <c r="E29" s="7" t="n">
        <v>14.2</v>
      </c>
      <c r="F29" s="7" t="n">
        <v>20.8</v>
      </c>
      <c r="G29" s="7" t="n">
        <v>26.2</v>
      </c>
      <c r="H29" s="7" t="n">
        <v>35.6</v>
      </c>
      <c r="I29" s="7" t="n">
        <v>42.8</v>
      </c>
      <c r="J29" s="7" t="n">
        <v>42.9</v>
      </c>
      <c r="K29" s="7" t="n">
        <v>50.7</v>
      </c>
    </row>
    <row r="32">
      <c r="A32" s="2" t="inlineStr">
        <is>
          <t>AMS AFTER gap filling (mm)  -  yellow = added or changed by gap filling</t>
        </is>
      </c>
    </row>
    <row r="33">
      <c r="A33" s="4" t="inlineStr">
        <is>
          <t>Water year</t>
        </is>
      </c>
      <c r="B33" s="5" t="inlineStr">
        <is>
          <t>5min</t>
        </is>
      </c>
      <c r="C33" s="5" t="inlineStr">
        <is>
          <t>10min</t>
        </is>
      </c>
      <c r="D33" s="5" t="inlineStr">
        <is>
          <t>15min</t>
        </is>
      </c>
      <c r="E33" s="5" t="inlineStr">
        <is>
          <t>30min</t>
        </is>
      </c>
      <c r="F33" s="5" t="inlineStr">
        <is>
          <t>1h</t>
        </is>
      </c>
      <c r="G33" s="5" t="inlineStr">
        <is>
          <t>2h</t>
        </is>
      </c>
      <c r="H33" s="5" t="inlineStr">
        <is>
          <t>3h</t>
        </is>
      </c>
      <c r="I33" s="5" t="inlineStr">
        <is>
          <t>6h</t>
        </is>
      </c>
      <c r="J33" s="5" t="inlineStr">
        <is>
          <t>12h</t>
        </is>
      </c>
      <c r="K33" s="5" t="inlineStr">
        <is>
          <t>24h</t>
        </is>
      </c>
    </row>
    <row r="34">
      <c r="A34" s="6" t="n">
        <v>1995</v>
      </c>
      <c r="B34" s="7" t="n">
        <v>5.4</v>
      </c>
      <c r="C34" s="7" t="n">
        <v>8.800000000000001</v>
      </c>
      <c r="D34" s="7" t="n">
        <v>9.6</v>
      </c>
      <c r="E34" s="7" t="n">
        <v>13.4</v>
      </c>
      <c r="F34" s="7" t="n">
        <v>14.8</v>
      </c>
      <c r="G34" s="7" t="n">
        <v>14.9</v>
      </c>
      <c r="H34" s="7" t="n">
        <v>16.7</v>
      </c>
      <c r="I34" s="7" t="n">
        <v>21.7</v>
      </c>
      <c r="J34" s="7" t="n">
        <v>38.8</v>
      </c>
      <c r="K34" s="7" t="n">
        <v>44.5</v>
      </c>
    </row>
    <row r="35">
      <c r="A35" s="6" t="n">
        <v>1996</v>
      </c>
      <c r="B35" s="7" t="n">
        <v>6.8</v>
      </c>
      <c r="C35" s="7" t="n">
        <v>8.800000000000001</v>
      </c>
      <c r="D35" s="7" t="n">
        <v>11</v>
      </c>
      <c r="E35" s="7" t="n">
        <v>15.4</v>
      </c>
      <c r="F35" s="7" t="n">
        <v>18.6</v>
      </c>
      <c r="G35" s="7" t="n">
        <v>19.8</v>
      </c>
      <c r="H35" s="7" t="n">
        <v>19.8</v>
      </c>
      <c r="I35" s="7" t="n">
        <v>19.9</v>
      </c>
      <c r="J35" s="7" t="n">
        <v>20</v>
      </c>
      <c r="K35" s="7" t="n">
        <v>28</v>
      </c>
    </row>
    <row r="36">
      <c r="A36" s="6" t="n">
        <v>1997</v>
      </c>
      <c r="B36" s="7" t="n">
        <v>5</v>
      </c>
      <c r="C36" s="7" t="n">
        <v>8</v>
      </c>
      <c r="D36" s="7" t="n">
        <v>9.4</v>
      </c>
      <c r="E36" s="7" t="n">
        <v>11.3</v>
      </c>
      <c r="F36" s="7" t="n">
        <v>12.2</v>
      </c>
      <c r="G36" s="7" t="n">
        <v>19.6</v>
      </c>
      <c r="H36" s="7" t="n">
        <v>22.7</v>
      </c>
      <c r="I36" s="7" t="n">
        <v>23.4</v>
      </c>
      <c r="J36" s="7" t="n">
        <v>28</v>
      </c>
      <c r="K36" s="8" t="n">
        <v>48.1</v>
      </c>
    </row>
    <row r="37">
      <c r="A37" s="6" t="n">
        <v>1998</v>
      </c>
      <c r="B37" s="7" t="n">
        <v>11.2</v>
      </c>
      <c r="C37" s="7" t="n">
        <v>19.2</v>
      </c>
      <c r="D37" s="7" t="n">
        <v>25</v>
      </c>
      <c r="E37" s="7" t="n">
        <v>34.6</v>
      </c>
      <c r="F37" s="7" t="n">
        <v>37.6</v>
      </c>
      <c r="G37" s="7" t="n">
        <v>37.6</v>
      </c>
      <c r="H37" s="7" t="n">
        <v>37.7</v>
      </c>
      <c r="I37" s="7" t="n">
        <v>37.8</v>
      </c>
      <c r="J37" s="7" t="n">
        <v>38.1</v>
      </c>
      <c r="K37" s="7" t="n">
        <v>42</v>
      </c>
    </row>
    <row r="38">
      <c r="A38" s="6" t="n">
        <v>1999</v>
      </c>
      <c r="B38" s="7" t="n">
        <v>5.8</v>
      </c>
      <c r="C38" s="7" t="n">
        <v>7.8</v>
      </c>
      <c r="D38" s="7" t="n">
        <v>8.800000000000001</v>
      </c>
      <c r="E38" s="7" t="n">
        <v>9.1</v>
      </c>
      <c r="F38" s="7" t="n">
        <v>9.199999999999999</v>
      </c>
      <c r="G38" s="7" t="n">
        <v>9.300000000000001</v>
      </c>
      <c r="H38" s="7" t="n">
        <v>9.300000000000001</v>
      </c>
      <c r="I38" s="8" t="n">
        <v>11.3</v>
      </c>
      <c r="J38" s="8" t="n">
        <v>15.9</v>
      </c>
      <c r="K38" s="8" t="n">
        <v>17.8</v>
      </c>
    </row>
    <row r="39">
      <c r="A39" s="6" t="n">
        <v>2000</v>
      </c>
      <c r="B39" s="7" t="n"/>
      <c r="C39" s="7" t="n"/>
      <c r="D39" s="7" t="n"/>
      <c r="E39" s="8" t="n">
        <v>0.5</v>
      </c>
      <c r="F39" s="8" t="n">
        <v>0.6</v>
      </c>
      <c r="G39" s="8" t="n">
        <v>1</v>
      </c>
      <c r="H39" s="8" t="n">
        <v>1.5</v>
      </c>
      <c r="I39" s="8" t="n">
        <v>2.8</v>
      </c>
      <c r="J39" s="8" t="n">
        <v>5.2</v>
      </c>
      <c r="K39" s="8" t="n">
        <v>9.9</v>
      </c>
    </row>
    <row r="40">
      <c r="A40" s="6" t="n">
        <v>2001</v>
      </c>
      <c r="B40" s="8" t="n">
        <v>1.6</v>
      </c>
      <c r="C40" s="8" t="n">
        <v>2.6</v>
      </c>
      <c r="D40" s="8" t="n">
        <v>3.4</v>
      </c>
      <c r="E40" s="8" t="n">
        <v>4.9</v>
      </c>
      <c r="F40" s="8" t="n">
        <v>7</v>
      </c>
      <c r="G40" s="8" t="n">
        <v>11.7</v>
      </c>
      <c r="H40" s="8" t="n">
        <v>13.2</v>
      </c>
      <c r="I40" s="8" t="n">
        <v>14.9</v>
      </c>
      <c r="J40" s="8" t="n">
        <v>16.6</v>
      </c>
      <c r="K40" s="8" t="n">
        <v>22.2</v>
      </c>
    </row>
    <row r="41">
      <c r="A41" s="6" t="n">
        <v>2002</v>
      </c>
      <c r="B41" s="7" t="n">
        <v>4.4</v>
      </c>
      <c r="C41" s="7" t="n">
        <v>5.8</v>
      </c>
      <c r="D41" s="7" t="n">
        <v>6.6</v>
      </c>
      <c r="E41" s="7" t="n">
        <v>10.6</v>
      </c>
      <c r="F41" s="7" t="n">
        <v>18.2</v>
      </c>
      <c r="G41" s="7" t="n">
        <v>19.2</v>
      </c>
      <c r="H41" s="7" t="n">
        <v>19.2</v>
      </c>
      <c r="I41" s="7" t="n">
        <v>19.3</v>
      </c>
      <c r="J41" s="7" t="n">
        <v>19.4</v>
      </c>
      <c r="K41" s="7" t="n">
        <v>19.6</v>
      </c>
    </row>
    <row r="42">
      <c r="A42" s="6" t="n">
        <v>2003</v>
      </c>
      <c r="B42" s="7" t="n">
        <v>9</v>
      </c>
      <c r="C42" s="7" t="n">
        <v>17.6</v>
      </c>
      <c r="D42" s="7" t="n">
        <v>20.4</v>
      </c>
      <c r="E42" s="7" t="n">
        <v>25.8</v>
      </c>
      <c r="F42" s="7" t="n">
        <v>42.2</v>
      </c>
      <c r="G42" s="7" t="n">
        <v>51.6</v>
      </c>
      <c r="H42" s="7" t="n">
        <v>55.7</v>
      </c>
      <c r="I42" s="7" t="n">
        <v>56.5</v>
      </c>
      <c r="J42" s="7" t="n">
        <v>56.6</v>
      </c>
      <c r="K42" s="7" t="n">
        <v>56.8</v>
      </c>
    </row>
    <row r="43">
      <c r="A43" s="6" t="n">
        <v>2004</v>
      </c>
      <c r="B43" s="8" t="n">
        <v>0.9</v>
      </c>
      <c r="C43" s="8" t="n">
        <v>1.4</v>
      </c>
      <c r="D43" s="8" t="n">
        <v>1.9</v>
      </c>
      <c r="E43" s="8" t="n">
        <v>3.6</v>
      </c>
      <c r="F43" s="8" t="n">
        <v>3.8</v>
      </c>
      <c r="G43" s="8" t="n">
        <v>3.8</v>
      </c>
      <c r="H43" s="8" t="n">
        <v>3.8</v>
      </c>
      <c r="I43" s="8" t="n">
        <v>3.8</v>
      </c>
      <c r="J43" s="8" t="n">
        <v>3.9</v>
      </c>
      <c r="K43" s="8" t="n">
        <v>3.9</v>
      </c>
    </row>
    <row r="44">
      <c r="A44" s="6" t="n">
        <v>2005</v>
      </c>
      <c r="B44" s="7" t="n">
        <v>6.8</v>
      </c>
      <c r="C44" s="7" t="n">
        <v>11.2</v>
      </c>
      <c r="D44" s="7" t="n">
        <v>13.4</v>
      </c>
      <c r="E44" s="7" t="n">
        <v>18.4</v>
      </c>
      <c r="F44" s="7" t="n">
        <v>25.6</v>
      </c>
      <c r="G44" s="7" t="n">
        <v>26.7</v>
      </c>
      <c r="H44" s="7" t="n">
        <v>27.2</v>
      </c>
      <c r="I44" s="7" t="n">
        <v>47</v>
      </c>
      <c r="J44" s="7" t="n">
        <v>50.4</v>
      </c>
      <c r="K44" s="7" t="n">
        <v>85.7</v>
      </c>
    </row>
    <row r="45">
      <c r="A45" s="6" t="n">
        <v>2006</v>
      </c>
      <c r="B45" s="7" t="n">
        <v>3.4</v>
      </c>
      <c r="C45" s="7" t="n">
        <v>5.4</v>
      </c>
      <c r="D45" s="8" t="n">
        <v>7.2</v>
      </c>
      <c r="E45" s="8" t="n">
        <v>13</v>
      </c>
      <c r="F45" s="8" t="n">
        <v>15.5</v>
      </c>
      <c r="G45" s="8" t="n">
        <v>17</v>
      </c>
      <c r="H45" s="8" t="n">
        <v>17</v>
      </c>
      <c r="I45" s="8" t="n">
        <v>17.1</v>
      </c>
      <c r="J45" s="8" t="n">
        <v>17.1</v>
      </c>
      <c r="K45" s="7" t="n">
        <v>23.4</v>
      </c>
    </row>
    <row r="46">
      <c r="A46" s="6" t="n">
        <v>2007</v>
      </c>
      <c r="B46" s="7" t="n">
        <v>7.2</v>
      </c>
      <c r="C46" s="7" t="n">
        <v>14</v>
      </c>
      <c r="D46" s="7" t="n">
        <v>18.2</v>
      </c>
      <c r="E46" s="7" t="n">
        <v>21</v>
      </c>
      <c r="F46" s="7" t="n">
        <v>24.6</v>
      </c>
      <c r="G46" s="7" t="n">
        <v>35.6</v>
      </c>
      <c r="H46" s="7" t="n">
        <v>42.7</v>
      </c>
      <c r="I46" s="7" t="n">
        <v>48.8</v>
      </c>
      <c r="J46" s="7" t="n">
        <v>60.3</v>
      </c>
      <c r="K46" s="7" t="n">
        <v>60.5</v>
      </c>
    </row>
    <row r="47">
      <c r="A47" s="6" t="n">
        <v>2009</v>
      </c>
      <c r="B47" s="7" t="n">
        <v>4.6</v>
      </c>
      <c r="C47" s="7" t="n">
        <v>6.4</v>
      </c>
      <c r="D47" s="7" t="n">
        <v>7.6</v>
      </c>
      <c r="E47" s="7" t="n">
        <v>8.4</v>
      </c>
      <c r="F47" s="7" t="n">
        <v>12.2</v>
      </c>
      <c r="G47" s="7" t="n">
        <v>12.9</v>
      </c>
      <c r="H47" s="7" t="n">
        <v>13</v>
      </c>
      <c r="I47" s="7" t="n">
        <v>13.2</v>
      </c>
      <c r="J47" s="7" t="n">
        <v>14.3</v>
      </c>
      <c r="K47" s="7" t="n">
        <v>20.2</v>
      </c>
    </row>
    <row r="48">
      <c r="A48" s="6" t="n">
        <v>2010</v>
      </c>
      <c r="B48" s="8" t="n">
        <v>1.4</v>
      </c>
      <c r="C48" s="8" t="n">
        <v>2.3</v>
      </c>
      <c r="D48" s="8" t="n">
        <v>3.1</v>
      </c>
      <c r="E48" s="8" t="n">
        <v>4.7</v>
      </c>
      <c r="F48" s="8" t="n">
        <v>5.9</v>
      </c>
      <c r="G48" s="8" t="n">
        <v>7.1</v>
      </c>
      <c r="H48" s="8" t="n">
        <v>7.7</v>
      </c>
      <c r="I48" s="8" t="n">
        <v>14.1</v>
      </c>
      <c r="J48" s="8" t="n">
        <v>16.3</v>
      </c>
      <c r="K48" s="8" t="n">
        <v>16.3</v>
      </c>
    </row>
    <row r="49">
      <c r="A49" s="6" t="n">
        <v>2011</v>
      </c>
      <c r="B49" s="8" t="n">
        <v>1</v>
      </c>
      <c r="C49" s="8" t="n">
        <v>1.7</v>
      </c>
      <c r="D49" s="8" t="n">
        <v>2.2</v>
      </c>
      <c r="E49" s="8" t="n">
        <v>3.2</v>
      </c>
      <c r="F49" s="8" t="n">
        <v>4.1</v>
      </c>
      <c r="G49" s="8" t="n">
        <v>4.7</v>
      </c>
      <c r="H49" s="8" t="n">
        <v>5</v>
      </c>
      <c r="I49" s="8" t="n">
        <v>5</v>
      </c>
      <c r="J49" s="8" t="n">
        <v>5</v>
      </c>
      <c r="K49" s="8" t="n">
        <v>5.1</v>
      </c>
    </row>
    <row r="50">
      <c r="A50" s="6" t="n">
        <v>2012</v>
      </c>
      <c r="B50" s="7" t="n">
        <v>8.199999999999999</v>
      </c>
      <c r="C50" s="7" t="n">
        <v>12.4</v>
      </c>
      <c r="D50" s="7" t="n">
        <v>14</v>
      </c>
      <c r="E50" s="7" t="n">
        <v>14.4</v>
      </c>
      <c r="F50" s="7" t="n">
        <v>14.4</v>
      </c>
      <c r="G50" s="7" t="n">
        <v>14.5</v>
      </c>
      <c r="H50" s="7" t="n">
        <v>14.5</v>
      </c>
      <c r="I50" s="7" t="n">
        <v>18.4</v>
      </c>
      <c r="J50" s="7" t="n">
        <v>19</v>
      </c>
      <c r="K50" s="7" t="n">
        <v>20.4</v>
      </c>
    </row>
    <row r="51">
      <c r="A51" s="6" t="n">
        <v>2013</v>
      </c>
      <c r="B51" s="7" t="n">
        <v>6.8</v>
      </c>
      <c r="C51" s="7" t="n">
        <v>12.4</v>
      </c>
      <c r="D51" s="7" t="n">
        <v>16</v>
      </c>
      <c r="E51" s="7" t="n">
        <v>22.6</v>
      </c>
      <c r="F51" s="7" t="n">
        <v>26.2</v>
      </c>
      <c r="G51" s="7" t="n">
        <v>33</v>
      </c>
      <c r="H51" s="7" t="n">
        <v>36.2</v>
      </c>
      <c r="I51" s="7" t="n">
        <v>48.1</v>
      </c>
      <c r="J51" s="7" t="n">
        <v>48.5</v>
      </c>
      <c r="K51" s="7" t="n">
        <v>53</v>
      </c>
    </row>
    <row r="52">
      <c r="A52" s="6" t="n">
        <v>2014</v>
      </c>
      <c r="B52" s="7" t="n">
        <v>6.4</v>
      </c>
      <c r="C52" s="7" t="n">
        <v>11.2</v>
      </c>
      <c r="D52" s="7" t="n">
        <v>17</v>
      </c>
      <c r="E52" s="7" t="n">
        <v>24.4</v>
      </c>
      <c r="F52" s="7" t="n">
        <v>25</v>
      </c>
      <c r="G52" s="7" t="n">
        <v>29.8</v>
      </c>
      <c r="H52" s="7" t="n">
        <v>35.6</v>
      </c>
      <c r="I52" s="7" t="n">
        <v>39.1</v>
      </c>
      <c r="J52" s="7" t="n">
        <v>44.8</v>
      </c>
      <c r="K52" s="7" t="n">
        <v>46.5</v>
      </c>
    </row>
    <row r="53">
      <c r="A53" s="6" t="n">
        <v>2015</v>
      </c>
      <c r="B53" s="7" t="n">
        <v>4.4</v>
      </c>
      <c r="C53" s="7" t="n">
        <v>5.8</v>
      </c>
      <c r="D53" s="7" t="n">
        <v>7.4</v>
      </c>
      <c r="E53" s="7" t="n">
        <v>9.4</v>
      </c>
      <c r="F53" s="7" t="n">
        <v>9.4</v>
      </c>
      <c r="G53" s="8" t="n">
        <v>10.8</v>
      </c>
      <c r="H53" s="8" t="n">
        <v>10.8</v>
      </c>
      <c r="I53" s="8" t="n">
        <v>10.9</v>
      </c>
      <c r="J53" s="8" t="n">
        <v>11</v>
      </c>
      <c r="K53" s="8" t="n">
        <v>11.1</v>
      </c>
    </row>
    <row r="54">
      <c r="A54" s="6" t="n">
        <v>2016</v>
      </c>
      <c r="B54" s="7" t="n">
        <v>6.6</v>
      </c>
      <c r="C54" s="7" t="n">
        <v>11.2</v>
      </c>
      <c r="D54" s="7" t="n">
        <v>15.4</v>
      </c>
      <c r="E54" s="7" t="n">
        <v>21.4</v>
      </c>
      <c r="F54" s="7" t="n">
        <v>32.8</v>
      </c>
      <c r="G54" s="7" t="n">
        <v>37.8</v>
      </c>
      <c r="H54" s="7" t="n">
        <v>37.8</v>
      </c>
      <c r="I54" s="7" t="n">
        <v>37.9</v>
      </c>
      <c r="J54" s="7" t="n">
        <v>39.8</v>
      </c>
      <c r="K54" s="7" t="n">
        <v>53.6</v>
      </c>
    </row>
    <row r="55">
      <c r="A55" s="6" t="n">
        <v>2017</v>
      </c>
      <c r="B55" s="7" t="n">
        <v>3.8</v>
      </c>
      <c r="C55" s="7" t="n">
        <v>6</v>
      </c>
      <c r="D55" s="7" t="n">
        <v>6.6</v>
      </c>
      <c r="E55" s="8" t="n">
        <v>10.9</v>
      </c>
      <c r="F55" s="7" t="n">
        <v>15</v>
      </c>
      <c r="G55" s="7" t="n">
        <v>15.2</v>
      </c>
      <c r="H55" s="7" t="n">
        <v>15.4</v>
      </c>
      <c r="I55" s="7" t="n">
        <v>15.5</v>
      </c>
      <c r="J55" s="7" t="n">
        <v>15.6</v>
      </c>
      <c r="K55" s="7" t="n">
        <v>15.8</v>
      </c>
    </row>
    <row r="56">
      <c r="A56" s="6" t="n">
        <v>2018</v>
      </c>
      <c r="B56" s="7" t="n">
        <v>6</v>
      </c>
      <c r="C56" s="7" t="n">
        <v>12</v>
      </c>
      <c r="D56" s="7" t="n">
        <v>15.4</v>
      </c>
      <c r="E56" s="7" t="n">
        <v>18.4</v>
      </c>
      <c r="F56" s="7" t="n">
        <v>18.4</v>
      </c>
      <c r="G56" s="7" t="n">
        <v>18.4</v>
      </c>
      <c r="H56" s="7" t="n">
        <v>18.4</v>
      </c>
      <c r="I56" s="7" t="n">
        <v>18.5</v>
      </c>
      <c r="J56" s="7" t="n">
        <v>22</v>
      </c>
      <c r="K56" s="7" t="n">
        <v>22.2</v>
      </c>
    </row>
    <row r="57">
      <c r="A57" s="6" t="n">
        <v>2019</v>
      </c>
      <c r="B57" s="7" t="n">
        <v>4.6</v>
      </c>
      <c r="C57" s="7" t="n">
        <v>8.4</v>
      </c>
      <c r="D57" s="7" t="n">
        <v>12.4</v>
      </c>
      <c r="E57" s="7" t="n">
        <v>20.4</v>
      </c>
      <c r="F57" s="7" t="n">
        <v>26</v>
      </c>
      <c r="G57" s="7" t="n">
        <v>32.6</v>
      </c>
      <c r="H57" s="7" t="n">
        <v>33.2</v>
      </c>
      <c r="I57" s="7" t="n">
        <v>34</v>
      </c>
      <c r="J57" s="7" t="n">
        <v>34.3</v>
      </c>
      <c r="K57" s="7" t="n">
        <v>65.59999999999999</v>
      </c>
    </row>
    <row r="58">
      <c r="A58" s="6" t="n">
        <v>2020</v>
      </c>
      <c r="B58" s="7" t="n">
        <v>4.6</v>
      </c>
      <c r="C58" s="7" t="n">
        <v>7.4</v>
      </c>
      <c r="D58" s="7" t="n">
        <v>10.2</v>
      </c>
      <c r="E58" s="7" t="n">
        <v>14.2</v>
      </c>
      <c r="F58" s="7" t="n">
        <v>20.8</v>
      </c>
      <c r="G58" s="7" t="n">
        <v>26.2</v>
      </c>
      <c r="H58" s="7" t="n">
        <v>35.6</v>
      </c>
      <c r="I58" s="7" t="n">
        <v>42.8</v>
      </c>
      <c r="J58" s="7" t="n">
        <v>42.9</v>
      </c>
      <c r="K58" s="7" t="n">
        <v>50.7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Y5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</cols>
  <sheetData>
    <row r="1">
      <c r="A1" s="1" t="inlineStr">
        <is>
          <t>Gauge 39  |  FL672275AF  |  BUEI NEAR BUEI</t>
        </is>
      </c>
    </row>
    <row r="3">
      <c r="A3" s="2" t="inlineStr">
        <is>
          <t>AMS BEFORE gap filling (observed only, mm)</t>
        </is>
      </c>
      <c r="M3" s="3" t="inlineStr">
        <is>
          <t>IDF - design rainfall DEPTH (mm)</t>
        </is>
      </c>
    </row>
    <row r="4">
      <c r="A4" s="4" t="inlineStr">
        <is>
          <t>Water year</t>
        </is>
      </c>
      <c r="B4" s="5" t="inlineStr">
        <is>
          <t>5min</t>
        </is>
      </c>
      <c r="C4" s="5" t="inlineStr">
        <is>
          <t>10min</t>
        </is>
      </c>
      <c r="D4" s="5" t="inlineStr">
        <is>
          <t>15min</t>
        </is>
      </c>
      <c r="E4" s="5" t="inlineStr">
        <is>
          <t>30min</t>
        </is>
      </c>
      <c r="F4" s="5" t="inlineStr">
        <is>
          <t>1h</t>
        </is>
      </c>
      <c r="G4" s="5" t="inlineStr">
        <is>
          <t>2h</t>
        </is>
      </c>
      <c r="H4" s="5" t="inlineStr">
        <is>
          <t>3h</t>
        </is>
      </c>
      <c r="I4" s="5" t="inlineStr">
        <is>
          <t>6h</t>
        </is>
      </c>
      <c r="J4" s="5" t="inlineStr">
        <is>
          <t>12h</t>
        </is>
      </c>
      <c r="K4" s="5" t="inlineStr">
        <is>
          <t>24h</t>
        </is>
      </c>
      <c r="M4" s="4" t="inlineStr">
        <is>
          <t>Duration \ RP</t>
        </is>
      </c>
      <c r="N4" s="4" t="n">
        <v>2</v>
      </c>
      <c r="O4" s="4" t="n">
        <v>5</v>
      </c>
      <c r="P4" s="4" t="n">
        <v>10</v>
      </c>
      <c r="Q4" s="4" t="n">
        <v>25</v>
      </c>
      <c r="R4" s="4" t="n">
        <v>50</v>
      </c>
      <c r="S4" s="4" t="n">
        <v>100</v>
      </c>
      <c r="T4" s="4" t="n">
        <v>200</v>
      </c>
      <c r="U4" s="4" t="n">
        <v>500</v>
      </c>
      <c r="V4" s="4" t="n">
        <v>1000</v>
      </c>
      <c r="W4" s="4" t="n">
        <v>2000</v>
      </c>
      <c r="X4" s="4" t="n">
        <v>5000</v>
      </c>
      <c r="Y4" s="4" t="n">
        <v>10000</v>
      </c>
    </row>
    <row r="5">
      <c r="A5" s="6" t="n">
        <v>1995</v>
      </c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>
        <v>84</v>
      </c>
      <c r="M5" s="6" t="inlineStr">
        <is>
          <t>5min</t>
        </is>
      </c>
      <c r="N5" s="6" t="n">
        <v>4.9</v>
      </c>
      <c r="O5" s="6" t="n">
        <v>7.6</v>
      </c>
      <c r="P5" s="6" t="n">
        <v>9.4</v>
      </c>
      <c r="Q5" s="6" t="n">
        <v>11.7</v>
      </c>
      <c r="R5" s="6" t="n">
        <v>13.5</v>
      </c>
      <c r="S5" s="6" t="n">
        <v>15.2</v>
      </c>
      <c r="T5" s="6" t="n">
        <v>17</v>
      </c>
      <c r="U5" s="6" t="n">
        <v>19.4</v>
      </c>
      <c r="V5" s="6" t="n">
        <v>21.2</v>
      </c>
      <c r="W5" s="6" t="n">
        <v>23.1</v>
      </c>
      <c r="X5" s="6" t="n">
        <v>25.6</v>
      </c>
      <c r="Y5" s="6" t="n">
        <v>27.5</v>
      </c>
    </row>
    <row r="6">
      <c r="A6" s="6" t="n">
        <v>1996</v>
      </c>
      <c r="B6" s="7" t="n"/>
      <c r="C6" s="7" t="n"/>
      <c r="D6" s="7" t="n"/>
      <c r="E6" s="7" t="n"/>
      <c r="F6" s="7" t="n"/>
      <c r="G6" s="7" t="n"/>
      <c r="H6" s="7" t="n"/>
      <c r="I6" s="7" t="n"/>
      <c r="J6" s="7" t="n"/>
      <c r="K6" s="7" t="n">
        <v>74</v>
      </c>
      <c r="M6" s="6" t="inlineStr">
        <is>
          <t>10min</t>
        </is>
      </c>
      <c r="N6" s="6" t="n">
        <v>7.9</v>
      </c>
      <c r="O6" s="6" t="n">
        <v>12.3</v>
      </c>
      <c r="P6" s="6" t="n">
        <v>15.3</v>
      </c>
      <c r="Q6" s="6" t="n">
        <v>19.3</v>
      </c>
      <c r="R6" s="6" t="n">
        <v>22.3</v>
      </c>
      <c r="S6" s="6" t="n">
        <v>25.4</v>
      </c>
      <c r="T6" s="6" t="n">
        <v>28.5</v>
      </c>
      <c r="U6" s="6" t="n">
        <v>32.7</v>
      </c>
      <c r="V6" s="6" t="n">
        <v>36</v>
      </c>
      <c r="W6" s="6" t="n">
        <v>39.4</v>
      </c>
      <c r="X6" s="6" t="n">
        <v>44</v>
      </c>
      <c r="Y6" s="6" t="n">
        <v>47.6</v>
      </c>
    </row>
    <row r="7">
      <c r="A7" s="6" t="n">
        <v>1997</v>
      </c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>
        <v>82.5</v>
      </c>
      <c r="M7" s="6" t="inlineStr">
        <is>
          <t>15min</t>
        </is>
      </c>
      <c r="N7" s="6" t="n">
        <v>9.9</v>
      </c>
      <c r="O7" s="6" t="n">
        <v>15.7</v>
      </c>
      <c r="P7" s="6" t="n">
        <v>19.9</v>
      </c>
      <c r="Q7" s="6" t="n">
        <v>25.5</v>
      </c>
      <c r="R7" s="6" t="n">
        <v>29.9</v>
      </c>
      <c r="S7" s="6" t="n">
        <v>34.5</v>
      </c>
      <c r="T7" s="6" t="n">
        <v>39.3</v>
      </c>
      <c r="U7" s="6" t="n">
        <v>46</v>
      </c>
      <c r="V7" s="6" t="n">
        <v>51.4</v>
      </c>
      <c r="W7" s="6" t="n">
        <v>57.1</v>
      </c>
      <c r="X7" s="6" t="n">
        <v>65.09999999999999</v>
      </c>
      <c r="Y7" s="6" t="n">
        <v>71.5</v>
      </c>
    </row>
    <row r="8">
      <c r="A8" s="6" t="n">
        <v>1998</v>
      </c>
      <c r="B8" s="7" t="n">
        <v>5</v>
      </c>
      <c r="C8" s="7" t="n">
        <v>6</v>
      </c>
      <c r="D8" s="7" t="n">
        <v>7</v>
      </c>
      <c r="E8" s="7" t="n">
        <v>8.300000000000001</v>
      </c>
      <c r="F8" s="7" t="n">
        <v>11.9</v>
      </c>
      <c r="G8" s="7" t="n">
        <v>15.5</v>
      </c>
      <c r="H8" s="7" t="n">
        <v>19.8</v>
      </c>
      <c r="I8" s="7" t="n">
        <v>29.1</v>
      </c>
      <c r="J8" s="7" t="n">
        <v>35.5</v>
      </c>
      <c r="K8" s="7" t="n">
        <v>47.3</v>
      </c>
      <c r="M8" s="6" t="inlineStr">
        <is>
          <t>30min</t>
        </is>
      </c>
      <c r="N8" s="6" t="n">
        <v>13.5</v>
      </c>
      <c r="O8" s="6" t="n">
        <v>22</v>
      </c>
      <c r="P8" s="6" t="n">
        <v>27.9</v>
      </c>
      <c r="Q8" s="6" t="n">
        <v>35.9</v>
      </c>
      <c r="R8" s="6" t="n">
        <v>42.2</v>
      </c>
      <c r="S8" s="6" t="n">
        <v>48.8</v>
      </c>
      <c r="T8" s="6" t="n">
        <v>55.6</v>
      </c>
      <c r="U8" s="6" t="n">
        <v>65.2</v>
      </c>
      <c r="V8" s="6" t="n">
        <v>72.8</v>
      </c>
      <c r="W8" s="6" t="n">
        <v>80.90000000000001</v>
      </c>
      <c r="X8" s="6" t="n">
        <v>92.09999999999999</v>
      </c>
      <c r="Y8" s="6" t="n">
        <v>101.1</v>
      </c>
    </row>
    <row r="9">
      <c r="A9" s="6" t="n">
        <v>1999</v>
      </c>
      <c r="B9" s="7" t="n">
        <v>0.8</v>
      </c>
      <c r="C9" s="7" t="n">
        <v>1.5</v>
      </c>
      <c r="D9" s="7" t="n">
        <v>1.8</v>
      </c>
      <c r="E9" s="7" t="n">
        <v>3.3</v>
      </c>
      <c r="F9" s="7" t="n">
        <v>4.5</v>
      </c>
      <c r="G9" s="7" t="n">
        <v>6.8</v>
      </c>
      <c r="H9" s="7" t="n">
        <v>7.3</v>
      </c>
      <c r="I9" s="7" t="n">
        <v>7.3</v>
      </c>
      <c r="J9" s="7" t="n">
        <v>7.4</v>
      </c>
      <c r="K9" s="7" t="n">
        <v>7.5</v>
      </c>
      <c r="M9" s="6" t="inlineStr">
        <is>
          <t>1h</t>
        </is>
      </c>
      <c r="N9" s="6" t="n">
        <v>16.9</v>
      </c>
      <c r="O9" s="6" t="n">
        <v>27.8</v>
      </c>
      <c r="P9" s="6" t="n">
        <v>35.6</v>
      </c>
      <c r="Q9" s="6" t="n">
        <v>46.2</v>
      </c>
      <c r="R9" s="6" t="n">
        <v>54.8</v>
      </c>
      <c r="S9" s="6" t="n">
        <v>63.8</v>
      </c>
      <c r="T9" s="6" t="n">
        <v>73.40000000000001</v>
      </c>
      <c r="U9" s="6" t="n">
        <v>87</v>
      </c>
      <c r="V9" s="6" t="n">
        <v>98.09999999999999</v>
      </c>
      <c r="W9" s="6" t="n">
        <v>109.8</v>
      </c>
      <c r="X9" s="6" t="n">
        <v>126.6</v>
      </c>
      <c r="Y9" s="6" t="n">
        <v>140.2</v>
      </c>
    </row>
    <row r="10">
      <c r="A10" s="6" t="n">
        <v>2001</v>
      </c>
      <c r="B10" s="7" t="n"/>
      <c r="C10" s="7" t="n"/>
      <c r="D10" s="7" t="n"/>
      <c r="E10" s="7" t="n"/>
      <c r="F10" s="7" t="n"/>
      <c r="G10" s="7" t="n"/>
      <c r="H10" s="7" t="n">
        <v>0.5</v>
      </c>
      <c r="I10" s="7" t="n">
        <v>1</v>
      </c>
      <c r="J10" s="7" t="n">
        <v>1.6</v>
      </c>
      <c r="K10" s="7" t="n">
        <v>2.6</v>
      </c>
      <c r="M10" s="6" t="inlineStr">
        <is>
          <t>2h</t>
        </is>
      </c>
      <c r="N10" s="6" t="n">
        <v>19.5</v>
      </c>
      <c r="O10" s="6" t="n">
        <v>32.8</v>
      </c>
      <c r="P10" s="6" t="n">
        <v>43</v>
      </c>
      <c r="Q10" s="6" t="n">
        <v>57.8</v>
      </c>
      <c r="R10" s="6" t="n">
        <v>70.2</v>
      </c>
      <c r="S10" s="6" t="n">
        <v>84</v>
      </c>
      <c r="T10" s="6" t="n">
        <v>99.3</v>
      </c>
      <c r="U10" s="6" t="n">
        <v>122.2</v>
      </c>
      <c r="V10" s="6" t="n">
        <v>141.7</v>
      </c>
      <c r="W10" s="6" t="n">
        <v>163.5</v>
      </c>
      <c r="X10" s="6" t="n">
        <v>196.2</v>
      </c>
      <c r="Y10" s="6" t="n">
        <v>224.2</v>
      </c>
    </row>
    <row r="11">
      <c r="A11" s="6" t="n">
        <v>2002</v>
      </c>
      <c r="B11" s="7" t="n">
        <v>7.7</v>
      </c>
      <c r="C11" s="7" t="n">
        <v>12.6</v>
      </c>
      <c r="D11" s="7" t="n">
        <v>15.1</v>
      </c>
      <c r="E11" s="7" t="n">
        <v>17.4</v>
      </c>
      <c r="F11" s="7" t="n">
        <v>20.1</v>
      </c>
      <c r="G11" s="7" t="n">
        <v>20.3</v>
      </c>
      <c r="H11" s="7" t="n">
        <v>20.3</v>
      </c>
      <c r="I11" s="7" t="n">
        <v>20.4</v>
      </c>
      <c r="J11" s="7" t="n">
        <v>20.6</v>
      </c>
      <c r="K11" s="7" t="n">
        <v>20.9</v>
      </c>
      <c r="M11" s="6" t="inlineStr">
        <is>
          <t>3h</t>
        </is>
      </c>
      <c r="N11" s="6" t="n">
        <v>20.8</v>
      </c>
      <c r="O11" s="6" t="n">
        <v>36</v>
      </c>
      <c r="P11" s="6" t="n">
        <v>48.4</v>
      </c>
      <c r="Q11" s="6" t="n">
        <v>67.2</v>
      </c>
      <c r="R11" s="6" t="n">
        <v>83.90000000000001</v>
      </c>
      <c r="S11" s="6" t="n">
        <v>103.3</v>
      </c>
      <c r="T11" s="6" t="n">
        <v>125.7</v>
      </c>
      <c r="U11" s="6" t="n">
        <v>161.1</v>
      </c>
      <c r="V11" s="6" t="n">
        <v>192.9</v>
      </c>
      <c r="W11" s="6" t="n">
        <v>230</v>
      </c>
      <c r="X11" s="6" t="n">
        <v>288.5</v>
      </c>
      <c r="Y11" s="6" t="n">
        <v>341.3</v>
      </c>
    </row>
    <row r="12">
      <c r="A12" s="6" t="n">
        <v>2003</v>
      </c>
      <c r="B12" s="7" t="n">
        <v>4.8</v>
      </c>
      <c r="C12" s="7" t="n">
        <v>7.8</v>
      </c>
      <c r="D12" s="7" t="n">
        <v>10.8</v>
      </c>
      <c r="E12" s="7" t="n">
        <v>15.4</v>
      </c>
      <c r="F12" s="7" t="n">
        <v>20.6</v>
      </c>
      <c r="G12" s="7" t="n">
        <v>21.6</v>
      </c>
      <c r="H12" s="7" t="n">
        <v>21.6</v>
      </c>
      <c r="I12" s="7" t="n">
        <v>21.7</v>
      </c>
      <c r="J12" s="7" t="n">
        <v>21.8</v>
      </c>
      <c r="K12" s="7" t="n">
        <v>22</v>
      </c>
      <c r="M12" s="6" t="inlineStr">
        <is>
          <t>6h</t>
        </is>
      </c>
      <c r="N12" s="6" t="n">
        <v>23.6</v>
      </c>
      <c r="O12" s="6" t="n">
        <v>42.6</v>
      </c>
      <c r="P12" s="6" t="n">
        <v>59.4</v>
      </c>
      <c r="Q12" s="6" t="n">
        <v>86.8</v>
      </c>
      <c r="R12" s="6" t="n">
        <v>112.9</v>
      </c>
      <c r="S12" s="6" t="n">
        <v>145</v>
      </c>
      <c r="T12" s="6" t="n">
        <v>184.4</v>
      </c>
      <c r="U12" s="6" t="n">
        <v>251</v>
      </c>
      <c r="V12" s="6" t="n">
        <v>315.2</v>
      </c>
      <c r="W12" s="6" t="n">
        <v>394.3</v>
      </c>
      <c r="X12" s="6" t="n">
        <v>528.1</v>
      </c>
      <c r="Y12" s="6" t="n">
        <v>657.1</v>
      </c>
    </row>
    <row r="13">
      <c r="A13" s="6" t="n">
        <v>2004</v>
      </c>
      <c r="B13" s="7" t="n">
        <v>1.5</v>
      </c>
      <c r="C13" s="7" t="n">
        <v>2.8</v>
      </c>
      <c r="D13" s="7" t="n">
        <v>3</v>
      </c>
      <c r="E13" s="7" t="n">
        <v>3</v>
      </c>
      <c r="F13" s="7" t="n">
        <v>3</v>
      </c>
      <c r="G13" s="7" t="n">
        <v>3</v>
      </c>
      <c r="H13" s="7" t="n">
        <v>3</v>
      </c>
      <c r="I13" s="7" t="n">
        <v>3</v>
      </c>
      <c r="J13" s="7" t="n">
        <v>3.1</v>
      </c>
      <c r="K13" s="7" t="n">
        <v>3.2</v>
      </c>
      <c r="M13" s="6" t="inlineStr">
        <is>
          <t>12h</t>
        </is>
      </c>
      <c r="N13" s="6" t="n">
        <v>26.3</v>
      </c>
      <c r="O13" s="6" t="n">
        <v>49.1</v>
      </c>
      <c r="P13" s="6" t="n">
        <v>70.09999999999999</v>
      </c>
      <c r="Q13" s="6" t="n">
        <v>105.7</v>
      </c>
      <c r="R13" s="6" t="n">
        <v>141</v>
      </c>
      <c r="S13" s="6" t="n">
        <v>185.8</v>
      </c>
      <c r="T13" s="6" t="n">
        <v>242.8</v>
      </c>
      <c r="U13" s="6" t="n">
        <v>342.9</v>
      </c>
      <c r="V13" s="6" t="n">
        <v>443</v>
      </c>
      <c r="W13" s="6" t="n">
        <v>570.7</v>
      </c>
      <c r="X13" s="6" t="n">
        <v>795</v>
      </c>
      <c r="Y13" s="6" t="n">
        <v>1019.6</v>
      </c>
    </row>
    <row r="14">
      <c r="A14" s="6" t="n">
        <v>2005</v>
      </c>
      <c r="B14" s="7" t="n">
        <v>1.8</v>
      </c>
      <c r="C14" s="7" t="n">
        <v>3</v>
      </c>
      <c r="D14" s="7" t="n">
        <v>3.8</v>
      </c>
      <c r="E14" s="7" t="n">
        <v>4.6</v>
      </c>
      <c r="F14" s="7" t="n">
        <v>4.6</v>
      </c>
      <c r="G14" s="7" t="n">
        <v>4.6</v>
      </c>
      <c r="H14" s="7" t="n">
        <v>4.6</v>
      </c>
      <c r="I14" s="7" t="n">
        <v>4.6</v>
      </c>
      <c r="J14" s="7" t="n">
        <v>4.7</v>
      </c>
      <c r="K14" s="7" t="n">
        <v>4.8</v>
      </c>
      <c r="M14" s="6" t="inlineStr">
        <is>
          <t>24h</t>
        </is>
      </c>
      <c r="N14" s="6" t="n">
        <v>32.5</v>
      </c>
      <c r="O14" s="6" t="n">
        <v>60.5</v>
      </c>
      <c r="P14" s="6" t="n">
        <v>85</v>
      </c>
      <c r="Q14" s="6" t="n">
        <v>125.1</v>
      </c>
      <c r="R14" s="6" t="n">
        <v>163.2</v>
      </c>
      <c r="S14" s="6" t="n">
        <v>209.8</v>
      </c>
      <c r="T14" s="6" t="n">
        <v>267.1</v>
      </c>
      <c r="U14" s="6" t="n">
        <v>363.6</v>
      </c>
      <c r="V14" s="6" t="n">
        <v>456.4</v>
      </c>
      <c r="W14" s="6" t="n">
        <v>570.7</v>
      </c>
      <c r="X14" s="6" t="n">
        <v>795</v>
      </c>
      <c r="Y14" s="6" t="n">
        <v>1019.6</v>
      </c>
    </row>
    <row r="15">
      <c r="A15" s="6" t="n">
        <v>2006</v>
      </c>
      <c r="B15" s="7" t="n">
        <v>35.2</v>
      </c>
      <c r="C15" s="7" t="n">
        <v>35.6</v>
      </c>
      <c r="D15" s="7" t="n">
        <v>36.6</v>
      </c>
      <c r="E15" s="7" t="n">
        <v>36.6</v>
      </c>
      <c r="F15" s="7" t="n">
        <v>36.6</v>
      </c>
      <c r="G15" s="7" t="n">
        <v>36.7</v>
      </c>
      <c r="H15" s="7" t="n">
        <v>36.7</v>
      </c>
      <c r="I15" s="7" t="n">
        <v>36.8</v>
      </c>
      <c r="J15" s="7" t="n">
        <v>37.1</v>
      </c>
      <c r="K15" s="7" t="n">
        <v>37.6</v>
      </c>
    </row>
    <row r="16">
      <c r="A16" s="6" t="n">
        <v>2007</v>
      </c>
      <c r="B16" s="7" t="n">
        <v>20.2</v>
      </c>
      <c r="C16" s="7" t="n">
        <v>28.6</v>
      </c>
      <c r="D16" s="7" t="n">
        <v>31.4</v>
      </c>
      <c r="E16" s="7" t="n">
        <v>35.6</v>
      </c>
      <c r="F16" s="7" t="n">
        <v>44.6</v>
      </c>
      <c r="G16" s="7" t="n">
        <v>81</v>
      </c>
      <c r="H16" s="7" t="n">
        <v>118.2</v>
      </c>
      <c r="I16" s="7" t="n">
        <v>193.6</v>
      </c>
      <c r="J16" s="7" t="n">
        <v>320.2</v>
      </c>
      <c r="K16" s="7" t="n">
        <v>379.5</v>
      </c>
      <c r="M16" s="3" t="inlineStr">
        <is>
          <t>IDF - intensity (mm/hr) [x=duration(min)]</t>
        </is>
      </c>
    </row>
    <row r="17">
      <c r="A17" s="6" t="n">
        <v>2008</v>
      </c>
      <c r="B17" s="7" t="n">
        <v>1.2</v>
      </c>
      <c r="C17" s="7" t="n">
        <v>2.2</v>
      </c>
      <c r="D17" s="7" t="n">
        <v>3</v>
      </c>
      <c r="E17" s="7" t="n">
        <v>4.4</v>
      </c>
      <c r="F17" s="7" t="n">
        <v>5.6</v>
      </c>
      <c r="G17" s="7" t="n">
        <v>5.6</v>
      </c>
      <c r="H17" s="7" t="n">
        <v>5.6</v>
      </c>
      <c r="I17" s="7" t="n">
        <v>5.7</v>
      </c>
      <c r="J17" s="7" t="n">
        <v>5.7</v>
      </c>
      <c r="K17" s="7" t="n">
        <v>6</v>
      </c>
      <c r="M17" t="inlineStr">
        <is>
          <t>Duration(min)</t>
        </is>
      </c>
      <c r="N17" t="inlineStr">
        <is>
          <t>2 yr</t>
        </is>
      </c>
      <c r="O17" t="inlineStr">
        <is>
          <t>5 yr</t>
        </is>
      </c>
      <c r="P17" t="inlineStr">
        <is>
          <t>10 yr</t>
        </is>
      </c>
      <c r="Q17" t="inlineStr">
        <is>
          <t>25 yr</t>
        </is>
      </c>
      <c r="R17" t="inlineStr">
        <is>
          <t>50 yr</t>
        </is>
      </c>
      <c r="S17" t="inlineStr">
        <is>
          <t>100 yr</t>
        </is>
      </c>
      <c r="T17" t="inlineStr">
        <is>
          <t>200 yr</t>
        </is>
      </c>
      <c r="U17" t="inlineStr">
        <is>
          <t>500 yr</t>
        </is>
      </c>
      <c r="V17" t="inlineStr">
        <is>
          <t>1000 yr</t>
        </is>
      </c>
      <c r="W17" t="inlineStr">
        <is>
          <t>2000 yr</t>
        </is>
      </c>
      <c r="X17" t="inlineStr">
        <is>
          <t>5000 yr</t>
        </is>
      </c>
      <c r="Y17" t="inlineStr">
        <is>
          <t>10000 yr</t>
        </is>
      </c>
    </row>
    <row r="18">
      <c r="A18" s="6" t="n">
        <v>2009</v>
      </c>
      <c r="B18" s="7" t="n">
        <v>2</v>
      </c>
      <c r="C18" s="7" t="n">
        <v>3.4</v>
      </c>
      <c r="D18" s="7" t="n">
        <v>4.3</v>
      </c>
      <c r="E18" s="7" t="n">
        <v>5.8</v>
      </c>
      <c r="F18" s="7" t="n">
        <v>6.6</v>
      </c>
      <c r="G18" s="7" t="n">
        <v>7.3</v>
      </c>
      <c r="H18" s="7" t="n">
        <v>8.199999999999999</v>
      </c>
      <c r="I18" s="7" t="n">
        <v>8.4</v>
      </c>
      <c r="J18" s="7" t="n">
        <v>16.1</v>
      </c>
      <c r="K18" s="7" t="n">
        <v>26.9</v>
      </c>
      <c r="M18" t="n">
        <v>5</v>
      </c>
      <c r="N18" t="n">
        <v>58.6</v>
      </c>
      <c r="O18" t="n">
        <v>90.90000000000001</v>
      </c>
      <c r="P18" t="n">
        <v>112.7</v>
      </c>
      <c r="Q18" t="n">
        <v>140.6</v>
      </c>
      <c r="R18" t="n">
        <v>161.7</v>
      </c>
      <c r="S18" t="n">
        <v>182.8</v>
      </c>
      <c r="T18" t="n">
        <v>204.2</v>
      </c>
      <c r="U18" t="n">
        <v>232.8</v>
      </c>
      <c r="V18" t="n">
        <v>254.8</v>
      </c>
      <c r="W18" t="n">
        <v>277.1</v>
      </c>
      <c r="X18" t="n">
        <v>307</v>
      </c>
      <c r="Y18" t="n">
        <v>329.9</v>
      </c>
    </row>
    <row r="19">
      <c r="A19" s="6" t="n">
        <v>2010</v>
      </c>
      <c r="B19" s="7" t="n">
        <v>11.8</v>
      </c>
      <c r="C19" s="7" t="n">
        <v>17</v>
      </c>
      <c r="D19" s="7" t="n">
        <v>18.6</v>
      </c>
      <c r="E19" s="7" t="n">
        <v>21.8</v>
      </c>
      <c r="F19" s="7" t="n">
        <v>24.8</v>
      </c>
      <c r="G19" s="7" t="n">
        <v>40.2</v>
      </c>
      <c r="H19" s="7" t="n">
        <v>54.2</v>
      </c>
      <c r="I19" s="7" t="n">
        <v>81.40000000000001</v>
      </c>
      <c r="J19" s="7" t="n">
        <v>152.8</v>
      </c>
      <c r="K19" s="7" t="n">
        <v>252.7</v>
      </c>
      <c r="M19" t="n">
        <v>10</v>
      </c>
      <c r="N19" t="n">
        <v>47.4</v>
      </c>
      <c r="O19" t="n">
        <v>73.90000000000001</v>
      </c>
      <c r="P19" t="n">
        <v>92.09999999999999</v>
      </c>
      <c r="Q19" t="n">
        <v>115.7</v>
      </c>
      <c r="R19" t="n">
        <v>133.7</v>
      </c>
      <c r="S19" t="n">
        <v>152.1</v>
      </c>
      <c r="T19" t="n">
        <v>170.9</v>
      </c>
      <c r="U19" t="n">
        <v>196.4</v>
      </c>
      <c r="V19" t="n">
        <v>216.2</v>
      </c>
      <c r="W19" t="n">
        <v>236.5</v>
      </c>
      <c r="X19" t="n">
        <v>264.1</v>
      </c>
      <c r="Y19" t="n">
        <v>285.7</v>
      </c>
    </row>
    <row r="20">
      <c r="A20" s="6" t="n">
        <v>2011</v>
      </c>
      <c r="B20" s="7" t="n">
        <v>3.4</v>
      </c>
      <c r="C20" s="7" t="n">
        <v>6.2</v>
      </c>
      <c r="D20" s="7" t="n">
        <v>8.6</v>
      </c>
      <c r="E20" s="7" t="n">
        <v>11</v>
      </c>
      <c r="F20" s="7" t="n">
        <v>11.2</v>
      </c>
      <c r="G20" s="7" t="n">
        <v>11.3</v>
      </c>
      <c r="H20" s="7" t="n">
        <v>11.5</v>
      </c>
      <c r="I20" s="7" t="n">
        <v>11.8</v>
      </c>
      <c r="J20" s="7" t="n">
        <v>11.9</v>
      </c>
      <c r="K20" s="7" t="n">
        <v>12</v>
      </c>
      <c r="M20" t="n">
        <v>15</v>
      </c>
      <c r="N20" t="n">
        <v>39.4</v>
      </c>
      <c r="O20" t="n">
        <v>62.9</v>
      </c>
      <c r="P20" t="n">
        <v>79.5</v>
      </c>
      <c r="Q20" t="n">
        <v>101.9</v>
      </c>
      <c r="R20" t="n">
        <v>119.5</v>
      </c>
      <c r="S20" t="n">
        <v>137.9</v>
      </c>
      <c r="T20" t="n">
        <v>157.2</v>
      </c>
      <c r="U20" t="n">
        <v>184.1</v>
      </c>
      <c r="V20" t="n">
        <v>205.8</v>
      </c>
      <c r="W20" t="n">
        <v>228.5</v>
      </c>
      <c r="X20" t="n">
        <v>260.4</v>
      </c>
      <c r="Y20" t="n">
        <v>286</v>
      </c>
    </row>
    <row r="21">
      <c r="A21" s="6" t="n">
        <v>2012</v>
      </c>
      <c r="B21" s="7" t="n">
        <v>5</v>
      </c>
      <c r="C21" s="7" t="n">
        <v>9.800000000000001</v>
      </c>
      <c r="D21" s="7" t="n">
        <v>14.4</v>
      </c>
      <c r="E21" s="7" t="n">
        <v>17</v>
      </c>
      <c r="F21" s="7" t="n">
        <v>19.4</v>
      </c>
      <c r="G21" s="7" t="n">
        <v>20.5</v>
      </c>
      <c r="H21" s="7" t="n">
        <v>20.6</v>
      </c>
      <c r="I21" s="7" t="n">
        <v>20.6</v>
      </c>
      <c r="J21" s="7" t="n">
        <v>20.7</v>
      </c>
      <c r="K21" s="7" t="n">
        <v>20.8</v>
      </c>
      <c r="M21" t="n">
        <v>30</v>
      </c>
      <c r="N21" t="n">
        <v>27.1</v>
      </c>
      <c r="O21" t="n">
        <v>43.9</v>
      </c>
      <c r="P21" t="n">
        <v>55.9</v>
      </c>
      <c r="Q21" t="n">
        <v>71.8</v>
      </c>
      <c r="R21" t="n">
        <v>84.40000000000001</v>
      </c>
      <c r="S21" t="n">
        <v>97.5</v>
      </c>
      <c r="T21" t="n">
        <v>111.2</v>
      </c>
      <c r="U21" t="n">
        <v>130.4</v>
      </c>
      <c r="V21" t="n">
        <v>145.7</v>
      </c>
      <c r="W21" t="n">
        <v>161.8</v>
      </c>
      <c r="X21" t="n">
        <v>184.3</v>
      </c>
      <c r="Y21" t="n">
        <v>202.3</v>
      </c>
    </row>
    <row r="22">
      <c r="A22" s="6" t="n">
        <v>2013</v>
      </c>
      <c r="B22" s="7" t="n">
        <v>7</v>
      </c>
      <c r="C22" s="7" t="n">
        <v>13.4</v>
      </c>
      <c r="D22" s="7" t="n">
        <v>16.8</v>
      </c>
      <c r="E22" s="7" t="n">
        <v>28.2</v>
      </c>
      <c r="F22" s="7" t="n">
        <v>34.2</v>
      </c>
      <c r="G22" s="7" t="n">
        <v>35.2</v>
      </c>
      <c r="H22" s="7" t="n">
        <v>35.2</v>
      </c>
      <c r="I22" s="7" t="n">
        <v>35.2</v>
      </c>
      <c r="J22" s="7" t="n">
        <v>35.3</v>
      </c>
      <c r="K22" s="7" t="n">
        <v>44.2</v>
      </c>
      <c r="M22" t="n">
        <v>60</v>
      </c>
      <c r="N22" t="n">
        <v>16.9</v>
      </c>
      <c r="O22" t="n">
        <v>27.8</v>
      </c>
      <c r="P22" t="n">
        <v>35.6</v>
      </c>
      <c r="Q22" t="n">
        <v>46.2</v>
      </c>
      <c r="R22" t="n">
        <v>54.8</v>
      </c>
      <c r="S22" t="n">
        <v>63.8</v>
      </c>
      <c r="T22" t="n">
        <v>73.40000000000001</v>
      </c>
      <c r="U22" t="n">
        <v>87</v>
      </c>
      <c r="V22" t="n">
        <v>98.09999999999999</v>
      </c>
      <c r="W22" t="n">
        <v>109.8</v>
      </c>
      <c r="X22" t="n">
        <v>126.6</v>
      </c>
      <c r="Y22" t="n">
        <v>140.2</v>
      </c>
    </row>
    <row r="23">
      <c r="A23" s="6" t="n">
        <v>2014</v>
      </c>
      <c r="B23" s="7" t="n">
        <v>4.4</v>
      </c>
      <c r="C23" s="7" t="n">
        <v>7.6</v>
      </c>
      <c r="D23" s="7" t="n">
        <v>9.6</v>
      </c>
      <c r="E23" s="7" t="n">
        <v>15.6</v>
      </c>
      <c r="F23" s="7" t="n">
        <v>18</v>
      </c>
      <c r="G23" s="7" t="n">
        <v>18</v>
      </c>
      <c r="H23" s="7" t="n">
        <v>18.1</v>
      </c>
      <c r="I23" s="7" t="n">
        <v>22.8</v>
      </c>
      <c r="J23" s="7" t="n">
        <v>23</v>
      </c>
      <c r="K23" s="7" t="n">
        <v>23.1</v>
      </c>
      <c r="M23" t="n">
        <v>120</v>
      </c>
      <c r="N23" t="n">
        <v>9.699999999999999</v>
      </c>
      <c r="O23" t="n">
        <v>16.4</v>
      </c>
      <c r="P23" t="n">
        <v>21.5</v>
      </c>
      <c r="Q23" t="n">
        <v>28.9</v>
      </c>
      <c r="R23" t="n">
        <v>35.1</v>
      </c>
      <c r="S23" t="n">
        <v>42</v>
      </c>
      <c r="T23" t="n">
        <v>49.6</v>
      </c>
      <c r="U23" t="n">
        <v>61.1</v>
      </c>
      <c r="V23" t="n">
        <v>70.90000000000001</v>
      </c>
      <c r="W23" t="n">
        <v>81.8</v>
      </c>
      <c r="X23" t="n">
        <v>98.09999999999999</v>
      </c>
      <c r="Y23" t="n">
        <v>112.1</v>
      </c>
    </row>
    <row r="24">
      <c r="A24" s="6" t="n">
        <v>2015</v>
      </c>
      <c r="B24" s="7" t="n">
        <v>5.4</v>
      </c>
      <c r="C24" s="7" t="n">
        <v>7</v>
      </c>
      <c r="D24" s="7" t="n">
        <v>7.8</v>
      </c>
      <c r="E24" s="7" t="n">
        <v>11.6</v>
      </c>
      <c r="F24" s="7" t="n">
        <v>12.4</v>
      </c>
      <c r="G24" s="7" t="n">
        <v>12.9</v>
      </c>
      <c r="H24" s="7" t="n">
        <v>13.2</v>
      </c>
      <c r="I24" s="7" t="n">
        <v>15</v>
      </c>
      <c r="J24" s="7" t="n">
        <v>15.1</v>
      </c>
      <c r="K24" s="7" t="n">
        <v>15.2</v>
      </c>
      <c r="M24" t="n">
        <v>180</v>
      </c>
      <c r="N24" t="n">
        <v>6.9</v>
      </c>
      <c r="O24" t="n">
        <v>12</v>
      </c>
      <c r="P24" t="n">
        <v>16.1</v>
      </c>
      <c r="Q24" t="n">
        <v>22.4</v>
      </c>
      <c r="R24" t="n">
        <v>28</v>
      </c>
      <c r="S24" t="n">
        <v>34.4</v>
      </c>
      <c r="T24" t="n">
        <v>41.9</v>
      </c>
      <c r="U24" t="n">
        <v>53.7</v>
      </c>
      <c r="V24" t="n">
        <v>64.3</v>
      </c>
      <c r="W24" t="n">
        <v>76.7</v>
      </c>
      <c r="X24" t="n">
        <v>96.2</v>
      </c>
      <c r="Y24" t="n">
        <v>113.8</v>
      </c>
    </row>
    <row r="25">
      <c r="A25" s="6" t="n">
        <v>2016</v>
      </c>
      <c r="B25" s="7" t="n">
        <v>7</v>
      </c>
      <c r="C25" s="7" t="n">
        <v>11.6</v>
      </c>
      <c r="D25" s="7" t="n">
        <v>15.6</v>
      </c>
      <c r="E25" s="7" t="n">
        <v>25</v>
      </c>
      <c r="F25" s="7" t="n">
        <v>31.4</v>
      </c>
      <c r="G25" s="7" t="n">
        <v>32</v>
      </c>
      <c r="H25" s="7" t="n">
        <v>32</v>
      </c>
      <c r="I25" s="7" t="n">
        <v>32.1</v>
      </c>
      <c r="J25" s="7" t="n">
        <v>37.6</v>
      </c>
      <c r="K25" s="7" t="n">
        <v>51.2</v>
      </c>
      <c r="M25" t="n">
        <v>360</v>
      </c>
      <c r="N25" t="n">
        <v>3.9</v>
      </c>
      <c r="O25" t="n">
        <v>7.1</v>
      </c>
      <c r="P25" t="n">
        <v>9.9</v>
      </c>
      <c r="Q25" t="n">
        <v>14.5</v>
      </c>
      <c r="R25" t="n">
        <v>18.8</v>
      </c>
      <c r="S25" t="n">
        <v>24.2</v>
      </c>
      <c r="T25" t="n">
        <v>30.7</v>
      </c>
      <c r="U25" t="n">
        <v>41.8</v>
      </c>
      <c r="V25" t="n">
        <v>52.5</v>
      </c>
      <c r="W25" t="n">
        <v>65.7</v>
      </c>
      <c r="X25" t="n">
        <v>88</v>
      </c>
      <c r="Y25" t="n">
        <v>109.5</v>
      </c>
    </row>
    <row r="26">
      <c r="A26" s="6" t="n">
        <v>2017</v>
      </c>
      <c r="B26" s="7" t="n">
        <v>4.6</v>
      </c>
      <c r="C26" s="7" t="n">
        <v>9.199999999999999</v>
      </c>
      <c r="D26" s="7" t="n">
        <v>12.2</v>
      </c>
      <c r="E26" s="7" t="n">
        <v>15.8</v>
      </c>
      <c r="F26" s="7" t="n">
        <v>16.7</v>
      </c>
      <c r="G26" s="7" t="n">
        <v>16.8</v>
      </c>
      <c r="H26" s="7" t="n">
        <v>16.8</v>
      </c>
      <c r="I26" s="7" t="n">
        <v>16.9</v>
      </c>
      <c r="J26" s="7" t="n">
        <v>16.9</v>
      </c>
      <c r="K26" s="7" t="n">
        <v>17</v>
      </c>
      <c r="M26" t="n">
        <v>720</v>
      </c>
      <c r="N26" t="n">
        <v>2.2</v>
      </c>
      <c r="O26" t="n">
        <v>4.1</v>
      </c>
      <c r="P26" t="n">
        <v>5.8</v>
      </c>
      <c r="Q26" t="n">
        <v>8.800000000000001</v>
      </c>
      <c r="R26" t="n">
        <v>11.8</v>
      </c>
      <c r="S26" t="n">
        <v>15.5</v>
      </c>
      <c r="T26" t="n">
        <v>20.2</v>
      </c>
      <c r="U26" t="n">
        <v>28.6</v>
      </c>
      <c r="V26" t="n">
        <v>36.9</v>
      </c>
      <c r="W26" t="n">
        <v>47.6</v>
      </c>
      <c r="X26" t="n">
        <v>66.2</v>
      </c>
      <c r="Y26" t="n">
        <v>85</v>
      </c>
    </row>
    <row r="27">
      <c r="A27" s="6" t="n">
        <v>2018</v>
      </c>
      <c r="B27" s="7" t="n">
        <v>2</v>
      </c>
      <c r="C27" s="7" t="n">
        <v>3.8</v>
      </c>
      <c r="D27" s="7" t="n">
        <v>5.6</v>
      </c>
      <c r="E27" s="7" t="n">
        <v>9.4</v>
      </c>
      <c r="F27" s="7" t="n">
        <v>11.6</v>
      </c>
      <c r="G27" s="7" t="n">
        <v>13</v>
      </c>
      <c r="H27" s="7" t="n">
        <v>13.1</v>
      </c>
      <c r="I27" s="7" t="n">
        <v>14.5</v>
      </c>
      <c r="J27" s="7" t="n">
        <v>18.3</v>
      </c>
      <c r="K27" s="7" t="n">
        <v>29</v>
      </c>
      <c r="M27" t="n">
        <v>1440</v>
      </c>
      <c r="N27" t="n">
        <v>1.4</v>
      </c>
      <c r="O27" t="n">
        <v>2.5</v>
      </c>
      <c r="P27" t="n">
        <v>3.5</v>
      </c>
      <c r="Q27" t="n">
        <v>5.2</v>
      </c>
      <c r="R27" t="n">
        <v>6.8</v>
      </c>
      <c r="S27" t="n">
        <v>8.699999999999999</v>
      </c>
      <c r="T27" t="n">
        <v>11.1</v>
      </c>
      <c r="U27" t="n">
        <v>15.2</v>
      </c>
      <c r="V27" t="n">
        <v>19</v>
      </c>
      <c r="W27" t="n">
        <v>23.8</v>
      </c>
      <c r="X27" t="n">
        <v>33.1</v>
      </c>
      <c r="Y27" t="n">
        <v>42.5</v>
      </c>
    </row>
    <row r="28">
      <c r="A28" s="6" t="n">
        <v>2019</v>
      </c>
      <c r="B28" s="7" t="n">
        <v>3</v>
      </c>
      <c r="C28" s="7" t="n">
        <v>5.6</v>
      </c>
      <c r="D28" s="7" t="n">
        <v>7.6</v>
      </c>
      <c r="E28" s="7" t="n">
        <v>11</v>
      </c>
      <c r="F28" s="7" t="n">
        <v>14.2</v>
      </c>
      <c r="G28" s="7" t="n">
        <v>19.8</v>
      </c>
      <c r="H28" s="7" t="n">
        <v>22.6</v>
      </c>
      <c r="I28" s="7" t="n">
        <v>26</v>
      </c>
      <c r="J28" s="7" t="n">
        <v>26.1</v>
      </c>
      <c r="K28" s="7" t="n">
        <v>26.2</v>
      </c>
    </row>
    <row r="31">
      <c r="A31" s="2" t="inlineStr">
        <is>
          <t>AMS AFTER gap filling (mm)  -  yellow = added or changed by gap filling</t>
        </is>
      </c>
    </row>
    <row r="32">
      <c r="A32" s="4" t="inlineStr">
        <is>
          <t>Water year</t>
        </is>
      </c>
      <c r="B32" s="5" t="inlineStr">
        <is>
          <t>5min</t>
        </is>
      </c>
      <c r="C32" s="5" t="inlineStr">
        <is>
          <t>10min</t>
        </is>
      </c>
      <c r="D32" s="5" t="inlineStr">
        <is>
          <t>15min</t>
        </is>
      </c>
      <c r="E32" s="5" t="inlineStr">
        <is>
          <t>30min</t>
        </is>
      </c>
      <c r="F32" s="5" t="inlineStr">
        <is>
          <t>1h</t>
        </is>
      </c>
      <c r="G32" s="5" t="inlineStr">
        <is>
          <t>2h</t>
        </is>
      </c>
      <c r="H32" s="5" t="inlineStr">
        <is>
          <t>3h</t>
        </is>
      </c>
      <c r="I32" s="5" t="inlineStr">
        <is>
          <t>6h</t>
        </is>
      </c>
      <c r="J32" s="5" t="inlineStr">
        <is>
          <t>12h</t>
        </is>
      </c>
      <c r="K32" s="5" t="inlineStr">
        <is>
          <t>24h</t>
        </is>
      </c>
    </row>
    <row r="33">
      <c r="A33" s="6" t="n">
        <v>1995</v>
      </c>
      <c r="B33" s="7" t="n"/>
      <c r="C33" s="7" t="n"/>
      <c r="D33" s="7" t="n"/>
      <c r="E33" s="7" t="n"/>
      <c r="F33" s="7" t="n"/>
      <c r="G33" s="7" t="n"/>
      <c r="H33" s="7" t="n"/>
      <c r="I33" s="7" t="n"/>
      <c r="J33" s="7" t="n"/>
      <c r="K33" s="7" t="n">
        <v>84</v>
      </c>
    </row>
    <row r="34">
      <c r="A34" s="6" t="n">
        <v>1996</v>
      </c>
      <c r="B34" s="7" t="n"/>
      <c r="C34" s="7" t="n"/>
      <c r="D34" s="7" t="n"/>
      <c r="E34" s="7" t="n"/>
      <c r="F34" s="7" t="n"/>
      <c r="G34" s="7" t="n"/>
      <c r="H34" s="7" t="n"/>
      <c r="I34" s="7" t="n"/>
      <c r="J34" s="7" t="n"/>
      <c r="K34" s="8" t="n">
        <v>82</v>
      </c>
    </row>
    <row r="35">
      <c r="A35" s="6" t="n">
        <v>1997</v>
      </c>
      <c r="B35" s="7" t="n"/>
      <c r="C35" s="7" t="n"/>
      <c r="D35" s="7" t="n"/>
      <c r="E35" s="7" t="n"/>
      <c r="F35" s="7" t="n"/>
      <c r="G35" s="7" t="n"/>
      <c r="H35" s="7" t="n"/>
      <c r="I35" s="7" t="n"/>
      <c r="J35" s="7" t="n"/>
      <c r="K35" s="7" t="n">
        <v>82.5</v>
      </c>
    </row>
    <row r="36">
      <c r="A36" s="6" t="n">
        <v>1998</v>
      </c>
      <c r="B36" s="7" t="n">
        <v>5</v>
      </c>
      <c r="C36" s="7" t="n">
        <v>6</v>
      </c>
      <c r="D36" s="8" t="n">
        <v>7.4</v>
      </c>
      <c r="E36" s="8" t="n">
        <v>10.5</v>
      </c>
      <c r="F36" s="8" t="n">
        <v>12.1</v>
      </c>
      <c r="G36" s="7" t="n">
        <v>15.5</v>
      </c>
      <c r="H36" s="7" t="n">
        <v>19.8</v>
      </c>
      <c r="I36" s="7" t="n">
        <v>29.1</v>
      </c>
      <c r="J36" s="7" t="n">
        <v>35.5</v>
      </c>
      <c r="K36" s="7" t="n">
        <v>47.3</v>
      </c>
    </row>
    <row r="37">
      <c r="A37" s="6" t="n">
        <v>1999</v>
      </c>
      <c r="B37" s="8" t="n">
        <v>3.5</v>
      </c>
      <c r="C37" s="8" t="n">
        <v>5.2</v>
      </c>
      <c r="D37" s="8" t="n">
        <v>5.7</v>
      </c>
      <c r="E37" s="8" t="n">
        <v>6.3</v>
      </c>
      <c r="F37" s="8" t="n">
        <v>6.7</v>
      </c>
      <c r="G37" s="8" t="n">
        <v>7.5</v>
      </c>
      <c r="H37" s="8" t="n">
        <v>10.1</v>
      </c>
      <c r="I37" s="8" t="n">
        <v>12</v>
      </c>
      <c r="J37" s="8" t="n">
        <v>14.5</v>
      </c>
      <c r="K37" s="8" t="n">
        <v>18</v>
      </c>
    </row>
    <row r="38">
      <c r="A38" s="6" t="n">
        <v>2001</v>
      </c>
      <c r="B38" s="7" t="n"/>
      <c r="C38" s="7" t="n"/>
      <c r="D38" s="7" t="n"/>
      <c r="E38" s="7" t="n"/>
      <c r="F38" s="7" t="n"/>
      <c r="G38" s="8" t="n">
        <v>0.5</v>
      </c>
      <c r="H38" s="8" t="n">
        <v>0.6</v>
      </c>
      <c r="I38" s="8" t="n">
        <v>1</v>
      </c>
      <c r="J38" s="7" t="n">
        <v>1.6</v>
      </c>
      <c r="K38" s="8" t="n">
        <v>2.9</v>
      </c>
    </row>
    <row r="39">
      <c r="A39" s="6" t="n">
        <v>2002</v>
      </c>
      <c r="B39" s="7" t="n">
        <v>7.7</v>
      </c>
      <c r="C39" s="7" t="n">
        <v>12.6</v>
      </c>
      <c r="D39" s="7" t="n">
        <v>15.1</v>
      </c>
      <c r="E39" s="7" t="n">
        <v>17.4</v>
      </c>
      <c r="F39" s="7" t="n">
        <v>20.1</v>
      </c>
      <c r="G39" s="7" t="n">
        <v>20.3</v>
      </c>
      <c r="H39" s="7" t="n">
        <v>20.3</v>
      </c>
      <c r="I39" s="7" t="n">
        <v>20.4</v>
      </c>
      <c r="J39" s="7" t="n">
        <v>20.6</v>
      </c>
      <c r="K39" s="7" t="n">
        <v>20.9</v>
      </c>
    </row>
    <row r="40">
      <c r="A40" s="6" t="n">
        <v>2003</v>
      </c>
      <c r="B40" s="7" t="n">
        <v>4.8</v>
      </c>
      <c r="C40" s="7" t="n">
        <v>7.8</v>
      </c>
      <c r="D40" s="7" t="n">
        <v>10.8</v>
      </c>
      <c r="E40" s="7" t="n">
        <v>15.4</v>
      </c>
      <c r="F40" s="7" t="n">
        <v>20.6</v>
      </c>
      <c r="G40" s="7" t="n">
        <v>21.6</v>
      </c>
      <c r="H40" s="7" t="n">
        <v>21.6</v>
      </c>
      <c r="I40" s="7" t="n">
        <v>21.7</v>
      </c>
      <c r="J40" s="7" t="n">
        <v>21.8</v>
      </c>
      <c r="K40" s="7" t="n">
        <v>22</v>
      </c>
    </row>
    <row r="41">
      <c r="A41" s="6" t="n">
        <v>2004</v>
      </c>
      <c r="B41" s="7" t="n">
        <v>1.5</v>
      </c>
      <c r="C41" s="7" t="n">
        <v>2.8</v>
      </c>
      <c r="D41" s="7" t="n">
        <v>3</v>
      </c>
      <c r="E41" s="7" t="n">
        <v>3</v>
      </c>
      <c r="F41" s="7" t="n">
        <v>3</v>
      </c>
      <c r="G41" s="7" t="n">
        <v>3</v>
      </c>
      <c r="H41" s="7" t="n">
        <v>3</v>
      </c>
      <c r="I41" s="7" t="n">
        <v>3</v>
      </c>
      <c r="J41" s="7" t="n">
        <v>3.1</v>
      </c>
      <c r="K41" s="7" t="n">
        <v>3.2</v>
      </c>
    </row>
    <row r="42">
      <c r="A42" s="6" t="n">
        <v>2005</v>
      </c>
      <c r="B42" s="8" t="n">
        <v>2.6</v>
      </c>
      <c r="C42" s="8" t="n">
        <v>4.1</v>
      </c>
      <c r="D42" s="8" t="n">
        <v>4.3</v>
      </c>
      <c r="E42" s="8" t="n">
        <v>5.6</v>
      </c>
      <c r="F42" s="8" t="n">
        <v>8.199999999999999</v>
      </c>
      <c r="G42" s="8" t="n">
        <v>8.699999999999999</v>
      </c>
      <c r="H42" s="8" t="n">
        <v>10.5</v>
      </c>
      <c r="I42" s="8" t="n">
        <v>13.5</v>
      </c>
      <c r="J42" s="8" t="n">
        <v>21.8</v>
      </c>
      <c r="K42" s="8" t="n">
        <v>33.7</v>
      </c>
    </row>
    <row r="43">
      <c r="A43" s="6" t="n">
        <v>2006</v>
      </c>
      <c r="B43" s="7" t="n">
        <v>35.2</v>
      </c>
      <c r="C43" s="7" t="n">
        <v>35.6</v>
      </c>
      <c r="D43" s="7" t="n">
        <v>36.6</v>
      </c>
      <c r="E43" s="7" t="n">
        <v>36.6</v>
      </c>
      <c r="F43" s="7" t="n">
        <v>36.6</v>
      </c>
      <c r="G43" s="7" t="n">
        <v>36.7</v>
      </c>
      <c r="H43" s="7" t="n">
        <v>36.7</v>
      </c>
      <c r="I43" s="7" t="n">
        <v>36.8</v>
      </c>
      <c r="J43" s="7" t="n">
        <v>37.1</v>
      </c>
      <c r="K43" s="7" t="n">
        <v>37.6</v>
      </c>
    </row>
    <row r="44">
      <c r="A44" s="6" t="n">
        <v>2007</v>
      </c>
      <c r="B44" s="7" t="n">
        <v>20.2</v>
      </c>
      <c r="C44" s="7" t="n">
        <v>28.6</v>
      </c>
      <c r="D44" s="7" t="n">
        <v>31.4</v>
      </c>
      <c r="E44" s="7" t="n">
        <v>35.6</v>
      </c>
      <c r="F44" s="7" t="n">
        <v>44.6</v>
      </c>
      <c r="G44" s="7" t="n">
        <v>81</v>
      </c>
      <c r="H44" s="7" t="n">
        <v>118.2</v>
      </c>
      <c r="I44" s="7" t="n">
        <v>193.6</v>
      </c>
      <c r="J44" s="7" t="n">
        <v>320.2</v>
      </c>
      <c r="K44" s="7" t="n">
        <v>379.5</v>
      </c>
    </row>
    <row r="45">
      <c r="A45" s="6" t="n">
        <v>2008</v>
      </c>
      <c r="B45" s="7" t="n">
        <v>1.2</v>
      </c>
      <c r="C45" s="7" t="n">
        <v>2.2</v>
      </c>
      <c r="D45" s="7" t="n">
        <v>3</v>
      </c>
      <c r="E45" s="7" t="n">
        <v>4.4</v>
      </c>
      <c r="F45" s="7" t="n">
        <v>5.6</v>
      </c>
      <c r="G45" s="7" t="n">
        <v>5.6</v>
      </c>
      <c r="H45" s="7" t="n">
        <v>5.6</v>
      </c>
      <c r="I45" s="7" t="n">
        <v>5.7</v>
      </c>
      <c r="J45" s="7" t="n">
        <v>5.7</v>
      </c>
      <c r="K45" s="7" t="n">
        <v>6</v>
      </c>
    </row>
    <row r="46">
      <c r="A46" s="6" t="n">
        <v>2009</v>
      </c>
      <c r="B46" s="7" t="n">
        <v>2</v>
      </c>
      <c r="C46" s="7" t="n">
        <v>3.4</v>
      </c>
      <c r="D46" s="7" t="n">
        <v>4.3</v>
      </c>
      <c r="E46" s="7" t="n">
        <v>5.8</v>
      </c>
      <c r="F46" s="7" t="n">
        <v>6.6</v>
      </c>
      <c r="G46" s="7" t="n">
        <v>7.3</v>
      </c>
      <c r="H46" s="7" t="n">
        <v>8.199999999999999</v>
      </c>
      <c r="I46" s="7" t="n">
        <v>8.4</v>
      </c>
      <c r="J46" s="7" t="n">
        <v>16.1</v>
      </c>
      <c r="K46" s="7" t="n">
        <v>26.9</v>
      </c>
    </row>
    <row r="47">
      <c r="A47" s="6" t="n">
        <v>2010</v>
      </c>
      <c r="B47" s="7" t="n">
        <v>11.8</v>
      </c>
      <c r="C47" s="7" t="n">
        <v>17</v>
      </c>
      <c r="D47" s="7" t="n">
        <v>18.6</v>
      </c>
      <c r="E47" s="7" t="n">
        <v>21.8</v>
      </c>
      <c r="F47" s="7" t="n">
        <v>24.8</v>
      </c>
      <c r="G47" s="7" t="n">
        <v>40.2</v>
      </c>
      <c r="H47" s="7" t="n">
        <v>54.2</v>
      </c>
      <c r="I47" s="7" t="n">
        <v>81.40000000000001</v>
      </c>
      <c r="J47" s="7" t="n">
        <v>152.8</v>
      </c>
      <c r="K47" s="7" t="n">
        <v>252.7</v>
      </c>
    </row>
    <row r="48">
      <c r="A48" s="6" t="n">
        <v>2011</v>
      </c>
      <c r="B48" s="7" t="n">
        <v>3.4</v>
      </c>
      <c r="C48" s="7" t="n">
        <v>6.2</v>
      </c>
      <c r="D48" s="7" t="n">
        <v>8.6</v>
      </c>
      <c r="E48" s="7" t="n">
        <v>11</v>
      </c>
      <c r="F48" s="7" t="n">
        <v>11.2</v>
      </c>
      <c r="G48" s="7" t="n">
        <v>11.3</v>
      </c>
      <c r="H48" s="7" t="n">
        <v>11.5</v>
      </c>
      <c r="I48" s="7" t="n">
        <v>11.8</v>
      </c>
      <c r="J48" s="7" t="n">
        <v>11.9</v>
      </c>
      <c r="K48" s="7" t="n">
        <v>12</v>
      </c>
    </row>
    <row r="49">
      <c r="A49" s="6" t="n">
        <v>2012</v>
      </c>
      <c r="B49" s="7" t="n">
        <v>5</v>
      </c>
      <c r="C49" s="7" t="n">
        <v>9.800000000000001</v>
      </c>
      <c r="D49" s="7" t="n">
        <v>14.4</v>
      </c>
      <c r="E49" s="7" t="n">
        <v>17</v>
      </c>
      <c r="F49" s="7" t="n">
        <v>19.4</v>
      </c>
      <c r="G49" s="7" t="n">
        <v>20.5</v>
      </c>
      <c r="H49" s="7" t="n">
        <v>20.6</v>
      </c>
      <c r="I49" s="7" t="n">
        <v>20.6</v>
      </c>
      <c r="J49" s="7" t="n">
        <v>20.7</v>
      </c>
      <c r="K49" s="7" t="n">
        <v>20.8</v>
      </c>
    </row>
    <row r="50">
      <c r="A50" s="6" t="n">
        <v>2013</v>
      </c>
      <c r="B50" s="7" t="n">
        <v>7</v>
      </c>
      <c r="C50" s="7" t="n">
        <v>13.4</v>
      </c>
      <c r="D50" s="7" t="n">
        <v>16.8</v>
      </c>
      <c r="E50" s="7" t="n">
        <v>28.2</v>
      </c>
      <c r="F50" s="7" t="n">
        <v>34.2</v>
      </c>
      <c r="G50" s="7" t="n">
        <v>35.2</v>
      </c>
      <c r="H50" s="7" t="n">
        <v>35.2</v>
      </c>
      <c r="I50" s="7" t="n">
        <v>35.2</v>
      </c>
      <c r="J50" s="7" t="n">
        <v>35.3</v>
      </c>
      <c r="K50" s="7" t="n">
        <v>44.2</v>
      </c>
    </row>
    <row r="51">
      <c r="A51" s="6" t="n">
        <v>2014</v>
      </c>
      <c r="B51" s="7" t="n">
        <v>4.4</v>
      </c>
      <c r="C51" s="7" t="n">
        <v>7.6</v>
      </c>
      <c r="D51" s="7" t="n">
        <v>9.6</v>
      </c>
      <c r="E51" s="7" t="n">
        <v>15.6</v>
      </c>
      <c r="F51" s="7" t="n">
        <v>18</v>
      </c>
      <c r="G51" s="7" t="n">
        <v>18</v>
      </c>
      <c r="H51" s="7" t="n">
        <v>18.1</v>
      </c>
      <c r="I51" s="7" t="n">
        <v>22.8</v>
      </c>
      <c r="J51" s="7" t="n">
        <v>23</v>
      </c>
      <c r="K51" s="7" t="n">
        <v>23.1</v>
      </c>
    </row>
    <row r="52">
      <c r="A52" s="6" t="n">
        <v>2015</v>
      </c>
      <c r="B52" s="7" t="n">
        <v>5.4</v>
      </c>
      <c r="C52" s="7" t="n">
        <v>7</v>
      </c>
      <c r="D52" s="7" t="n">
        <v>7.8</v>
      </c>
      <c r="E52" s="7" t="n">
        <v>11.6</v>
      </c>
      <c r="F52" s="7" t="n">
        <v>12.4</v>
      </c>
      <c r="G52" s="7" t="n">
        <v>12.9</v>
      </c>
      <c r="H52" s="7" t="n">
        <v>13.2</v>
      </c>
      <c r="I52" s="7" t="n">
        <v>15</v>
      </c>
      <c r="J52" s="7" t="n">
        <v>15.1</v>
      </c>
      <c r="K52" s="7" t="n">
        <v>15.2</v>
      </c>
    </row>
    <row r="53">
      <c r="A53" s="6" t="n">
        <v>2016</v>
      </c>
      <c r="B53" s="7" t="n">
        <v>7</v>
      </c>
      <c r="C53" s="7" t="n">
        <v>11.6</v>
      </c>
      <c r="D53" s="7" t="n">
        <v>15.6</v>
      </c>
      <c r="E53" s="7" t="n">
        <v>25</v>
      </c>
      <c r="F53" s="7" t="n">
        <v>31.4</v>
      </c>
      <c r="G53" s="7" t="n">
        <v>32</v>
      </c>
      <c r="H53" s="7" t="n">
        <v>32</v>
      </c>
      <c r="I53" s="7" t="n">
        <v>32.1</v>
      </c>
      <c r="J53" s="7" t="n">
        <v>37.6</v>
      </c>
      <c r="K53" s="7" t="n">
        <v>51.2</v>
      </c>
    </row>
    <row r="54">
      <c r="A54" s="6" t="n">
        <v>2017</v>
      </c>
      <c r="B54" s="7" t="n">
        <v>4.6</v>
      </c>
      <c r="C54" s="7" t="n">
        <v>9.199999999999999</v>
      </c>
      <c r="D54" s="7" t="n">
        <v>12.2</v>
      </c>
      <c r="E54" s="7" t="n">
        <v>15.8</v>
      </c>
      <c r="F54" s="7" t="n">
        <v>16.7</v>
      </c>
      <c r="G54" s="7" t="n">
        <v>16.8</v>
      </c>
      <c r="H54" s="7" t="n">
        <v>16.8</v>
      </c>
      <c r="I54" s="7" t="n">
        <v>16.9</v>
      </c>
      <c r="J54" s="7" t="n">
        <v>16.9</v>
      </c>
      <c r="K54" s="7" t="n">
        <v>17</v>
      </c>
    </row>
    <row r="55">
      <c r="A55" s="6" t="n">
        <v>2018</v>
      </c>
      <c r="B55" s="7" t="n">
        <v>2</v>
      </c>
      <c r="C55" s="7" t="n">
        <v>3.8</v>
      </c>
      <c r="D55" s="7" t="n">
        <v>5.6</v>
      </c>
      <c r="E55" s="7" t="n">
        <v>9.4</v>
      </c>
      <c r="F55" s="7" t="n">
        <v>11.6</v>
      </c>
      <c r="G55" s="7" t="n">
        <v>13</v>
      </c>
      <c r="H55" s="7" t="n">
        <v>13.1</v>
      </c>
      <c r="I55" s="7" t="n">
        <v>14.5</v>
      </c>
      <c r="J55" s="7" t="n">
        <v>18.3</v>
      </c>
      <c r="K55" s="7" t="n">
        <v>29</v>
      </c>
    </row>
    <row r="56">
      <c r="A56" s="6" t="n">
        <v>2019</v>
      </c>
      <c r="B56" s="8" t="n">
        <v>3.1</v>
      </c>
      <c r="C56" s="7" t="n">
        <v>5.6</v>
      </c>
      <c r="D56" s="7" t="n">
        <v>7.6</v>
      </c>
      <c r="E56" s="8" t="n">
        <v>12.3</v>
      </c>
      <c r="F56" s="8" t="n">
        <v>19</v>
      </c>
      <c r="G56" s="8" t="n">
        <v>20.9</v>
      </c>
      <c r="H56" s="7" t="n">
        <v>22.6</v>
      </c>
      <c r="I56" s="8" t="n">
        <v>31.8</v>
      </c>
      <c r="J56" s="8" t="n">
        <v>36.8</v>
      </c>
      <c r="K56" s="8" t="n">
        <v>46.7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Y27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</cols>
  <sheetData>
    <row r="1">
      <c r="A1" s="1" t="inlineStr">
        <is>
          <t>Gauge 40  |  FL669998AF  |  Sarin near Habubiyah</t>
        </is>
      </c>
    </row>
    <row r="3">
      <c r="A3" s="2" t="inlineStr">
        <is>
          <t>AMS BEFORE gap filling (observed only, mm)</t>
        </is>
      </c>
      <c r="M3" s="3" t="inlineStr">
        <is>
          <t>IDF - design rainfall DEPTH (mm)</t>
        </is>
      </c>
    </row>
    <row r="4">
      <c r="A4" s="4" t="inlineStr">
        <is>
          <t>Water year</t>
        </is>
      </c>
      <c r="B4" s="5" t="inlineStr">
        <is>
          <t>5min</t>
        </is>
      </c>
      <c r="C4" s="5" t="inlineStr">
        <is>
          <t>10min</t>
        </is>
      </c>
      <c r="D4" s="5" t="inlineStr">
        <is>
          <t>15min</t>
        </is>
      </c>
      <c r="E4" s="5" t="inlineStr">
        <is>
          <t>30min</t>
        </is>
      </c>
      <c r="F4" s="5" t="inlineStr">
        <is>
          <t>1h</t>
        </is>
      </c>
      <c r="G4" s="5" t="inlineStr">
        <is>
          <t>2h</t>
        </is>
      </c>
      <c r="H4" s="5" t="inlineStr">
        <is>
          <t>3h</t>
        </is>
      </c>
      <c r="I4" s="5" t="inlineStr">
        <is>
          <t>6h</t>
        </is>
      </c>
      <c r="J4" s="5" t="inlineStr">
        <is>
          <t>12h</t>
        </is>
      </c>
      <c r="K4" s="5" t="inlineStr">
        <is>
          <t>24h</t>
        </is>
      </c>
      <c r="M4" s="4" t="inlineStr">
        <is>
          <t>Duration \ RP</t>
        </is>
      </c>
      <c r="N4" s="4" t="n">
        <v>2</v>
      </c>
      <c r="O4" s="4" t="n">
        <v>5</v>
      </c>
      <c r="P4" s="4" t="n">
        <v>10</v>
      </c>
      <c r="Q4" s="4" t="n">
        <v>25</v>
      </c>
      <c r="R4" s="4" t="n">
        <v>50</v>
      </c>
      <c r="S4" s="4" t="n">
        <v>100</v>
      </c>
      <c r="T4" s="4" t="n">
        <v>200</v>
      </c>
      <c r="U4" s="4" t="n">
        <v>500</v>
      </c>
      <c r="V4" s="4" t="n">
        <v>1000</v>
      </c>
      <c r="W4" s="4" t="n">
        <v>2000</v>
      </c>
      <c r="X4" s="4" t="n">
        <v>5000</v>
      </c>
      <c r="Y4" s="4" t="n">
        <v>10000</v>
      </c>
    </row>
    <row r="5">
      <c r="A5" s="6" t="n">
        <v>2016</v>
      </c>
      <c r="B5" s="7" t="n">
        <v>13.2</v>
      </c>
      <c r="C5" s="7" t="n">
        <v>25.6</v>
      </c>
      <c r="D5" s="7" t="n">
        <v>25.6</v>
      </c>
      <c r="E5" s="7" t="n">
        <v>29.8</v>
      </c>
      <c r="F5" s="7" t="n">
        <v>29.8</v>
      </c>
      <c r="G5" s="7" t="n">
        <v>29.8</v>
      </c>
      <c r="H5" s="7" t="n">
        <v>29.8</v>
      </c>
      <c r="I5" s="7" t="n">
        <v>29.8</v>
      </c>
      <c r="J5" s="7" t="n">
        <v>29.8</v>
      </c>
      <c r="K5" s="7" t="n">
        <v>29.8</v>
      </c>
      <c r="M5" s="6" t="inlineStr">
        <is>
          <t>5min</t>
        </is>
      </c>
      <c r="N5" s="6" t="n">
        <v>4.8</v>
      </c>
      <c r="O5" s="6" t="n">
        <v>7.6</v>
      </c>
      <c r="P5" s="6" t="n">
        <v>9.4</v>
      </c>
      <c r="Q5" s="6" t="n">
        <v>11.9</v>
      </c>
      <c r="R5" s="6" t="n">
        <v>13.8</v>
      </c>
      <c r="S5" s="6" t="n">
        <v>15.7</v>
      </c>
      <c r="T5" s="6" t="n">
        <v>17.7</v>
      </c>
      <c r="U5" s="6" t="n">
        <v>20.3</v>
      </c>
      <c r="V5" s="6" t="n">
        <v>22.4</v>
      </c>
      <c r="W5" s="6" t="n">
        <v>24.5</v>
      </c>
      <c r="X5" s="6" t="n">
        <v>27.4</v>
      </c>
      <c r="Y5" s="6" t="n">
        <v>29.6</v>
      </c>
    </row>
    <row r="6">
      <c r="A6" s="6" t="n">
        <v>2017</v>
      </c>
      <c r="B6" s="7" t="n">
        <v>10</v>
      </c>
      <c r="C6" s="7" t="n">
        <v>13.4</v>
      </c>
      <c r="D6" s="7" t="n">
        <v>17</v>
      </c>
      <c r="E6" s="7" t="n">
        <v>20.6</v>
      </c>
      <c r="F6" s="7" t="n">
        <v>26.2</v>
      </c>
      <c r="G6" s="7" t="n">
        <v>30.2</v>
      </c>
      <c r="H6" s="7" t="n">
        <v>30.2</v>
      </c>
      <c r="I6" s="7" t="n">
        <v>30.2</v>
      </c>
      <c r="J6" s="7" t="n">
        <v>30.2</v>
      </c>
      <c r="K6" s="7" t="n">
        <v>30.2</v>
      </c>
      <c r="M6" s="6" t="inlineStr">
        <is>
          <t>10min</t>
        </is>
      </c>
      <c r="N6" s="6" t="n">
        <v>7.8</v>
      </c>
      <c r="O6" s="6" t="n">
        <v>12.2</v>
      </c>
      <c r="P6" s="6" t="n">
        <v>15.3</v>
      </c>
      <c r="Q6" s="6" t="n">
        <v>19.5</v>
      </c>
      <c r="R6" s="6" t="n">
        <v>22.6</v>
      </c>
      <c r="S6" s="6" t="n">
        <v>25.9</v>
      </c>
      <c r="T6" s="6" t="n">
        <v>29.3</v>
      </c>
      <c r="U6" s="6" t="n">
        <v>33.9</v>
      </c>
      <c r="V6" s="6" t="n">
        <v>37.6</v>
      </c>
      <c r="W6" s="6" t="n">
        <v>41.4</v>
      </c>
      <c r="X6" s="6" t="n">
        <v>46.6</v>
      </c>
      <c r="Y6" s="6" t="n">
        <v>50.7</v>
      </c>
    </row>
    <row r="7">
      <c r="A7" s="6" t="n">
        <v>2018</v>
      </c>
      <c r="B7" s="7" t="n">
        <v>8.199999999999999</v>
      </c>
      <c r="C7" s="7" t="n">
        <v>12</v>
      </c>
      <c r="D7" s="7" t="n">
        <v>20</v>
      </c>
      <c r="E7" s="7" t="n">
        <v>26.6</v>
      </c>
      <c r="F7" s="7" t="n">
        <v>28.7</v>
      </c>
      <c r="G7" s="7" t="n">
        <v>29</v>
      </c>
      <c r="H7" s="7" t="n">
        <v>29</v>
      </c>
      <c r="I7" s="7" t="n">
        <v>37.1</v>
      </c>
      <c r="J7" s="7" t="n">
        <v>37.2</v>
      </c>
      <c r="K7" s="7" t="n">
        <v>66.59999999999999</v>
      </c>
      <c r="M7" s="6" t="inlineStr">
        <is>
          <t>15min</t>
        </is>
      </c>
      <c r="N7" s="6" t="n">
        <v>9.699999999999999</v>
      </c>
      <c r="O7" s="6" t="n">
        <v>15.6</v>
      </c>
      <c r="P7" s="6" t="n">
        <v>19.8</v>
      </c>
      <c r="Q7" s="6" t="n">
        <v>25.6</v>
      </c>
      <c r="R7" s="6" t="n">
        <v>30.1</v>
      </c>
      <c r="S7" s="6" t="n">
        <v>34.9</v>
      </c>
      <c r="T7" s="6" t="n">
        <v>40</v>
      </c>
      <c r="U7" s="6" t="n">
        <v>47.3</v>
      </c>
      <c r="V7" s="6" t="n">
        <v>53.1</v>
      </c>
      <c r="W7" s="6" t="n">
        <v>59.3</v>
      </c>
      <c r="X7" s="6" t="n">
        <v>68.09999999999999</v>
      </c>
      <c r="Y7" s="6" t="n">
        <v>75.2</v>
      </c>
    </row>
    <row r="8">
      <c r="A8" s="6" t="n">
        <v>2019</v>
      </c>
      <c r="B8" s="7" t="n">
        <v>18.2</v>
      </c>
      <c r="C8" s="7" t="n">
        <v>25.6</v>
      </c>
      <c r="D8" s="7" t="n">
        <v>32.6</v>
      </c>
      <c r="E8" s="7" t="n">
        <v>55.6</v>
      </c>
      <c r="F8" s="7" t="n">
        <v>83.59999999999999</v>
      </c>
      <c r="G8" s="7" t="n">
        <v>132.3</v>
      </c>
      <c r="H8" s="7" t="n">
        <v>135</v>
      </c>
      <c r="I8" s="7" t="n">
        <v>136.6</v>
      </c>
      <c r="J8" s="7" t="n">
        <v>136.6</v>
      </c>
      <c r="K8" s="7" t="n">
        <v>136.6</v>
      </c>
      <c r="M8" s="6" t="inlineStr">
        <is>
          <t>30min</t>
        </is>
      </c>
      <c r="N8" s="6" t="n">
        <v>13.4</v>
      </c>
      <c r="O8" s="6" t="n">
        <v>21.8</v>
      </c>
      <c r="P8" s="6" t="n">
        <v>27.9</v>
      </c>
      <c r="Q8" s="6" t="n">
        <v>36.2</v>
      </c>
      <c r="R8" s="6" t="n">
        <v>42.9</v>
      </c>
      <c r="S8" s="6" t="n">
        <v>49.9</v>
      </c>
      <c r="T8" s="6" t="n">
        <v>57.4</v>
      </c>
      <c r="U8" s="6" t="n">
        <v>68</v>
      </c>
      <c r="V8" s="6" t="n">
        <v>76.59999999999999</v>
      </c>
      <c r="W8" s="6" t="n">
        <v>85.7</v>
      </c>
      <c r="X8" s="6" t="n">
        <v>98.8</v>
      </c>
      <c r="Y8" s="6" t="n">
        <v>109.4</v>
      </c>
    </row>
    <row r="9">
      <c r="M9" s="6" t="inlineStr">
        <is>
          <t>1h</t>
        </is>
      </c>
      <c r="N9" s="6" t="n">
        <v>16.9</v>
      </c>
      <c r="O9" s="6" t="n">
        <v>27.8</v>
      </c>
      <c r="P9" s="6" t="n">
        <v>35.9</v>
      </c>
      <c r="Q9" s="6" t="n">
        <v>47</v>
      </c>
      <c r="R9" s="6" t="n">
        <v>56.1</v>
      </c>
      <c r="S9" s="6" t="n">
        <v>65.8</v>
      </c>
      <c r="T9" s="6" t="n">
        <v>76.2</v>
      </c>
      <c r="U9" s="6" t="n">
        <v>91.3</v>
      </c>
      <c r="V9" s="6" t="n">
        <v>103.7</v>
      </c>
      <c r="W9" s="6" t="n">
        <v>117.2</v>
      </c>
      <c r="X9" s="6" t="n">
        <v>136.6</v>
      </c>
      <c r="Y9" s="6" t="n">
        <v>152.6</v>
      </c>
    </row>
    <row r="10">
      <c r="M10" s="6" t="inlineStr">
        <is>
          <t>2h</t>
        </is>
      </c>
      <c r="N10" s="6" t="n">
        <v>19.6</v>
      </c>
      <c r="O10" s="6" t="n">
        <v>33.4</v>
      </c>
      <c r="P10" s="6" t="n">
        <v>44.2</v>
      </c>
      <c r="Q10" s="6" t="n">
        <v>60.1</v>
      </c>
      <c r="R10" s="6" t="n">
        <v>73.90000000000001</v>
      </c>
      <c r="S10" s="6" t="n">
        <v>89.3</v>
      </c>
      <c r="T10" s="6" t="n">
        <v>106.8</v>
      </c>
      <c r="U10" s="6" t="n">
        <v>133.5</v>
      </c>
      <c r="V10" s="6" t="n">
        <v>156.8</v>
      </c>
      <c r="W10" s="6" t="n">
        <v>183.3</v>
      </c>
      <c r="X10" s="6" t="n">
        <v>223.7</v>
      </c>
      <c r="Y10" s="6" t="n">
        <v>259</v>
      </c>
    </row>
    <row r="11">
      <c r="A11" s="2" t="inlineStr">
        <is>
          <t>AMS AFTER gap filling (mm)  -  yellow = added or changed by gap filling</t>
        </is>
      </c>
      <c r="M11" s="6" t="inlineStr">
        <is>
          <t>3h</t>
        </is>
      </c>
      <c r="N11" s="6" t="n">
        <v>20.9</v>
      </c>
      <c r="O11" s="6" t="n">
        <v>36.7</v>
      </c>
      <c r="P11" s="6" t="n">
        <v>49.8</v>
      </c>
      <c r="Q11" s="6" t="n">
        <v>70.40000000000001</v>
      </c>
      <c r="R11" s="6" t="n">
        <v>89</v>
      </c>
      <c r="S11" s="6" t="n">
        <v>111.1</v>
      </c>
      <c r="T11" s="6" t="n">
        <v>137.2</v>
      </c>
      <c r="U11" s="6" t="n">
        <v>179.2</v>
      </c>
      <c r="V11" s="6" t="n">
        <v>218</v>
      </c>
      <c r="W11" s="6" t="n">
        <v>264.1</v>
      </c>
      <c r="X11" s="6" t="n">
        <v>338.4</v>
      </c>
      <c r="Y11" s="6" t="n">
        <v>407</v>
      </c>
    </row>
    <row r="12">
      <c r="A12" s="4" t="inlineStr">
        <is>
          <t>Water year</t>
        </is>
      </c>
      <c r="B12" s="5" t="inlineStr">
        <is>
          <t>5min</t>
        </is>
      </c>
      <c r="C12" s="5" t="inlineStr">
        <is>
          <t>10min</t>
        </is>
      </c>
      <c r="D12" s="5" t="inlineStr">
        <is>
          <t>15min</t>
        </is>
      </c>
      <c r="E12" s="5" t="inlineStr">
        <is>
          <t>30min</t>
        </is>
      </c>
      <c r="F12" s="5" t="inlineStr">
        <is>
          <t>1h</t>
        </is>
      </c>
      <c r="G12" s="5" t="inlineStr">
        <is>
          <t>2h</t>
        </is>
      </c>
      <c r="H12" s="5" t="inlineStr">
        <is>
          <t>3h</t>
        </is>
      </c>
      <c r="I12" s="5" t="inlineStr">
        <is>
          <t>6h</t>
        </is>
      </c>
      <c r="J12" s="5" t="inlineStr">
        <is>
          <t>12h</t>
        </is>
      </c>
      <c r="K12" s="5" t="inlineStr">
        <is>
          <t>24h</t>
        </is>
      </c>
      <c r="M12" s="6" t="inlineStr">
        <is>
          <t>6h</t>
        </is>
      </c>
      <c r="N12" s="6" t="n">
        <v>23.8</v>
      </c>
      <c r="O12" s="6" t="n">
        <v>43.8</v>
      </c>
      <c r="P12" s="6" t="n">
        <v>61.9</v>
      </c>
      <c r="Q12" s="6" t="n">
        <v>92.2</v>
      </c>
      <c r="R12" s="6" t="n">
        <v>121.8</v>
      </c>
      <c r="S12" s="6" t="n">
        <v>158.8</v>
      </c>
      <c r="T12" s="6" t="n">
        <v>205.4</v>
      </c>
      <c r="U12" s="6" t="n">
        <v>286</v>
      </c>
      <c r="V12" s="6" t="n">
        <v>365.5</v>
      </c>
      <c r="W12" s="6" t="n">
        <v>465.6</v>
      </c>
      <c r="X12" s="6" t="n">
        <v>639</v>
      </c>
      <c r="Y12" s="6" t="n">
        <v>810.1</v>
      </c>
    </row>
    <row r="13">
      <c r="A13" s="6" t="n">
        <v>2016</v>
      </c>
      <c r="B13" s="7" t="n">
        <v>13.2</v>
      </c>
      <c r="C13" s="7" t="n">
        <v>25.6</v>
      </c>
      <c r="D13" s="7" t="n">
        <v>25.6</v>
      </c>
      <c r="E13" s="7" t="n">
        <v>29.8</v>
      </c>
      <c r="F13" s="7" t="n">
        <v>29.8</v>
      </c>
      <c r="G13" s="7" t="n">
        <v>29.8</v>
      </c>
      <c r="H13" s="7" t="n">
        <v>29.8</v>
      </c>
      <c r="I13" s="7" t="n">
        <v>29.8</v>
      </c>
      <c r="J13" s="7" t="n">
        <v>29.8</v>
      </c>
      <c r="K13" s="7" t="n">
        <v>29.8</v>
      </c>
      <c r="M13" s="6" t="inlineStr">
        <is>
          <t>12h</t>
        </is>
      </c>
      <c r="N13" s="6" t="n">
        <v>26.6</v>
      </c>
      <c r="O13" s="6" t="n">
        <v>50.6</v>
      </c>
      <c r="P13" s="6" t="n">
        <v>73</v>
      </c>
      <c r="Q13" s="6" t="n">
        <v>111.9</v>
      </c>
      <c r="R13" s="6" t="n">
        <v>151</v>
      </c>
      <c r="S13" s="6" t="n">
        <v>201.3</v>
      </c>
      <c r="T13" s="6" t="n">
        <v>266.2</v>
      </c>
      <c r="U13" s="6" t="n">
        <v>381.9</v>
      </c>
      <c r="V13" s="6" t="n">
        <v>499.6</v>
      </c>
      <c r="W13" s="6" t="n">
        <v>651.7</v>
      </c>
      <c r="X13" s="6" t="n">
        <v>923.2</v>
      </c>
      <c r="Y13" s="6" t="n">
        <v>1199.4</v>
      </c>
    </row>
    <row r="14">
      <c r="A14" s="6" t="n">
        <v>2017</v>
      </c>
      <c r="B14" s="7" t="n">
        <v>10</v>
      </c>
      <c r="C14" s="7" t="n">
        <v>13.4</v>
      </c>
      <c r="D14" s="7" t="n">
        <v>17</v>
      </c>
      <c r="E14" s="7" t="n">
        <v>20.6</v>
      </c>
      <c r="F14" s="7" t="n">
        <v>26.2</v>
      </c>
      <c r="G14" s="7" t="n">
        <v>30.2</v>
      </c>
      <c r="H14" s="7" t="n">
        <v>30.2</v>
      </c>
      <c r="I14" s="7" t="n">
        <v>30.2</v>
      </c>
      <c r="J14" s="7" t="n">
        <v>30.2</v>
      </c>
      <c r="K14" s="7" t="n">
        <v>30.2</v>
      </c>
      <c r="M14" s="6" t="inlineStr">
        <is>
          <t>24h</t>
        </is>
      </c>
      <c r="N14" s="6" t="n">
        <v>32.6</v>
      </c>
      <c r="O14" s="6" t="n">
        <v>62.1</v>
      </c>
      <c r="P14" s="6" t="n">
        <v>88.7</v>
      </c>
      <c r="Q14" s="6" t="n">
        <v>133.3</v>
      </c>
      <c r="R14" s="6" t="n">
        <v>176.9</v>
      </c>
      <c r="S14" s="6" t="n">
        <v>231.4</v>
      </c>
      <c r="T14" s="6" t="n">
        <v>299.9</v>
      </c>
      <c r="U14" s="6" t="n">
        <v>418.4</v>
      </c>
      <c r="V14" s="6" t="n">
        <v>535.3</v>
      </c>
      <c r="W14" s="6" t="n">
        <v>682.5</v>
      </c>
      <c r="X14" s="6" t="n">
        <v>937.2</v>
      </c>
      <c r="Y14" s="6" t="n">
        <v>1199.4</v>
      </c>
    </row>
    <row r="15">
      <c r="A15" s="6" t="n">
        <v>2018</v>
      </c>
      <c r="B15" s="7" t="n">
        <v>8.199999999999999</v>
      </c>
      <c r="C15" s="7" t="n">
        <v>12</v>
      </c>
      <c r="D15" s="7" t="n">
        <v>20</v>
      </c>
      <c r="E15" s="7" t="n">
        <v>26.6</v>
      </c>
      <c r="F15" s="7" t="n">
        <v>28.7</v>
      </c>
      <c r="G15" s="7" t="n">
        <v>29</v>
      </c>
      <c r="H15" s="7" t="n">
        <v>29</v>
      </c>
      <c r="I15" s="7" t="n">
        <v>37.1</v>
      </c>
      <c r="J15" s="7" t="n">
        <v>37.2</v>
      </c>
      <c r="K15" s="7" t="n">
        <v>66.59999999999999</v>
      </c>
    </row>
    <row r="16">
      <c r="A16" s="6" t="n">
        <v>2019</v>
      </c>
      <c r="B16" s="7" t="n">
        <v>18.2</v>
      </c>
      <c r="C16" s="7" t="n">
        <v>25.6</v>
      </c>
      <c r="D16" s="7" t="n">
        <v>32.6</v>
      </c>
      <c r="E16" s="7" t="n">
        <v>55.6</v>
      </c>
      <c r="F16" s="7" t="n">
        <v>83.59999999999999</v>
      </c>
      <c r="G16" s="7" t="n">
        <v>132.3</v>
      </c>
      <c r="H16" s="7" t="n">
        <v>135</v>
      </c>
      <c r="I16" s="7" t="n">
        <v>136.6</v>
      </c>
      <c r="J16" s="7" t="n">
        <v>136.6</v>
      </c>
      <c r="K16" s="7" t="n">
        <v>136.6</v>
      </c>
      <c r="M16" s="3" t="inlineStr">
        <is>
          <t>IDF - intensity (mm/hr) [x=duration(min)]</t>
        </is>
      </c>
    </row>
    <row r="17">
      <c r="M17" t="inlineStr">
        <is>
          <t>Duration(min)</t>
        </is>
      </c>
      <c r="N17" t="inlineStr">
        <is>
          <t>2 yr</t>
        </is>
      </c>
      <c r="O17" t="inlineStr">
        <is>
          <t>5 yr</t>
        </is>
      </c>
      <c r="P17" t="inlineStr">
        <is>
          <t>10 yr</t>
        </is>
      </c>
      <c r="Q17" t="inlineStr">
        <is>
          <t>25 yr</t>
        </is>
      </c>
      <c r="R17" t="inlineStr">
        <is>
          <t>50 yr</t>
        </is>
      </c>
      <c r="S17" t="inlineStr">
        <is>
          <t>100 yr</t>
        </is>
      </c>
      <c r="T17" t="inlineStr">
        <is>
          <t>200 yr</t>
        </is>
      </c>
      <c r="U17" t="inlineStr">
        <is>
          <t>500 yr</t>
        </is>
      </c>
      <c r="V17" t="inlineStr">
        <is>
          <t>1000 yr</t>
        </is>
      </c>
      <c r="W17" t="inlineStr">
        <is>
          <t>2000 yr</t>
        </is>
      </c>
      <c r="X17" t="inlineStr">
        <is>
          <t>5000 yr</t>
        </is>
      </c>
      <c r="Y17" t="inlineStr">
        <is>
          <t>10000 yr</t>
        </is>
      </c>
    </row>
    <row r="18">
      <c r="M18" t="n">
        <v>5</v>
      </c>
      <c r="N18" t="n">
        <v>57.7</v>
      </c>
      <c r="O18" t="n">
        <v>90.7</v>
      </c>
      <c r="P18" t="n">
        <v>113.3</v>
      </c>
      <c r="Q18" t="n">
        <v>142.8</v>
      </c>
      <c r="R18" t="n">
        <v>165.4</v>
      </c>
      <c r="S18" t="n">
        <v>188.3</v>
      </c>
      <c r="T18" t="n">
        <v>211.8</v>
      </c>
      <c r="U18" t="n">
        <v>243.7</v>
      </c>
      <c r="V18" t="n">
        <v>268.6</v>
      </c>
      <c r="W18" t="n">
        <v>294</v>
      </c>
      <c r="X18" t="n">
        <v>328.7</v>
      </c>
      <c r="Y18" t="n">
        <v>355.7</v>
      </c>
    </row>
    <row r="19">
      <c r="M19" t="n">
        <v>10</v>
      </c>
      <c r="N19" t="n">
        <v>46.5</v>
      </c>
      <c r="O19" t="n">
        <v>73.40000000000001</v>
      </c>
      <c r="P19" t="n">
        <v>92.09999999999999</v>
      </c>
      <c r="Q19" t="n">
        <v>116.7</v>
      </c>
      <c r="R19" t="n">
        <v>135.8</v>
      </c>
      <c r="S19" t="n">
        <v>155.4</v>
      </c>
      <c r="T19" t="n">
        <v>175.7</v>
      </c>
      <c r="U19" t="n">
        <v>203.6</v>
      </c>
      <c r="V19" t="n">
        <v>225.5</v>
      </c>
      <c r="W19" t="n">
        <v>248.3</v>
      </c>
      <c r="X19" t="n">
        <v>279.6</v>
      </c>
      <c r="Y19" t="n">
        <v>304.3</v>
      </c>
    </row>
    <row r="20">
      <c r="M20" t="n">
        <v>15</v>
      </c>
      <c r="N20" t="n">
        <v>38.9</v>
      </c>
      <c r="O20" t="n">
        <v>62.4</v>
      </c>
      <c r="P20" t="n">
        <v>79.3</v>
      </c>
      <c r="Q20" t="n">
        <v>102.2</v>
      </c>
      <c r="R20" t="n">
        <v>120.5</v>
      </c>
      <c r="S20" t="n">
        <v>139.8</v>
      </c>
      <c r="T20" t="n">
        <v>160.2</v>
      </c>
      <c r="U20" t="n">
        <v>189.1</v>
      </c>
      <c r="V20" t="n">
        <v>212.5</v>
      </c>
      <c r="W20" t="n">
        <v>237.3</v>
      </c>
      <c r="X20" t="n">
        <v>272.5</v>
      </c>
      <c r="Y20" t="n">
        <v>301</v>
      </c>
    </row>
    <row r="21">
      <c r="M21" t="n">
        <v>30</v>
      </c>
      <c r="N21" t="n">
        <v>26.8</v>
      </c>
      <c r="O21" t="n">
        <v>43.7</v>
      </c>
      <c r="P21" t="n">
        <v>55.9</v>
      </c>
      <c r="Q21" t="n">
        <v>72.5</v>
      </c>
      <c r="R21" t="n">
        <v>85.8</v>
      </c>
      <c r="S21" t="n">
        <v>99.8</v>
      </c>
      <c r="T21" t="n">
        <v>114.8</v>
      </c>
      <c r="U21" t="n">
        <v>135.9</v>
      </c>
      <c r="V21" t="n">
        <v>153.2</v>
      </c>
      <c r="W21" t="n">
        <v>171.5</v>
      </c>
      <c r="X21" t="n">
        <v>197.6</v>
      </c>
      <c r="Y21" t="n">
        <v>218.8</v>
      </c>
    </row>
    <row r="22">
      <c r="M22" t="n">
        <v>60</v>
      </c>
      <c r="N22" t="n">
        <v>16.9</v>
      </c>
      <c r="O22" t="n">
        <v>27.8</v>
      </c>
      <c r="P22" t="n">
        <v>35.9</v>
      </c>
      <c r="Q22" t="n">
        <v>47</v>
      </c>
      <c r="R22" t="n">
        <v>56.1</v>
      </c>
      <c r="S22" t="n">
        <v>65.8</v>
      </c>
      <c r="T22" t="n">
        <v>76.2</v>
      </c>
      <c r="U22" t="n">
        <v>91.3</v>
      </c>
      <c r="V22" t="n">
        <v>103.7</v>
      </c>
      <c r="W22" t="n">
        <v>117.2</v>
      </c>
      <c r="X22" t="n">
        <v>136.6</v>
      </c>
      <c r="Y22" t="n">
        <v>152.6</v>
      </c>
    </row>
    <row r="23">
      <c r="M23" t="n">
        <v>120</v>
      </c>
      <c r="N23" t="n">
        <v>9.800000000000001</v>
      </c>
      <c r="O23" t="n">
        <v>16.7</v>
      </c>
      <c r="P23" t="n">
        <v>22.1</v>
      </c>
      <c r="Q23" t="n">
        <v>30.1</v>
      </c>
      <c r="R23" t="n">
        <v>36.9</v>
      </c>
      <c r="S23" t="n">
        <v>44.7</v>
      </c>
      <c r="T23" t="n">
        <v>53.4</v>
      </c>
      <c r="U23" t="n">
        <v>66.8</v>
      </c>
      <c r="V23" t="n">
        <v>78.40000000000001</v>
      </c>
      <c r="W23" t="n">
        <v>91.59999999999999</v>
      </c>
      <c r="X23" t="n">
        <v>111.8</v>
      </c>
      <c r="Y23" t="n">
        <v>129.5</v>
      </c>
    </row>
    <row r="24">
      <c r="M24" t="n">
        <v>180</v>
      </c>
      <c r="N24" t="n">
        <v>7</v>
      </c>
      <c r="O24" t="n">
        <v>12.2</v>
      </c>
      <c r="P24" t="n">
        <v>16.6</v>
      </c>
      <c r="Q24" t="n">
        <v>23.5</v>
      </c>
      <c r="R24" t="n">
        <v>29.7</v>
      </c>
      <c r="S24" t="n">
        <v>37</v>
      </c>
      <c r="T24" t="n">
        <v>45.7</v>
      </c>
      <c r="U24" t="n">
        <v>59.7</v>
      </c>
      <c r="V24" t="n">
        <v>72.7</v>
      </c>
      <c r="W24" t="n">
        <v>88</v>
      </c>
      <c r="X24" t="n">
        <v>112.8</v>
      </c>
      <c r="Y24" t="n">
        <v>135.7</v>
      </c>
    </row>
    <row r="25">
      <c r="M25" t="n">
        <v>360</v>
      </c>
      <c r="N25" t="n">
        <v>4</v>
      </c>
      <c r="O25" t="n">
        <v>7.3</v>
      </c>
      <c r="P25" t="n">
        <v>10.3</v>
      </c>
      <c r="Q25" t="n">
        <v>15.4</v>
      </c>
      <c r="R25" t="n">
        <v>20.3</v>
      </c>
      <c r="S25" t="n">
        <v>26.5</v>
      </c>
      <c r="T25" t="n">
        <v>34.2</v>
      </c>
      <c r="U25" t="n">
        <v>47.7</v>
      </c>
      <c r="V25" t="n">
        <v>60.9</v>
      </c>
      <c r="W25" t="n">
        <v>77.59999999999999</v>
      </c>
      <c r="X25" t="n">
        <v>106.5</v>
      </c>
      <c r="Y25" t="n">
        <v>135</v>
      </c>
    </row>
    <row r="26">
      <c r="M26" t="n">
        <v>720</v>
      </c>
      <c r="N26" t="n">
        <v>2.2</v>
      </c>
      <c r="O26" t="n">
        <v>4.2</v>
      </c>
      <c r="P26" t="n">
        <v>6.1</v>
      </c>
      <c r="Q26" t="n">
        <v>9.300000000000001</v>
      </c>
      <c r="R26" t="n">
        <v>12.6</v>
      </c>
      <c r="S26" t="n">
        <v>16.8</v>
      </c>
      <c r="T26" t="n">
        <v>22.2</v>
      </c>
      <c r="U26" t="n">
        <v>31.8</v>
      </c>
      <c r="V26" t="n">
        <v>41.6</v>
      </c>
      <c r="W26" t="n">
        <v>54.3</v>
      </c>
      <c r="X26" t="n">
        <v>76.90000000000001</v>
      </c>
      <c r="Y26" t="n">
        <v>100</v>
      </c>
    </row>
    <row r="27">
      <c r="M27" t="n">
        <v>1440</v>
      </c>
      <c r="N27" t="n">
        <v>1.4</v>
      </c>
      <c r="O27" t="n">
        <v>2.6</v>
      </c>
      <c r="P27" t="n">
        <v>3.7</v>
      </c>
      <c r="Q27" t="n">
        <v>5.6</v>
      </c>
      <c r="R27" t="n">
        <v>7.4</v>
      </c>
      <c r="S27" t="n">
        <v>9.6</v>
      </c>
      <c r="T27" t="n">
        <v>12.5</v>
      </c>
      <c r="U27" t="n">
        <v>17.4</v>
      </c>
      <c r="V27" t="n">
        <v>22.3</v>
      </c>
      <c r="W27" t="n">
        <v>28.4</v>
      </c>
      <c r="X27" t="n">
        <v>39.1</v>
      </c>
      <c r="Y27" t="n">
        <v>50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Y60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</cols>
  <sheetData>
    <row r="1">
      <c r="A1" s="1" t="inlineStr">
        <is>
          <t>Gauge 41  |  FL771702AF  |  TABA AT TABA</t>
        </is>
      </c>
    </row>
    <row r="3">
      <c r="A3" s="2" t="inlineStr">
        <is>
          <t>AMS BEFORE gap filling (observed only, mm)</t>
        </is>
      </c>
      <c r="M3" s="3" t="inlineStr">
        <is>
          <t>IDF - design rainfall DEPTH (mm)</t>
        </is>
      </c>
    </row>
    <row r="4">
      <c r="A4" s="4" t="inlineStr">
        <is>
          <t>Water year</t>
        </is>
      </c>
      <c r="B4" s="5" t="inlineStr">
        <is>
          <t>5min</t>
        </is>
      </c>
      <c r="C4" s="5" t="inlineStr">
        <is>
          <t>10min</t>
        </is>
      </c>
      <c r="D4" s="5" t="inlineStr">
        <is>
          <t>15min</t>
        </is>
      </c>
      <c r="E4" s="5" t="inlineStr">
        <is>
          <t>30min</t>
        </is>
      </c>
      <c r="F4" s="5" t="inlineStr">
        <is>
          <t>1h</t>
        </is>
      </c>
      <c r="G4" s="5" t="inlineStr">
        <is>
          <t>2h</t>
        </is>
      </c>
      <c r="H4" s="5" t="inlineStr">
        <is>
          <t>3h</t>
        </is>
      </c>
      <c r="I4" s="5" t="inlineStr">
        <is>
          <t>6h</t>
        </is>
      </c>
      <c r="J4" s="5" t="inlineStr">
        <is>
          <t>12h</t>
        </is>
      </c>
      <c r="K4" s="5" t="inlineStr">
        <is>
          <t>24h</t>
        </is>
      </c>
      <c r="M4" s="4" t="inlineStr">
        <is>
          <t>Duration \ RP</t>
        </is>
      </c>
      <c r="N4" s="4" t="n">
        <v>2</v>
      </c>
      <c r="O4" s="4" t="n">
        <v>5</v>
      </c>
      <c r="P4" s="4" t="n">
        <v>10</v>
      </c>
      <c r="Q4" s="4" t="n">
        <v>25</v>
      </c>
      <c r="R4" s="4" t="n">
        <v>50</v>
      </c>
      <c r="S4" s="4" t="n">
        <v>100</v>
      </c>
      <c r="T4" s="4" t="n">
        <v>200</v>
      </c>
      <c r="U4" s="4" t="n">
        <v>500</v>
      </c>
      <c r="V4" s="4" t="n">
        <v>1000</v>
      </c>
      <c r="W4" s="4" t="n">
        <v>2000</v>
      </c>
      <c r="X4" s="4" t="n">
        <v>5000</v>
      </c>
      <c r="Y4" s="4" t="n">
        <v>10000</v>
      </c>
    </row>
    <row r="5">
      <c r="A5" s="6" t="n">
        <v>1995</v>
      </c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>
        <v>83</v>
      </c>
      <c r="M5" s="6" t="inlineStr">
        <is>
          <t>5min</t>
        </is>
      </c>
      <c r="N5" s="6" t="n">
        <v>4.7</v>
      </c>
      <c r="O5" s="6" t="n">
        <v>7.4</v>
      </c>
      <c r="P5" s="6" t="n">
        <v>9.300000000000001</v>
      </c>
      <c r="Q5" s="6" t="n">
        <v>11.7</v>
      </c>
      <c r="R5" s="6" t="n">
        <v>13.5</v>
      </c>
      <c r="S5" s="6" t="n">
        <v>15.4</v>
      </c>
      <c r="T5" s="6" t="n">
        <v>17.3</v>
      </c>
      <c r="U5" s="6" t="n">
        <v>19.8</v>
      </c>
      <c r="V5" s="6" t="n">
        <v>21.8</v>
      </c>
      <c r="W5" s="6" t="n">
        <v>23.8</v>
      </c>
      <c r="X5" s="6" t="n">
        <v>26.5</v>
      </c>
      <c r="Y5" s="6" t="n">
        <v>28.7</v>
      </c>
    </row>
    <row r="6">
      <c r="A6" s="6" t="n">
        <v>1996</v>
      </c>
      <c r="B6" s="7" t="n"/>
      <c r="C6" s="7" t="n"/>
      <c r="D6" s="7" t="n"/>
      <c r="E6" s="7" t="n"/>
      <c r="F6" s="7" t="n"/>
      <c r="G6" s="7" t="n"/>
      <c r="H6" s="7" t="n"/>
      <c r="I6" s="7" t="n"/>
      <c r="J6" s="7" t="n"/>
      <c r="K6" s="7" t="n">
        <v>48.5</v>
      </c>
      <c r="M6" s="6" t="inlineStr">
        <is>
          <t>10min</t>
        </is>
      </c>
      <c r="N6" s="6" t="n">
        <v>7.6</v>
      </c>
      <c r="O6" s="6" t="n">
        <v>12</v>
      </c>
      <c r="P6" s="6" t="n">
        <v>15.1</v>
      </c>
      <c r="Q6" s="6" t="n">
        <v>19.1</v>
      </c>
      <c r="R6" s="6" t="n">
        <v>22.1</v>
      </c>
      <c r="S6" s="6" t="n">
        <v>25.2</v>
      </c>
      <c r="T6" s="6" t="n">
        <v>28.4</v>
      </c>
      <c r="U6" s="6" t="n">
        <v>32.8</v>
      </c>
      <c r="V6" s="6" t="n">
        <v>36.2</v>
      </c>
      <c r="W6" s="6" t="n">
        <v>39.7</v>
      </c>
      <c r="X6" s="6" t="n">
        <v>44.4</v>
      </c>
      <c r="Y6" s="6" t="n">
        <v>48.1</v>
      </c>
    </row>
    <row r="7">
      <c r="A7" s="6" t="n">
        <v>1997</v>
      </c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>
        <v>56.2</v>
      </c>
      <c r="M7" s="6" t="inlineStr">
        <is>
          <t>15min</t>
        </is>
      </c>
      <c r="N7" s="6" t="n">
        <v>9.5</v>
      </c>
      <c r="O7" s="6" t="n">
        <v>15.3</v>
      </c>
      <c r="P7" s="6" t="n">
        <v>19.5</v>
      </c>
      <c r="Q7" s="6" t="n">
        <v>25.2</v>
      </c>
      <c r="R7" s="6" t="n">
        <v>29.6</v>
      </c>
      <c r="S7" s="6" t="n">
        <v>34.3</v>
      </c>
      <c r="T7" s="6" t="n">
        <v>39.3</v>
      </c>
      <c r="U7" s="6" t="n">
        <v>46.2</v>
      </c>
      <c r="V7" s="6" t="n">
        <v>51.8</v>
      </c>
      <c r="W7" s="6" t="n">
        <v>57.7</v>
      </c>
      <c r="X7" s="6" t="n">
        <v>66</v>
      </c>
      <c r="Y7" s="6" t="n">
        <v>72.7</v>
      </c>
    </row>
    <row r="8">
      <c r="A8" s="6" t="n">
        <v>1998</v>
      </c>
      <c r="B8" s="7" t="n"/>
      <c r="C8" s="7" t="n"/>
      <c r="D8" s="7" t="n"/>
      <c r="E8" s="7" t="n"/>
      <c r="F8" s="7" t="n"/>
      <c r="G8" s="7" t="n"/>
      <c r="H8" s="7" t="n"/>
      <c r="I8" s="7" t="n"/>
      <c r="J8" s="7" t="n"/>
      <c r="K8" s="7" t="n">
        <v>63.4</v>
      </c>
      <c r="M8" s="6" t="inlineStr">
        <is>
          <t>30min</t>
        </is>
      </c>
      <c r="N8" s="6" t="n">
        <v>13</v>
      </c>
      <c r="O8" s="6" t="n">
        <v>21.4</v>
      </c>
      <c r="P8" s="6" t="n">
        <v>27.4</v>
      </c>
      <c r="Q8" s="6" t="n">
        <v>35.4</v>
      </c>
      <c r="R8" s="6" t="n">
        <v>41.8</v>
      </c>
      <c r="S8" s="6" t="n">
        <v>48.5</v>
      </c>
      <c r="T8" s="6" t="n">
        <v>55.5</v>
      </c>
      <c r="U8" s="6" t="n">
        <v>65.3</v>
      </c>
      <c r="V8" s="6" t="n">
        <v>73.2</v>
      </c>
      <c r="W8" s="6" t="n">
        <v>81.5</v>
      </c>
      <c r="X8" s="6" t="n">
        <v>93.2</v>
      </c>
      <c r="Y8" s="6" t="n">
        <v>102.6</v>
      </c>
    </row>
    <row r="9">
      <c r="A9" s="6" t="n">
        <v>1999</v>
      </c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M9" s="6" t="inlineStr">
        <is>
          <t>1h</t>
        </is>
      </c>
      <c r="N9" s="6" t="n">
        <v>16.3</v>
      </c>
      <c r="O9" s="6" t="n">
        <v>27.2</v>
      </c>
      <c r="P9" s="6" t="n">
        <v>35</v>
      </c>
      <c r="Q9" s="6" t="n">
        <v>45.9</v>
      </c>
      <c r="R9" s="6" t="n">
        <v>54.6</v>
      </c>
      <c r="S9" s="6" t="n">
        <v>63.9</v>
      </c>
      <c r="T9" s="6" t="n">
        <v>73.8</v>
      </c>
      <c r="U9" s="6" t="n">
        <v>88</v>
      </c>
      <c r="V9" s="6" t="n">
        <v>99.5</v>
      </c>
      <c r="W9" s="6" t="n">
        <v>111.9</v>
      </c>
      <c r="X9" s="6" t="n">
        <v>129.7</v>
      </c>
      <c r="Y9" s="6" t="n">
        <v>144.2</v>
      </c>
    </row>
    <row r="10">
      <c r="A10" s="6" t="n">
        <v>2000</v>
      </c>
      <c r="B10" s="7" t="n"/>
      <c r="C10" s="7" t="n"/>
      <c r="D10" s="7" t="n"/>
      <c r="E10" s="7" t="n">
        <v>0.6</v>
      </c>
      <c r="F10" s="7" t="n">
        <v>0.6</v>
      </c>
      <c r="G10" s="7" t="n">
        <v>0.6</v>
      </c>
      <c r="H10" s="7" t="n">
        <v>0.6</v>
      </c>
      <c r="I10" s="7" t="n">
        <v>0.6</v>
      </c>
      <c r="J10" s="7" t="n">
        <v>0.7</v>
      </c>
      <c r="K10" s="7" t="n">
        <v>0.8</v>
      </c>
      <c r="M10" s="6" t="inlineStr">
        <is>
          <t>2h</t>
        </is>
      </c>
      <c r="N10" s="6" t="n">
        <v>18.8</v>
      </c>
      <c r="O10" s="6" t="n">
        <v>32.4</v>
      </c>
      <c r="P10" s="6" t="n">
        <v>42.9</v>
      </c>
      <c r="Q10" s="6" t="n">
        <v>58.2</v>
      </c>
      <c r="R10" s="6" t="n">
        <v>71.2</v>
      </c>
      <c r="S10" s="6" t="n">
        <v>85.7</v>
      </c>
      <c r="T10" s="6" t="n">
        <v>101.9</v>
      </c>
      <c r="U10" s="6" t="n">
        <v>126.4</v>
      </c>
      <c r="V10" s="6" t="n">
        <v>147.6</v>
      </c>
      <c r="W10" s="6" t="n">
        <v>171.4</v>
      </c>
      <c r="X10" s="6" t="n">
        <v>207.3</v>
      </c>
      <c r="Y10" s="6" t="n">
        <v>238.3</v>
      </c>
    </row>
    <row r="11">
      <c r="A11" s="6" t="n">
        <v>2001</v>
      </c>
      <c r="B11" s="7" t="n">
        <v>8.800000000000001</v>
      </c>
      <c r="C11" s="7" t="n">
        <v>14.6</v>
      </c>
      <c r="D11" s="7" t="n">
        <v>17.8</v>
      </c>
      <c r="E11" s="7" t="n">
        <v>25.4</v>
      </c>
      <c r="F11" s="7" t="n">
        <v>29.8</v>
      </c>
      <c r="G11" s="7" t="n">
        <v>29.8</v>
      </c>
      <c r="H11" s="7" t="n">
        <v>29.8</v>
      </c>
      <c r="I11" s="7" t="n">
        <v>29.9</v>
      </c>
      <c r="J11" s="7" t="n">
        <v>29.9</v>
      </c>
      <c r="K11" s="7" t="n">
        <v>30.1</v>
      </c>
      <c r="M11" s="6" t="inlineStr">
        <is>
          <t>3h</t>
        </is>
      </c>
      <c r="N11" s="6" t="n">
        <v>20.2</v>
      </c>
      <c r="O11" s="6" t="n">
        <v>35.7</v>
      </c>
      <c r="P11" s="6" t="n">
        <v>48.5</v>
      </c>
      <c r="Q11" s="6" t="n">
        <v>68.2</v>
      </c>
      <c r="R11" s="6" t="n">
        <v>85.90000000000001</v>
      </c>
      <c r="S11" s="6" t="n">
        <v>106.6</v>
      </c>
      <c r="T11" s="6" t="n">
        <v>130.9</v>
      </c>
      <c r="U11" s="6" t="n">
        <v>169.7</v>
      </c>
      <c r="V11" s="6" t="n">
        <v>205</v>
      </c>
      <c r="W11" s="6" t="n">
        <v>246.6</v>
      </c>
      <c r="X11" s="6" t="n">
        <v>313</v>
      </c>
      <c r="Y11" s="6" t="n">
        <v>373.5</v>
      </c>
    </row>
    <row r="12">
      <c r="A12" s="6" t="n">
        <v>2002</v>
      </c>
      <c r="B12" s="7" t="n">
        <v>5.4</v>
      </c>
      <c r="C12" s="7" t="n">
        <v>10.2</v>
      </c>
      <c r="D12" s="7" t="n">
        <v>14.8</v>
      </c>
      <c r="E12" s="7" t="n">
        <v>26.6</v>
      </c>
      <c r="F12" s="7" t="n">
        <v>37.2</v>
      </c>
      <c r="G12" s="7" t="n">
        <v>38.4</v>
      </c>
      <c r="H12" s="7" t="n">
        <v>38.7</v>
      </c>
      <c r="I12" s="7" t="n">
        <v>38.8</v>
      </c>
      <c r="J12" s="7" t="n">
        <v>38.9</v>
      </c>
      <c r="K12" s="7" t="n">
        <v>39</v>
      </c>
      <c r="M12" s="6" t="inlineStr">
        <is>
          <t>6h</t>
        </is>
      </c>
      <c r="N12" s="6" t="n">
        <v>23</v>
      </c>
      <c r="O12" s="6" t="n">
        <v>42.7</v>
      </c>
      <c r="P12" s="6" t="n">
        <v>60.5</v>
      </c>
      <c r="Q12" s="6" t="n">
        <v>90.40000000000001</v>
      </c>
      <c r="R12" s="6" t="n">
        <v>119.5</v>
      </c>
      <c r="S12" s="6" t="n">
        <v>156.1</v>
      </c>
      <c r="T12" s="6" t="n">
        <v>202</v>
      </c>
      <c r="U12" s="6" t="n">
        <v>281.5</v>
      </c>
      <c r="V12" s="6" t="n">
        <v>360</v>
      </c>
      <c r="W12" s="6" t="n">
        <v>458.8</v>
      </c>
      <c r="X12" s="6" t="n">
        <v>629.9</v>
      </c>
      <c r="Y12" s="6" t="n">
        <v>798.9</v>
      </c>
    </row>
    <row r="13">
      <c r="A13" s="6" t="n">
        <v>2003</v>
      </c>
      <c r="B13" s="7" t="n">
        <v>6.2</v>
      </c>
      <c r="C13" s="7" t="n">
        <v>11.6</v>
      </c>
      <c r="D13" s="7" t="n">
        <v>15.8</v>
      </c>
      <c r="E13" s="7" t="n">
        <v>20.8</v>
      </c>
      <c r="F13" s="7" t="n">
        <v>26.2</v>
      </c>
      <c r="G13" s="7" t="n">
        <v>26.4</v>
      </c>
      <c r="H13" s="7" t="n">
        <v>26.4</v>
      </c>
      <c r="I13" s="7" t="n">
        <v>26.4</v>
      </c>
      <c r="J13" s="7" t="n">
        <v>26.5</v>
      </c>
      <c r="K13" s="7" t="n">
        <v>26.6</v>
      </c>
      <c r="M13" s="6" t="inlineStr">
        <is>
          <t>12h</t>
        </is>
      </c>
      <c r="N13" s="6" t="n">
        <v>25.7</v>
      </c>
      <c r="O13" s="6" t="n">
        <v>49.5</v>
      </c>
      <c r="P13" s="6" t="n">
        <v>72.2</v>
      </c>
      <c r="Q13" s="6" t="n">
        <v>112.4</v>
      </c>
      <c r="R13" s="6" t="n">
        <v>153.6</v>
      </c>
      <c r="S13" s="6" t="n">
        <v>207.5</v>
      </c>
      <c r="T13" s="6" t="n">
        <v>278.2</v>
      </c>
      <c r="U13" s="6" t="n">
        <v>406.7</v>
      </c>
      <c r="V13" s="6" t="n">
        <v>539.8</v>
      </c>
      <c r="W13" s="6" t="n">
        <v>714.7</v>
      </c>
      <c r="X13" s="6" t="n">
        <v>1032.9</v>
      </c>
      <c r="Y13" s="6" t="n">
        <v>1362.7</v>
      </c>
    </row>
    <row r="14">
      <c r="A14" s="6" t="n">
        <v>2004</v>
      </c>
      <c r="B14" s="7" t="n">
        <v>2.8</v>
      </c>
      <c r="C14" s="7" t="n">
        <v>5.2</v>
      </c>
      <c r="D14" s="7" t="n">
        <v>6.4</v>
      </c>
      <c r="E14" s="7" t="n">
        <v>8.6</v>
      </c>
      <c r="F14" s="7" t="n">
        <v>9.6</v>
      </c>
      <c r="G14" s="7" t="n">
        <v>9.699999999999999</v>
      </c>
      <c r="H14" s="7" t="n">
        <v>9.800000000000001</v>
      </c>
      <c r="I14" s="7" t="n">
        <v>10</v>
      </c>
      <c r="J14" s="7" t="n">
        <v>10</v>
      </c>
      <c r="K14" s="7" t="n">
        <v>10.1</v>
      </c>
      <c r="M14" s="6" t="inlineStr">
        <is>
          <t>24h</t>
        </is>
      </c>
      <c r="N14" s="6" t="n">
        <v>31.8</v>
      </c>
      <c r="O14" s="6" t="n">
        <v>61.2</v>
      </c>
      <c r="P14" s="6" t="n">
        <v>87.90000000000001</v>
      </c>
      <c r="Q14" s="6" t="n">
        <v>133.1</v>
      </c>
      <c r="R14" s="6" t="n">
        <v>177.6</v>
      </c>
      <c r="S14" s="6" t="n">
        <v>233.7</v>
      </c>
      <c r="T14" s="6" t="n">
        <v>304.7</v>
      </c>
      <c r="U14" s="6" t="n">
        <v>428.4</v>
      </c>
      <c r="V14" s="6" t="n">
        <v>551.4</v>
      </c>
      <c r="W14" s="6" t="n">
        <v>714.7</v>
      </c>
      <c r="X14" s="6" t="n">
        <v>1032.9</v>
      </c>
      <c r="Y14" s="6" t="n">
        <v>1362.7</v>
      </c>
    </row>
    <row r="15">
      <c r="A15" s="6" t="n">
        <v>2005</v>
      </c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</row>
    <row r="16">
      <c r="A16" s="6" t="n">
        <v>2006</v>
      </c>
      <c r="B16" s="7" t="n">
        <v>2.2</v>
      </c>
      <c r="C16" s="7" t="n">
        <v>3.6</v>
      </c>
      <c r="D16" s="7" t="n">
        <v>5.2</v>
      </c>
      <c r="E16" s="7" t="n">
        <v>9</v>
      </c>
      <c r="F16" s="7" t="n">
        <v>13.8</v>
      </c>
      <c r="G16" s="7" t="n">
        <v>15.2</v>
      </c>
      <c r="H16" s="7" t="n">
        <v>15.2</v>
      </c>
      <c r="I16" s="7" t="n">
        <v>15.2</v>
      </c>
      <c r="J16" s="7" t="n">
        <v>15.3</v>
      </c>
      <c r="K16" s="7" t="n">
        <v>15.4</v>
      </c>
      <c r="M16" s="3" t="inlineStr">
        <is>
          <t>IDF - intensity (mm/hr) [x=duration(min)]</t>
        </is>
      </c>
    </row>
    <row r="17">
      <c r="A17" s="6" t="n">
        <v>2007</v>
      </c>
      <c r="B17" s="7" t="n">
        <v>13.2</v>
      </c>
      <c r="C17" s="7" t="n">
        <v>24.6</v>
      </c>
      <c r="D17" s="7" t="n">
        <v>27.4</v>
      </c>
      <c r="E17" s="7" t="n">
        <v>32.2</v>
      </c>
      <c r="F17" s="7" t="n">
        <v>56.2</v>
      </c>
      <c r="G17" s="7" t="n">
        <v>98.40000000000001</v>
      </c>
      <c r="H17" s="7" t="n">
        <v>145.8</v>
      </c>
      <c r="I17" s="7" t="n">
        <v>256.4</v>
      </c>
      <c r="J17" s="7" t="n">
        <v>420</v>
      </c>
      <c r="K17" s="7" t="n">
        <v>517.8</v>
      </c>
      <c r="M17" t="inlineStr">
        <is>
          <t>Duration(min)</t>
        </is>
      </c>
      <c r="N17" t="inlineStr">
        <is>
          <t>2 yr</t>
        </is>
      </c>
      <c r="O17" t="inlineStr">
        <is>
          <t>5 yr</t>
        </is>
      </c>
      <c r="P17" t="inlineStr">
        <is>
          <t>10 yr</t>
        </is>
      </c>
      <c r="Q17" t="inlineStr">
        <is>
          <t>25 yr</t>
        </is>
      </c>
      <c r="R17" t="inlineStr">
        <is>
          <t>50 yr</t>
        </is>
      </c>
      <c r="S17" t="inlineStr">
        <is>
          <t>100 yr</t>
        </is>
      </c>
      <c r="T17" t="inlineStr">
        <is>
          <t>200 yr</t>
        </is>
      </c>
      <c r="U17" t="inlineStr">
        <is>
          <t>500 yr</t>
        </is>
      </c>
      <c r="V17" t="inlineStr">
        <is>
          <t>1000 yr</t>
        </is>
      </c>
      <c r="W17" t="inlineStr">
        <is>
          <t>2000 yr</t>
        </is>
      </c>
      <c r="X17" t="inlineStr">
        <is>
          <t>5000 yr</t>
        </is>
      </c>
      <c r="Y17" t="inlineStr">
        <is>
          <t>10000 yr</t>
        </is>
      </c>
    </row>
    <row r="18">
      <c r="A18" s="6" t="n">
        <v>2009</v>
      </c>
      <c r="B18" s="7" t="n">
        <v>3.8</v>
      </c>
      <c r="C18" s="7" t="n">
        <v>6.2</v>
      </c>
      <c r="D18" s="7" t="n">
        <v>6.8</v>
      </c>
      <c r="E18" s="7" t="n">
        <v>7.7</v>
      </c>
      <c r="F18" s="7" t="n">
        <v>8.800000000000001</v>
      </c>
      <c r="G18" s="7" t="n">
        <v>8.9</v>
      </c>
      <c r="H18" s="7" t="n">
        <v>9.199999999999999</v>
      </c>
      <c r="I18" s="7" t="n">
        <v>10.1</v>
      </c>
      <c r="J18" s="7" t="n">
        <v>11.1</v>
      </c>
      <c r="K18" s="7" t="n">
        <v>22</v>
      </c>
      <c r="M18" t="n">
        <v>5</v>
      </c>
      <c r="N18" t="n">
        <v>56.5</v>
      </c>
      <c r="O18" t="n">
        <v>89.2</v>
      </c>
      <c r="P18" t="n">
        <v>111.4</v>
      </c>
      <c r="Q18" t="n">
        <v>140.3</v>
      </c>
      <c r="R18" t="n">
        <v>162.2</v>
      </c>
      <c r="S18" t="n">
        <v>184.5</v>
      </c>
      <c r="T18" t="n">
        <v>207.1</v>
      </c>
      <c r="U18" t="n">
        <v>237.8</v>
      </c>
      <c r="V18" t="n">
        <v>261.5</v>
      </c>
      <c r="W18" t="n">
        <v>285.7</v>
      </c>
      <c r="X18" t="n">
        <v>318.6</v>
      </c>
      <c r="Y18" t="n">
        <v>344</v>
      </c>
    </row>
    <row r="19">
      <c r="A19" s="6" t="n">
        <v>2010</v>
      </c>
      <c r="B19" s="7" t="n">
        <v>11</v>
      </c>
      <c r="C19" s="7" t="n">
        <v>21</v>
      </c>
      <c r="D19" s="7" t="n">
        <v>29.8</v>
      </c>
      <c r="E19" s="7" t="n">
        <v>38.6</v>
      </c>
      <c r="F19" s="7" t="n">
        <v>41.6</v>
      </c>
      <c r="G19" s="7" t="n">
        <v>50.4</v>
      </c>
      <c r="H19" s="7" t="n">
        <v>68</v>
      </c>
      <c r="I19" s="7" t="n">
        <v>112.8</v>
      </c>
      <c r="J19" s="7" t="n">
        <v>172.8</v>
      </c>
      <c r="K19" s="7" t="n">
        <v>227</v>
      </c>
      <c r="M19" t="n">
        <v>10</v>
      </c>
      <c r="N19" t="n">
        <v>45.7</v>
      </c>
      <c r="O19" t="n">
        <v>72.3</v>
      </c>
      <c r="P19" t="n">
        <v>90.5</v>
      </c>
      <c r="Q19" t="n">
        <v>114.4</v>
      </c>
      <c r="R19" t="n">
        <v>132.7</v>
      </c>
      <c r="S19" t="n">
        <v>151.4</v>
      </c>
      <c r="T19" t="n">
        <v>170.5</v>
      </c>
      <c r="U19" t="n">
        <v>196.6</v>
      </c>
      <c r="V19" t="n">
        <v>217</v>
      </c>
      <c r="W19" t="n">
        <v>237.9</v>
      </c>
      <c r="X19" t="n">
        <v>266.5</v>
      </c>
      <c r="Y19" t="n">
        <v>288.9</v>
      </c>
    </row>
    <row r="20">
      <c r="A20" s="6" t="n">
        <v>2011</v>
      </c>
      <c r="B20" s="7" t="n">
        <v>3.8</v>
      </c>
      <c r="C20" s="7" t="n">
        <v>6.8</v>
      </c>
      <c r="D20" s="7" t="n">
        <v>7.1</v>
      </c>
      <c r="E20" s="7" t="n">
        <v>7.2</v>
      </c>
      <c r="F20" s="7" t="n">
        <v>7.9</v>
      </c>
      <c r="G20" s="7" t="n">
        <v>8.6</v>
      </c>
      <c r="H20" s="7" t="n">
        <v>8.6</v>
      </c>
      <c r="I20" s="7" t="n">
        <v>8.6</v>
      </c>
      <c r="J20" s="7" t="n">
        <v>8.699999999999999</v>
      </c>
      <c r="K20" s="7" t="n">
        <v>8.800000000000001</v>
      </c>
      <c r="M20" t="n">
        <v>15</v>
      </c>
      <c r="N20" t="n">
        <v>37.9</v>
      </c>
      <c r="O20" t="n">
        <v>61.4</v>
      </c>
      <c r="P20" t="n">
        <v>78.09999999999999</v>
      </c>
      <c r="Q20" t="n">
        <v>100.7</v>
      </c>
      <c r="R20" t="n">
        <v>118.6</v>
      </c>
      <c r="S20" t="n">
        <v>137.4</v>
      </c>
      <c r="T20" t="n">
        <v>157.1</v>
      </c>
      <c r="U20" t="n">
        <v>184.9</v>
      </c>
      <c r="V20" t="n">
        <v>207.3</v>
      </c>
      <c r="W20" t="n">
        <v>230.9</v>
      </c>
      <c r="X20" t="n">
        <v>264.2</v>
      </c>
      <c r="Y20" t="n">
        <v>291</v>
      </c>
    </row>
    <row r="21">
      <c r="A21" s="6" t="n">
        <v>2012</v>
      </c>
      <c r="B21" s="7" t="n">
        <v>3.2</v>
      </c>
      <c r="C21" s="7" t="n">
        <v>6.4</v>
      </c>
      <c r="D21" s="7" t="n">
        <v>8.6</v>
      </c>
      <c r="E21" s="7" t="n">
        <v>10.7</v>
      </c>
      <c r="F21" s="7" t="n">
        <v>10.9</v>
      </c>
      <c r="G21" s="7" t="n">
        <v>11.1</v>
      </c>
      <c r="H21" s="7" t="n">
        <v>15.1</v>
      </c>
      <c r="I21" s="7" t="n">
        <v>15.7</v>
      </c>
      <c r="J21" s="7" t="n">
        <v>15.8</v>
      </c>
      <c r="K21" s="7" t="n">
        <v>17.3</v>
      </c>
      <c r="M21" t="n">
        <v>30</v>
      </c>
      <c r="N21" t="n">
        <v>26</v>
      </c>
      <c r="O21" t="n">
        <v>42.8</v>
      </c>
      <c r="P21" t="n">
        <v>54.8</v>
      </c>
      <c r="Q21" t="n">
        <v>70.90000000000001</v>
      </c>
      <c r="R21" t="n">
        <v>83.59999999999999</v>
      </c>
      <c r="S21" t="n">
        <v>97</v>
      </c>
      <c r="T21" t="n">
        <v>111</v>
      </c>
      <c r="U21" t="n">
        <v>130.6</v>
      </c>
      <c r="V21" t="n">
        <v>146.4</v>
      </c>
      <c r="W21" t="n">
        <v>163</v>
      </c>
      <c r="X21" t="n">
        <v>186.4</v>
      </c>
      <c r="Y21" t="n">
        <v>205.2</v>
      </c>
    </row>
    <row r="22">
      <c r="A22" s="6" t="n">
        <v>2013</v>
      </c>
      <c r="B22" s="7" t="n">
        <v>10</v>
      </c>
      <c r="C22" s="7" t="n">
        <v>14.6</v>
      </c>
      <c r="D22" s="7" t="n">
        <v>16.2</v>
      </c>
      <c r="E22" s="7" t="n">
        <v>21.2</v>
      </c>
      <c r="F22" s="7" t="n">
        <v>24.2</v>
      </c>
      <c r="G22" s="7" t="n">
        <v>25.9</v>
      </c>
      <c r="H22" s="7" t="n">
        <v>26.2</v>
      </c>
      <c r="I22" s="7" t="n">
        <v>27.8</v>
      </c>
      <c r="J22" s="7" t="n">
        <v>29.6</v>
      </c>
      <c r="K22" s="7" t="n">
        <v>34</v>
      </c>
      <c r="M22" t="n">
        <v>60</v>
      </c>
      <c r="N22" t="n">
        <v>16.3</v>
      </c>
      <c r="O22" t="n">
        <v>27.2</v>
      </c>
      <c r="P22" t="n">
        <v>35</v>
      </c>
      <c r="Q22" t="n">
        <v>45.9</v>
      </c>
      <c r="R22" t="n">
        <v>54.6</v>
      </c>
      <c r="S22" t="n">
        <v>63.9</v>
      </c>
      <c r="T22" t="n">
        <v>73.8</v>
      </c>
      <c r="U22" t="n">
        <v>88</v>
      </c>
      <c r="V22" t="n">
        <v>99.5</v>
      </c>
      <c r="W22" t="n">
        <v>111.9</v>
      </c>
      <c r="X22" t="n">
        <v>129.7</v>
      </c>
      <c r="Y22" t="n">
        <v>144.2</v>
      </c>
    </row>
    <row r="23">
      <c r="A23" s="6" t="n">
        <v>2014</v>
      </c>
      <c r="B23" s="7" t="n">
        <v>7</v>
      </c>
      <c r="C23" s="7" t="n">
        <v>10.8</v>
      </c>
      <c r="D23" s="7" t="n">
        <v>13.4</v>
      </c>
      <c r="E23" s="7" t="n">
        <v>25</v>
      </c>
      <c r="F23" s="7" t="n">
        <v>29.9</v>
      </c>
      <c r="G23" s="7" t="n">
        <v>30.1</v>
      </c>
      <c r="H23" s="7" t="n">
        <v>30.2</v>
      </c>
      <c r="I23" s="7" t="n">
        <v>32.2</v>
      </c>
      <c r="J23" s="7" t="n">
        <v>32.4</v>
      </c>
      <c r="K23" s="7" t="n">
        <v>32.5</v>
      </c>
      <c r="M23" t="n">
        <v>120</v>
      </c>
      <c r="N23" t="n">
        <v>9.4</v>
      </c>
      <c r="O23" t="n">
        <v>16.2</v>
      </c>
      <c r="P23" t="n">
        <v>21.5</v>
      </c>
      <c r="Q23" t="n">
        <v>29.1</v>
      </c>
      <c r="R23" t="n">
        <v>35.6</v>
      </c>
      <c r="S23" t="n">
        <v>42.9</v>
      </c>
      <c r="T23" t="n">
        <v>51</v>
      </c>
      <c r="U23" t="n">
        <v>63.2</v>
      </c>
      <c r="V23" t="n">
        <v>73.8</v>
      </c>
      <c r="W23" t="n">
        <v>85.7</v>
      </c>
      <c r="X23" t="n">
        <v>103.6</v>
      </c>
      <c r="Y23" t="n">
        <v>119.1</v>
      </c>
    </row>
    <row r="24">
      <c r="A24" s="6" t="n">
        <v>2015</v>
      </c>
      <c r="B24" s="7" t="n">
        <v>3.8</v>
      </c>
      <c r="C24" s="7" t="n">
        <v>7.2</v>
      </c>
      <c r="D24" s="7" t="n">
        <v>8.4</v>
      </c>
      <c r="E24" s="7" t="n">
        <v>11</v>
      </c>
      <c r="F24" s="7" t="n">
        <v>12.5</v>
      </c>
      <c r="G24" s="7" t="n">
        <v>12.6</v>
      </c>
      <c r="H24" s="7" t="n">
        <v>12.7</v>
      </c>
      <c r="I24" s="7" t="n">
        <v>21.8</v>
      </c>
      <c r="J24" s="7" t="n">
        <v>22</v>
      </c>
      <c r="K24" s="7" t="n">
        <v>22.1</v>
      </c>
      <c r="M24" t="n">
        <v>180</v>
      </c>
      <c r="N24" t="n">
        <v>6.7</v>
      </c>
      <c r="O24" t="n">
        <v>11.9</v>
      </c>
      <c r="P24" t="n">
        <v>16.2</v>
      </c>
      <c r="Q24" t="n">
        <v>22.7</v>
      </c>
      <c r="R24" t="n">
        <v>28.6</v>
      </c>
      <c r="S24" t="n">
        <v>35.5</v>
      </c>
      <c r="T24" t="n">
        <v>43.6</v>
      </c>
      <c r="U24" t="n">
        <v>56.6</v>
      </c>
      <c r="V24" t="n">
        <v>68.3</v>
      </c>
      <c r="W24" t="n">
        <v>82.2</v>
      </c>
      <c r="X24" t="n">
        <v>104.3</v>
      </c>
      <c r="Y24" t="n">
        <v>124.5</v>
      </c>
    </row>
    <row r="25">
      <c r="A25" s="6" t="n">
        <v>2016</v>
      </c>
      <c r="B25" s="7" t="n">
        <v>8.199999999999999</v>
      </c>
      <c r="C25" s="7" t="n">
        <v>14.6</v>
      </c>
      <c r="D25" s="7" t="n">
        <v>18</v>
      </c>
      <c r="E25" s="7" t="n">
        <v>28.6</v>
      </c>
      <c r="F25" s="7" t="n">
        <v>29.6</v>
      </c>
      <c r="G25" s="7" t="n">
        <v>29.6</v>
      </c>
      <c r="H25" s="7" t="n">
        <v>29.7</v>
      </c>
      <c r="I25" s="7" t="n">
        <v>29.8</v>
      </c>
      <c r="J25" s="7" t="n">
        <v>30.3</v>
      </c>
      <c r="K25" s="7" t="n">
        <v>43</v>
      </c>
      <c r="M25" t="n">
        <v>360</v>
      </c>
      <c r="N25" t="n">
        <v>3.8</v>
      </c>
      <c r="O25" t="n">
        <v>7.1</v>
      </c>
      <c r="P25" t="n">
        <v>10.1</v>
      </c>
      <c r="Q25" t="n">
        <v>15.1</v>
      </c>
      <c r="R25" t="n">
        <v>19.9</v>
      </c>
      <c r="S25" t="n">
        <v>26</v>
      </c>
      <c r="T25" t="n">
        <v>33.7</v>
      </c>
      <c r="U25" t="n">
        <v>46.9</v>
      </c>
      <c r="V25" t="n">
        <v>60</v>
      </c>
      <c r="W25" t="n">
        <v>76.5</v>
      </c>
      <c r="X25" t="n">
        <v>105</v>
      </c>
      <c r="Y25" t="n">
        <v>133.1</v>
      </c>
    </row>
    <row r="26">
      <c r="A26" s="6" t="n">
        <v>2017</v>
      </c>
      <c r="B26" s="7" t="n">
        <v>11.8</v>
      </c>
      <c r="C26" s="7" t="n">
        <v>17</v>
      </c>
      <c r="D26" s="7" t="n">
        <v>19.6</v>
      </c>
      <c r="E26" s="7" t="n">
        <v>24</v>
      </c>
      <c r="F26" s="7" t="n">
        <v>24.4</v>
      </c>
      <c r="G26" s="7" t="n">
        <v>24.4</v>
      </c>
      <c r="H26" s="7" t="n">
        <v>24.4</v>
      </c>
      <c r="I26" s="7" t="n">
        <v>24.4</v>
      </c>
      <c r="J26" s="7" t="n">
        <v>24.4</v>
      </c>
      <c r="K26" s="7" t="n">
        <v>24.4</v>
      </c>
      <c r="M26" t="n">
        <v>720</v>
      </c>
      <c r="N26" t="n">
        <v>2.1</v>
      </c>
      <c r="O26" t="n">
        <v>4.1</v>
      </c>
      <c r="P26" t="n">
        <v>6</v>
      </c>
      <c r="Q26" t="n">
        <v>9.4</v>
      </c>
      <c r="R26" t="n">
        <v>12.8</v>
      </c>
      <c r="S26" t="n">
        <v>17.3</v>
      </c>
      <c r="T26" t="n">
        <v>23.2</v>
      </c>
      <c r="U26" t="n">
        <v>33.9</v>
      </c>
      <c r="V26" t="n">
        <v>45</v>
      </c>
      <c r="W26" t="n">
        <v>59.6</v>
      </c>
      <c r="X26" t="n">
        <v>86.09999999999999</v>
      </c>
      <c r="Y26" t="n">
        <v>113.6</v>
      </c>
    </row>
    <row r="27">
      <c r="A27" s="6" t="n">
        <v>2018</v>
      </c>
      <c r="B27" s="7" t="n"/>
      <c r="C27" s="7" t="n"/>
      <c r="D27" s="7" t="n">
        <v>1.5</v>
      </c>
      <c r="E27" s="7" t="n">
        <v>3</v>
      </c>
      <c r="F27" s="7" t="n">
        <v>6</v>
      </c>
      <c r="G27" s="7" t="n">
        <v>6</v>
      </c>
      <c r="H27" s="7" t="n">
        <v>6</v>
      </c>
      <c r="I27" s="7" t="n">
        <v>6</v>
      </c>
      <c r="J27" s="7" t="n">
        <v>9</v>
      </c>
      <c r="K27" s="7" t="n">
        <v>9</v>
      </c>
      <c r="M27" t="n">
        <v>1440</v>
      </c>
      <c r="N27" t="n">
        <v>1.3</v>
      </c>
      <c r="O27" t="n">
        <v>2.5</v>
      </c>
      <c r="P27" t="n">
        <v>3.7</v>
      </c>
      <c r="Q27" t="n">
        <v>5.5</v>
      </c>
      <c r="R27" t="n">
        <v>7.4</v>
      </c>
      <c r="S27" t="n">
        <v>9.699999999999999</v>
      </c>
      <c r="T27" t="n">
        <v>12.7</v>
      </c>
      <c r="U27" t="n">
        <v>17.9</v>
      </c>
      <c r="V27" t="n">
        <v>23</v>
      </c>
      <c r="W27" t="n">
        <v>29.8</v>
      </c>
      <c r="X27" t="n">
        <v>43</v>
      </c>
      <c r="Y27" t="n">
        <v>56.8</v>
      </c>
    </row>
    <row r="28">
      <c r="A28" s="6" t="n">
        <v>2019</v>
      </c>
      <c r="B28" s="7" t="n"/>
      <c r="C28" s="7" t="n"/>
      <c r="D28" s="7" t="n">
        <v>10.5</v>
      </c>
      <c r="E28" s="7" t="n">
        <v>16</v>
      </c>
      <c r="F28" s="7" t="n">
        <v>17</v>
      </c>
      <c r="G28" s="7" t="n">
        <v>17</v>
      </c>
      <c r="H28" s="7" t="n">
        <v>17</v>
      </c>
      <c r="I28" s="7" t="n">
        <v>17</v>
      </c>
      <c r="J28" s="7" t="n">
        <v>21</v>
      </c>
      <c r="K28" s="7" t="n">
        <v>24</v>
      </c>
    </row>
    <row r="29">
      <c r="A29" s="6" t="n">
        <v>2020</v>
      </c>
      <c r="B29" s="7" t="n">
        <v>6.8</v>
      </c>
      <c r="C29" s="7" t="n">
        <v>7.2</v>
      </c>
      <c r="D29" s="7" t="n">
        <v>7.2</v>
      </c>
      <c r="E29" s="7" t="n">
        <v>7.2</v>
      </c>
      <c r="F29" s="7" t="n">
        <v>7.2</v>
      </c>
      <c r="G29" s="7" t="n">
        <v>7.3</v>
      </c>
      <c r="H29" s="7" t="n">
        <v>7.3</v>
      </c>
      <c r="I29" s="7" t="n">
        <v>7.5</v>
      </c>
      <c r="J29" s="7" t="n">
        <v>7.8</v>
      </c>
      <c r="K29" s="7" t="n">
        <v>8.4</v>
      </c>
    </row>
    <row r="30">
      <c r="A30" s="6" t="n">
        <v>2021</v>
      </c>
      <c r="B30" s="7" t="n">
        <v>7.2</v>
      </c>
      <c r="C30" s="7" t="n">
        <v>12.6</v>
      </c>
      <c r="D30" s="7" t="n">
        <v>13.8</v>
      </c>
      <c r="E30" s="7" t="n">
        <v>15.6</v>
      </c>
      <c r="F30" s="7" t="n">
        <v>20.9</v>
      </c>
      <c r="G30" s="7" t="n">
        <v>22.2</v>
      </c>
      <c r="H30" s="7" t="n">
        <v>26.3</v>
      </c>
      <c r="I30" s="7" t="n">
        <v>34.4</v>
      </c>
      <c r="J30" s="7" t="n">
        <v>46.4</v>
      </c>
      <c r="K30" s="7" t="n">
        <v>55.9</v>
      </c>
    </row>
    <row r="33">
      <c r="A33" s="2" t="inlineStr">
        <is>
          <t>AMS AFTER gap filling (mm)  -  yellow = added or changed by gap filling</t>
        </is>
      </c>
    </row>
    <row r="34">
      <c r="A34" s="4" t="inlineStr">
        <is>
          <t>Water year</t>
        </is>
      </c>
      <c r="B34" s="5" t="inlineStr">
        <is>
          <t>5min</t>
        </is>
      </c>
      <c r="C34" s="5" t="inlineStr">
        <is>
          <t>10min</t>
        </is>
      </c>
      <c r="D34" s="5" t="inlineStr">
        <is>
          <t>15min</t>
        </is>
      </c>
      <c r="E34" s="5" t="inlineStr">
        <is>
          <t>30min</t>
        </is>
      </c>
      <c r="F34" s="5" t="inlineStr">
        <is>
          <t>1h</t>
        </is>
      </c>
      <c r="G34" s="5" t="inlineStr">
        <is>
          <t>2h</t>
        </is>
      </c>
      <c r="H34" s="5" t="inlineStr">
        <is>
          <t>3h</t>
        </is>
      </c>
      <c r="I34" s="5" t="inlineStr">
        <is>
          <t>6h</t>
        </is>
      </c>
      <c r="J34" s="5" t="inlineStr">
        <is>
          <t>12h</t>
        </is>
      </c>
      <c r="K34" s="5" t="inlineStr">
        <is>
          <t>24h</t>
        </is>
      </c>
    </row>
    <row r="35">
      <c r="A35" s="6" t="n">
        <v>1995</v>
      </c>
      <c r="B35" s="7" t="n"/>
      <c r="C35" s="7" t="n"/>
      <c r="D35" s="7" t="n"/>
      <c r="E35" s="7" t="n"/>
      <c r="F35" s="7" t="n"/>
      <c r="G35" s="7" t="n"/>
      <c r="H35" s="7" t="n"/>
      <c r="I35" s="7" t="n"/>
      <c r="J35" s="7" t="n"/>
      <c r="K35" s="7" t="n">
        <v>83</v>
      </c>
    </row>
    <row r="36">
      <c r="A36" s="6" t="n">
        <v>1996</v>
      </c>
      <c r="B36" s="7" t="n"/>
      <c r="C36" s="7" t="n"/>
      <c r="D36" s="7" t="n"/>
      <c r="E36" s="7" t="n"/>
      <c r="F36" s="7" t="n"/>
      <c r="G36" s="7" t="n"/>
      <c r="H36" s="7" t="n"/>
      <c r="I36" s="7" t="n"/>
      <c r="J36" s="7" t="n"/>
      <c r="K36" s="8" t="n">
        <v>110.7</v>
      </c>
    </row>
    <row r="37">
      <c r="A37" s="6" t="n">
        <v>1997</v>
      </c>
      <c r="B37" s="7" t="n"/>
      <c r="C37" s="7" t="n"/>
      <c r="D37" s="7" t="n"/>
      <c r="E37" s="7" t="n"/>
      <c r="F37" s="7" t="n"/>
      <c r="G37" s="7" t="n"/>
      <c r="H37" s="7" t="n"/>
      <c r="I37" s="7" t="n"/>
      <c r="J37" s="7" t="n"/>
      <c r="K37" s="8" t="n">
        <v>81.40000000000001</v>
      </c>
    </row>
    <row r="38">
      <c r="A38" s="6" t="n">
        <v>1998</v>
      </c>
      <c r="B38" s="7" t="n"/>
      <c r="C38" s="7" t="n"/>
      <c r="D38" s="7" t="n"/>
      <c r="E38" s="7" t="n"/>
      <c r="F38" s="7" t="n"/>
      <c r="G38" s="7" t="n"/>
      <c r="H38" s="7" t="n"/>
      <c r="I38" s="7" t="n"/>
      <c r="J38" s="7" t="n"/>
      <c r="K38" s="7" t="n">
        <v>63.4</v>
      </c>
    </row>
    <row r="39">
      <c r="A39" s="6" t="n">
        <v>1999</v>
      </c>
      <c r="B39" s="8" t="n">
        <v>2.5</v>
      </c>
      <c r="C39" s="8" t="n">
        <v>4.6</v>
      </c>
      <c r="D39" s="8" t="n">
        <v>6.4</v>
      </c>
      <c r="E39" s="8" t="n">
        <v>8.4</v>
      </c>
      <c r="F39" s="8" t="n">
        <v>9.5</v>
      </c>
      <c r="G39" s="8" t="n">
        <v>11.2</v>
      </c>
      <c r="H39" s="8" t="n">
        <v>14</v>
      </c>
      <c r="I39" s="8" t="n">
        <v>16.1</v>
      </c>
      <c r="J39" s="8" t="n">
        <v>16.2</v>
      </c>
      <c r="K39" s="8" t="n">
        <v>25</v>
      </c>
    </row>
    <row r="40">
      <c r="A40" s="6" t="n">
        <v>2000</v>
      </c>
      <c r="B40" s="7" t="n"/>
      <c r="C40" s="7" t="n"/>
      <c r="D40" s="7" t="n"/>
      <c r="E40" s="7" t="n">
        <v>0.6</v>
      </c>
      <c r="F40" s="7" t="n">
        <v>0.6</v>
      </c>
      <c r="G40" s="7" t="n">
        <v>0.6</v>
      </c>
      <c r="H40" s="7" t="n">
        <v>0.6</v>
      </c>
      <c r="I40" s="7" t="n">
        <v>0.6</v>
      </c>
      <c r="J40" s="7" t="n">
        <v>0.7</v>
      </c>
      <c r="K40" s="7" t="n">
        <v>0.8</v>
      </c>
    </row>
    <row r="41">
      <c r="A41" s="6" t="n">
        <v>2001</v>
      </c>
      <c r="B41" s="7" t="n">
        <v>8.800000000000001</v>
      </c>
      <c r="C41" s="7" t="n">
        <v>14.6</v>
      </c>
      <c r="D41" s="7" t="n">
        <v>17.8</v>
      </c>
      <c r="E41" s="7" t="n">
        <v>25.4</v>
      </c>
      <c r="F41" s="7" t="n">
        <v>29.8</v>
      </c>
      <c r="G41" s="7" t="n">
        <v>29.8</v>
      </c>
      <c r="H41" s="7" t="n">
        <v>29.8</v>
      </c>
      <c r="I41" s="7" t="n">
        <v>29.9</v>
      </c>
      <c r="J41" s="7" t="n">
        <v>29.9</v>
      </c>
      <c r="K41" s="7" t="n">
        <v>30.1</v>
      </c>
    </row>
    <row r="42">
      <c r="A42" s="6" t="n">
        <v>2002</v>
      </c>
      <c r="B42" s="7" t="n">
        <v>5.4</v>
      </c>
      <c r="C42" s="7" t="n">
        <v>10.2</v>
      </c>
      <c r="D42" s="7" t="n">
        <v>14.8</v>
      </c>
      <c r="E42" s="7" t="n">
        <v>26.6</v>
      </c>
      <c r="F42" s="7" t="n">
        <v>37.2</v>
      </c>
      <c r="G42" s="7" t="n">
        <v>38.4</v>
      </c>
      <c r="H42" s="7" t="n">
        <v>38.7</v>
      </c>
      <c r="I42" s="7" t="n">
        <v>38.8</v>
      </c>
      <c r="J42" s="7" t="n">
        <v>38.9</v>
      </c>
      <c r="K42" s="7" t="n">
        <v>39</v>
      </c>
    </row>
    <row r="43">
      <c r="A43" s="6" t="n">
        <v>2003</v>
      </c>
      <c r="B43" s="7" t="n">
        <v>6.2</v>
      </c>
      <c r="C43" s="7" t="n">
        <v>11.6</v>
      </c>
      <c r="D43" s="7" t="n">
        <v>15.8</v>
      </c>
      <c r="E43" s="7" t="n">
        <v>20.8</v>
      </c>
      <c r="F43" s="7" t="n">
        <v>26.2</v>
      </c>
      <c r="G43" s="7" t="n">
        <v>26.4</v>
      </c>
      <c r="H43" s="7" t="n">
        <v>26.4</v>
      </c>
      <c r="I43" s="7" t="n">
        <v>26.4</v>
      </c>
      <c r="J43" s="7" t="n">
        <v>26.5</v>
      </c>
      <c r="K43" s="7" t="n">
        <v>26.6</v>
      </c>
    </row>
    <row r="44">
      <c r="A44" s="6" t="n">
        <v>2004</v>
      </c>
      <c r="B44" s="7" t="n">
        <v>2.8</v>
      </c>
      <c r="C44" s="7" t="n">
        <v>5.2</v>
      </c>
      <c r="D44" s="7" t="n">
        <v>6.4</v>
      </c>
      <c r="E44" s="7" t="n">
        <v>8.6</v>
      </c>
      <c r="F44" s="7" t="n">
        <v>9.6</v>
      </c>
      <c r="G44" s="7" t="n">
        <v>9.699999999999999</v>
      </c>
      <c r="H44" s="7" t="n">
        <v>9.800000000000001</v>
      </c>
      <c r="I44" s="7" t="n">
        <v>10</v>
      </c>
      <c r="J44" s="7" t="n">
        <v>10</v>
      </c>
      <c r="K44" s="7" t="n">
        <v>10.1</v>
      </c>
    </row>
    <row r="45">
      <c r="A45" s="6" t="n">
        <v>2005</v>
      </c>
      <c r="B45" s="8" t="n">
        <v>1.9</v>
      </c>
      <c r="C45" s="8" t="n">
        <v>2.9</v>
      </c>
      <c r="D45" s="8" t="n">
        <v>3.8</v>
      </c>
      <c r="E45" s="8" t="n">
        <v>5.1</v>
      </c>
      <c r="F45" s="8" t="n">
        <v>6.6</v>
      </c>
      <c r="G45" s="8" t="n">
        <v>7.3</v>
      </c>
      <c r="H45" s="8" t="n">
        <v>7.9</v>
      </c>
      <c r="I45" s="8" t="n">
        <v>10.8</v>
      </c>
      <c r="J45" s="8" t="n">
        <v>15.6</v>
      </c>
      <c r="K45" s="8" t="n">
        <v>28.2</v>
      </c>
    </row>
    <row r="46">
      <c r="A46" s="6" t="n">
        <v>2006</v>
      </c>
      <c r="B46" s="8" t="n">
        <v>2.5</v>
      </c>
      <c r="C46" s="8" t="n">
        <v>5</v>
      </c>
      <c r="D46" s="8" t="n">
        <v>6</v>
      </c>
      <c r="E46" s="7" t="n">
        <v>9</v>
      </c>
      <c r="F46" s="7" t="n">
        <v>13.8</v>
      </c>
      <c r="G46" s="7" t="n">
        <v>15.2</v>
      </c>
      <c r="H46" s="7" t="n">
        <v>15.2</v>
      </c>
      <c r="I46" s="7" t="n">
        <v>15.2</v>
      </c>
      <c r="J46" s="7" t="n">
        <v>15.3</v>
      </c>
      <c r="K46" s="7" t="n">
        <v>15.4</v>
      </c>
    </row>
    <row r="47">
      <c r="A47" s="6" t="n">
        <v>2007</v>
      </c>
      <c r="B47" s="7" t="n">
        <v>13.2</v>
      </c>
      <c r="C47" s="7" t="n">
        <v>24.6</v>
      </c>
      <c r="D47" s="7" t="n">
        <v>27.4</v>
      </c>
      <c r="E47" s="7" t="n">
        <v>32.2</v>
      </c>
      <c r="F47" s="7" t="n">
        <v>56.2</v>
      </c>
      <c r="G47" s="7" t="n">
        <v>98.40000000000001</v>
      </c>
      <c r="H47" s="7" t="n">
        <v>145.8</v>
      </c>
      <c r="I47" s="7" t="n">
        <v>256.4</v>
      </c>
      <c r="J47" s="7" t="n">
        <v>420</v>
      </c>
      <c r="K47" s="7" t="n">
        <v>517.8</v>
      </c>
    </row>
    <row r="48">
      <c r="A48" s="6" t="n">
        <v>2009</v>
      </c>
      <c r="B48" s="7" t="n">
        <v>3.8</v>
      </c>
      <c r="C48" s="7" t="n">
        <v>6.2</v>
      </c>
      <c r="D48" s="7" t="n">
        <v>6.8</v>
      </c>
      <c r="E48" s="7" t="n">
        <v>7.7</v>
      </c>
      <c r="F48" s="7" t="n">
        <v>8.800000000000001</v>
      </c>
      <c r="G48" s="7" t="n">
        <v>8.9</v>
      </c>
      <c r="H48" s="7" t="n">
        <v>9.199999999999999</v>
      </c>
      <c r="I48" s="7" t="n">
        <v>10.1</v>
      </c>
      <c r="J48" s="7" t="n">
        <v>11.1</v>
      </c>
      <c r="K48" s="7" t="n">
        <v>22</v>
      </c>
    </row>
    <row r="49">
      <c r="A49" s="6" t="n">
        <v>2010</v>
      </c>
      <c r="B49" s="7" t="n">
        <v>11</v>
      </c>
      <c r="C49" s="7" t="n">
        <v>21</v>
      </c>
      <c r="D49" s="7" t="n">
        <v>29.8</v>
      </c>
      <c r="E49" s="7" t="n">
        <v>38.6</v>
      </c>
      <c r="F49" s="7" t="n">
        <v>41.6</v>
      </c>
      <c r="G49" s="7" t="n">
        <v>50.4</v>
      </c>
      <c r="H49" s="7" t="n">
        <v>68</v>
      </c>
      <c r="I49" s="7" t="n">
        <v>112.8</v>
      </c>
      <c r="J49" s="7" t="n">
        <v>172.8</v>
      </c>
      <c r="K49" s="7" t="n">
        <v>227</v>
      </c>
    </row>
    <row r="50">
      <c r="A50" s="6" t="n">
        <v>2011</v>
      </c>
      <c r="B50" s="7" t="n">
        <v>3.8</v>
      </c>
      <c r="C50" s="7" t="n">
        <v>6.8</v>
      </c>
      <c r="D50" s="7" t="n">
        <v>7.1</v>
      </c>
      <c r="E50" s="7" t="n">
        <v>7.2</v>
      </c>
      <c r="F50" s="7" t="n">
        <v>7.9</v>
      </c>
      <c r="G50" s="7" t="n">
        <v>8.6</v>
      </c>
      <c r="H50" s="7" t="n">
        <v>8.6</v>
      </c>
      <c r="I50" s="7" t="n">
        <v>8.6</v>
      </c>
      <c r="J50" s="7" t="n">
        <v>8.699999999999999</v>
      </c>
      <c r="K50" s="7" t="n">
        <v>8.800000000000001</v>
      </c>
    </row>
    <row r="51">
      <c r="A51" s="6" t="n">
        <v>2012</v>
      </c>
      <c r="B51" s="7" t="n">
        <v>3.2</v>
      </c>
      <c r="C51" s="7" t="n">
        <v>6.4</v>
      </c>
      <c r="D51" s="7" t="n">
        <v>8.6</v>
      </c>
      <c r="E51" s="7" t="n">
        <v>10.7</v>
      </c>
      <c r="F51" s="7" t="n">
        <v>10.9</v>
      </c>
      <c r="G51" s="7" t="n">
        <v>11.1</v>
      </c>
      <c r="H51" s="7" t="n">
        <v>15.1</v>
      </c>
      <c r="I51" s="7" t="n">
        <v>15.7</v>
      </c>
      <c r="J51" s="7" t="n">
        <v>15.8</v>
      </c>
      <c r="K51" s="7" t="n">
        <v>17.3</v>
      </c>
    </row>
    <row r="52">
      <c r="A52" s="6" t="n">
        <v>2013</v>
      </c>
      <c r="B52" s="7" t="n">
        <v>10</v>
      </c>
      <c r="C52" s="7" t="n">
        <v>14.6</v>
      </c>
      <c r="D52" s="7" t="n">
        <v>16.2</v>
      </c>
      <c r="E52" s="7" t="n">
        <v>21.2</v>
      </c>
      <c r="F52" s="7" t="n">
        <v>24.2</v>
      </c>
      <c r="G52" s="7" t="n">
        <v>25.9</v>
      </c>
      <c r="H52" s="7" t="n">
        <v>26.2</v>
      </c>
      <c r="I52" s="7" t="n">
        <v>27.8</v>
      </c>
      <c r="J52" s="7" t="n">
        <v>29.6</v>
      </c>
      <c r="K52" s="7" t="n">
        <v>34</v>
      </c>
    </row>
    <row r="53">
      <c r="A53" s="6" t="n">
        <v>2014</v>
      </c>
      <c r="B53" s="7" t="n">
        <v>7</v>
      </c>
      <c r="C53" s="7" t="n">
        <v>10.8</v>
      </c>
      <c r="D53" s="7" t="n">
        <v>13.4</v>
      </c>
      <c r="E53" s="7" t="n">
        <v>25</v>
      </c>
      <c r="F53" s="7" t="n">
        <v>29.9</v>
      </c>
      <c r="G53" s="7" t="n">
        <v>30.1</v>
      </c>
      <c r="H53" s="7" t="n">
        <v>30.2</v>
      </c>
      <c r="I53" s="7" t="n">
        <v>32.2</v>
      </c>
      <c r="J53" s="7" t="n">
        <v>32.4</v>
      </c>
      <c r="K53" s="7" t="n">
        <v>32.5</v>
      </c>
    </row>
    <row r="54">
      <c r="A54" s="6" t="n">
        <v>2015</v>
      </c>
      <c r="B54" s="7" t="n">
        <v>3.8</v>
      </c>
      <c r="C54" s="7" t="n">
        <v>7.2</v>
      </c>
      <c r="D54" s="7" t="n">
        <v>8.4</v>
      </c>
      <c r="E54" s="7" t="n">
        <v>11</v>
      </c>
      <c r="F54" s="7" t="n">
        <v>12.5</v>
      </c>
      <c r="G54" s="7" t="n">
        <v>12.6</v>
      </c>
      <c r="H54" s="7" t="n">
        <v>12.7</v>
      </c>
      <c r="I54" s="7" t="n">
        <v>21.8</v>
      </c>
      <c r="J54" s="7" t="n">
        <v>22</v>
      </c>
      <c r="K54" s="7" t="n">
        <v>22.1</v>
      </c>
    </row>
    <row r="55">
      <c r="A55" s="6" t="n">
        <v>2016</v>
      </c>
      <c r="B55" s="7" t="n">
        <v>8.199999999999999</v>
      </c>
      <c r="C55" s="7" t="n">
        <v>14.6</v>
      </c>
      <c r="D55" s="7" t="n">
        <v>18</v>
      </c>
      <c r="E55" s="7" t="n">
        <v>28.6</v>
      </c>
      <c r="F55" s="7" t="n">
        <v>29.6</v>
      </c>
      <c r="G55" s="7" t="n">
        <v>29.6</v>
      </c>
      <c r="H55" s="7" t="n">
        <v>29.7</v>
      </c>
      <c r="I55" s="7" t="n">
        <v>29.8</v>
      </c>
      <c r="J55" s="7" t="n">
        <v>30.3</v>
      </c>
      <c r="K55" s="7" t="n">
        <v>43</v>
      </c>
    </row>
    <row r="56">
      <c r="A56" s="6" t="n">
        <v>2017</v>
      </c>
      <c r="B56" s="7" t="n">
        <v>11.8</v>
      </c>
      <c r="C56" s="7" t="n">
        <v>17</v>
      </c>
      <c r="D56" s="7" t="n">
        <v>19.6</v>
      </c>
      <c r="E56" s="7" t="n">
        <v>24</v>
      </c>
      <c r="F56" s="7" t="n">
        <v>24.4</v>
      </c>
      <c r="G56" s="7" t="n">
        <v>24.4</v>
      </c>
      <c r="H56" s="7" t="n">
        <v>24.4</v>
      </c>
      <c r="I56" s="7" t="n">
        <v>24.4</v>
      </c>
      <c r="J56" s="7" t="n">
        <v>24.4</v>
      </c>
      <c r="K56" s="7" t="n">
        <v>24.4</v>
      </c>
    </row>
    <row r="57">
      <c r="A57" s="6" t="n">
        <v>2018</v>
      </c>
      <c r="B57" s="7" t="n"/>
      <c r="C57" s="7" t="n"/>
      <c r="D57" s="7" t="n">
        <v>1.5</v>
      </c>
      <c r="E57" s="7" t="n">
        <v>3</v>
      </c>
      <c r="F57" s="7" t="n">
        <v>6</v>
      </c>
      <c r="G57" s="7" t="n">
        <v>6</v>
      </c>
      <c r="H57" s="7" t="n">
        <v>6</v>
      </c>
      <c r="I57" s="7" t="n">
        <v>6</v>
      </c>
      <c r="J57" s="7" t="n">
        <v>9</v>
      </c>
      <c r="K57" s="7" t="n">
        <v>9</v>
      </c>
    </row>
    <row r="58">
      <c r="A58" s="6" t="n">
        <v>2019</v>
      </c>
      <c r="B58" s="7" t="n"/>
      <c r="C58" s="7" t="n"/>
      <c r="D58" s="7" t="n">
        <v>10.5</v>
      </c>
      <c r="E58" s="7" t="n">
        <v>16</v>
      </c>
      <c r="F58" s="7" t="n">
        <v>17</v>
      </c>
      <c r="G58" s="7" t="n">
        <v>17</v>
      </c>
      <c r="H58" s="7" t="n">
        <v>17</v>
      </c>
      <c r="I58" s="7" t="n">
        <v>17</v>
      </c>
      <c r="J58" s="7" t="n">
        <v>21</v>
      </c>
      <c r="K58" s="7" t="n">
        <v>24</v>
      </c>
    </row>
    <row r="59">
      <c r="A59" s="6" t="n">
        <v>2020</v>
      </c>
      <c r="B59" s="7" t="n">
        <v>6.8</v>
      </c>
      <c r="C59" s="7" t="n">
        <v>7.2</v>
      </c>
      <c r="D59" s="7" t="n">
        <v>7.2</v>
      </c>
      <c r="E59" s="7" t="n">
        <v>7.2</v>
      </c>
      <c r="F59" s="8" t="n">
        <v>10</v>
      </c>
      <c r="G59" s="8" t="n">
        <v>15.6</v>
      </c>
      <c r="H59" s="8" t="n">
        <v>19.2</v>
      </c>
      <c r="I59" s="8" t="n">
        <v>28.3</v>
      </c>
      <c r="J59" s="8" t="n">
        <v>28.3</v>
      </c>
      <c r="K59" s="8" t="n">
        <v>36.2</v>
      </c>
    </row>
    <row r="60">
      <c r="A60" s="6" t="n">
        <v>2021</v>
      </c>
      <c r="B60" s="7" t="n">
        <v>7.2</v>
      </c>
      <c r="C60" s="7" t="n">
        <v>12.6</v>
      </c>
      <c r="D60" s="7" t="n">
        <v>13.8</v>
      </c>
      <c r="E60" s="7" t="n">
        <v>15.6</v>
      </c>
      <c r="F60" s="7" t="n">
        <v>20.9</v>
      </c>
      <c r="G60" s="7" t="n">
        <v>22.2</v>
      </c>
      <c r="H60" s="7" t="n">
        <v>26.3</v>
      </c>
      <c r="I60" s="7" t="n">
        <v>34.4</v>
      </c>
      <c r="J60" s="7" t="n">
        <v>46.4</v>
      </c>
      <c r="K60" s="7" t="n">
        <v>55.9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Y70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</cols>
  <sheetData>
    <row r="1">
      <c r="A1" s="1" t="inlineStr">
        <is>
          <t>Gauge 42  |  FL974085AF  |  Qurayat at Qurayat</t>
        </is>
      </c>
    </row>
    <row r="3">
      <c r="A3" s="2" t="inlineStr">
        <is>
          <t>AMS BEFORE gap filling (observed only, mm)</t>
        </is>
      </c>
      <c r="M3" s="3" t="inlineStr">
        <is>
          <t>IDF - design rainfall DEPTH (mm)</t>
        </is>
      </c>
    </row>
    <row r="4">
      <c r="A4" s="4" t="inlineStr">
        <is>
          <t>Water year</t>
        </is>
      </c>
      <c r="B4" s="5" t="inlineStr">
        <is>
          <t>5min</t>
        </is>
      </c>
      <c r="C4" s="5" t="inlineStr">
        <is>
          <t>10min</t>
        </is>
      </c>
      <c r="D4" s="5" t="inlineStr">
        <is>
          <t>15min</t>
        </is>
      </c>
      <c r="E4" s="5" t="inlineStr">
        <is>
          <t>30min</t>
        </is>
      </c>
      <c r="F4" s="5" t="inlineStr">
        <is>
          <t>1h</t>
        </is>
      </c>
      <c r="G4" s="5" t="inlineStr">
        <is>
          <t>2h</t>
        </is>
      </c>
      <c r="H4" s="5" t="inlineStr">
        <is>
          <t>3h</t>
        </is>
      </c>
      <c r="I4" s="5" t="inlineStr">
        <is>
          <t>6h</t>
        </is>
      </c>
      <c r="J4" s="5" t="inlineStr">
        <is>
          <t>12h</t>
        </is>
      </c>
      <c r="K4" s="5" t="inlineStr">
        <is>
          <t>24h</t>
        </is>
      </c>
      <c r="M4" s="4" t="inlineStr">
        <is>
          <t>Duration \ RP</t>
        </is>
      </c>
      <c r="N4" s="4" t="n">
        <v>2</v>
      </c>
      <c r="O4" s="4" t="n">
        <v>5</v>
      </c>
      <c r="P4" s="4" t="n">
        <v>10</v>
      </c>
      <c r="Q4" s="4" t="n">
        <v>25</v>
      </c>
      <c r="R4" s="4" t="n">
        <v>50</v>
      </c>
      <c r="S4" s="4" t="n">
        <v>100</v>
      </c>
      <c r="T4" s="4" t="n">
        <v>200</v>
      </c>
      <c r="U4" s="4" t="n">
        <v>500</v>
      </c>
      <c r="V4" s="4" t="n">
        <v>1000</v>
      </c>
      <c r="W4" s="4" t="n">
        <v>2000</v>
      </c>
      <c r="X4" s="4" t="n">
        <v>5000</v>
      </c>
      <c r="Y4" s="4" t="n">
        <v>10000</v>
      </c>
    </row>
    <row r="5">
      <c r="A5" s="6" t="n">
        <v>1987</v>
      </c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>
        <v>70</v>
      </c>
      <c r="M5" s="6" t="inlineStr">
        <is>
          <t>5min</t>
        </is>
      </c>
      <c r="N5" s="6" t="n">
        <v>5</v>
      </c>
      <c r="O5" s="6" t="n">
        <v>7.9</v>
      </c>
      <c r="P5" s="6" t="n">
        <v>9.800000000000001</v>
      </c>
      <c r="Q5" s="6" t="n">
        <v>12.3</v>
      </c>
      <c r="R5" s="6" t="n">
        <v>14.1</v>
      </c>
      <c r="S5" s="6" t="n">
        <v>16</v>
      </c>
      <c r="T5" s="6" t="n">
        <v>17.9</v>
      </c>
      <c r="U5" s="6" t="n">
        <v>20.3</v>
      </c>
      <c r="V5" s="6" t="n">
        <v>22.2</v>
      </c>
      <c r="W5" s="6" t="n">
        <v>24.1</v>
      </c>
      <c r="X5" s="6" t="n">
        <v>26.7</v>
      </c>
      <c r="Y5" s="6" t="n">
        <v>28.6</v>
      </c>
    </row>
    <row r="6">
      <c r="A6" s="6" t="n">
        <v>1988</v>
      </c>
      <c r="B6" s="7" t="n"/>
      <c r="C6" s="7" t="n"/>
      <c r="D6" s="7" t="n"/>
      <c r="E6" s="7" t="n"/>
      <c r="F6" s="7" t="n"/>
      <c r="G6" s="7" t="n"/>
      <c r="H6" s="7" t="n"/>
      <c r="I6" s="7" t="n"/>
      <c r="J6" s="7" t="n"/>
      <c r="K6" s="7" t="n">
        <v>57</v>
      </c>
      <c r="M6" s="6" t="inlineStr">
        <is>
          <t>10min</t>
        </is>
      </c>
      <c r="N6" s="6" t="n">
        <v>8.199999999999999</v>
      </c>
      <c r="O6" s="6" t="n">
        <v>13</v>
      </c>
      <c r="P6" s="6" t="n">
        <v>16.1</v>
      </c>
      <c r="Q6" s="6" t="n">
        <v>20</v>
      </c>
      <c r="R6" s="6" t="n">
        <v>23</v>
      </c>
      <c r="S6" s="6" t="n">
        <v>25.9</v>
      </c>
      <c r="T6" s="6" t="n">
        <v>28.8</v>
      </c>
      <c r="U6" s="6" t="n">
        <v>32.7</v>
      </c>
      <c r="V6" s="6" t="n">
        <v>35.6</v>
      </c>
      <c r="W6" s="6" t="n">
        <v>38.5</v>
      </c>
      <c r="X6" s="6" t="n">
        <v>42.4</v>
      </c>
      <c r="Y6" s="6" t="n">
        <v>45.4</v>
      </c>
    </row>
    <row r="7">
      <c r="A7" s="6" t="n">
        <v>1990</v>
      </c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>
        <v>30</v>
      </c>
      <c r="M7" s="6" t="inlineStr">
        <is>
          <t>15min</t>
        </is>
      </c>
      <c r="N7" s="6" t="n">
        <v>10.2</v>
      </c>
      <c r="O7" s="6" t="n">
        <v>16.4</v>
      </c>
      <c r="P7" s="6" t="n">
        <v>20.6</v>
      </c>
      <c r="Q7" s="6" t="n">
        <v>26.1</v>
      </c>
      <c r="R7" s="6" t="n">
        <v>30.3</v>
      </c>
      <c r="S7" s="6" t="n">
        <v>34.6</v>
      </c>
      <c r="T7" s="6" t="n">
        <v>39</v>
      </c>
      <c r="U7" s="6" t="n">
        <v>45</v>
      </c>
      <c r="V7" s="6" t="n">
        <v>49.6</v>
      </c>
      <c r="W7" s="6" t="n">
        <v>54.3</v>
      </c>
      <c r="X7" s="6" t="n">
        <v>60.8</v>
      </c>
      <c r="Y7" s="6" t="n">
        <v>65.8</v>
      </c>
    </row>
    <row r="8">
      <c r="A8" s="6" t="n">
        <v>1991</v>
      </c>
      <c r="B8" s="7" t="n"/>
      <c r="C8" s="7" t="n"/>
      <c r="D8" s="7" t="n"/>
      <c r="E8" s="7" t="n"/>
      <c r="F8" s="7" t="n"/>
      <c r="G8" s="7" t="n"/>
      <c r="H8" s="7" t="n"/>
      <c r="I8" s="7" t="n"/>
      <c r="J8" s="7" t="n"/>
      <c r="K8" s="7" t="n">
        <v>26</v>
      </c>
      <c r="M8" s="6" t="inlineStr">
        <is>
          <t>30min</t>
        </is>
      </c>
      <c r="N8" s="6" t="n">
        <v>13.9</v>
      </c>
      <c r="O8" s="6" t="n">
        <v>22.9</v>
      </c>
      <c r="P8" s="6" t="n">
        <v>29.2</v>
      </c>
      <c r="Q8" s="6" t="n">
        <v>37.6</v>
      </c>
      <c r="R8" s="6" t="n">
        <v>44.1</v>
      </c>
      <c r="S8" s="6" t="n">
        <v>50.8</v>
      </c>
      <c r="T8" s="6" t="n">
        <v>57.8</v>
      </c>
      <c r="U8" s="6" t="n">
        <v>67.40000000000001</v>
      </c>
      <c r="V8" s="6" t="n">
        <v>75</v>
      </c>
      <c r="W8" s="6" t="n">
        <v>83</v>
      </c>
      <c r="X8" s="6" t="n">
        <v>93.90000000000001</v>
      </c>
      <c r="Y8" s="6" t="n">
        <v>102.6</v>
      </c>
    </row>
    <row r="9">
      <c r="A9" s="6" t="n">
        <v>1992</v>
      </c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>
        <v>20</v>
      </c>
      <c r="M9" s="6" t="inlineStr">
        <is>
          <t>1h</t>
        </is>
      </c>
      <c r="N9" s="6" t="n">
        <v>17.3</v>
      </c>
      <c r="O9" s="6" t="n">
        <v>29</v>
      </c>
      <c r="P9" s="6" t="n">
        <v>37.6</v>
      </c>
      <c r="Q9" s="6" t="n">
        <v>49.5</v>
      </c>
      <c r="R9" s="6" t="n">
        <v>59.1</v>
      </c>
      <c r="S9" s="6" t="n">
        <v>69.5</v>
      </c>
      <c r="T9" s="6" t="n">
        <v>80.5</v>
      </c>
      <c r="U9" s="6" t="n">
        <v>96.5</v>
      </c>
      <c r="V9" s="6" t="n">
        <v>109.6</v>
      </c>
      <c r="W9" s="6" t="n">
        <v>123.8</v>
      </c>
      <c r="X9" s="6" t="n">
        <v>144.2</v>
      </c>
      <c r="Y9" s="6" t="n">
        <v>161</v>
      </c>
    </row>
    <row r="10">
      <c r="A10" s="6" t="n">
        <v>1993</v>
      </c>
      <c r="B10" s="7" t="n"/>
      <c r="C10" s="7" t="n"/>
      <c r="D10" s="7" t="n"/>
      <c r="E10" s="7" t="n"/>
      <c r="F10" s="7" t="n"/>
      <c r="G10" s="7" t="n"/>
      <c r="H10" s="7" t="n"/>
      <c r="I10" s="7" t="n"/>
      <c r="J10" s="7" t="n"/>
      <c r="K10" s="7" t="n">
        <v>26</v>
      </c>
      <c r="M10" s="6" t="inlineStr">
        <is>
          <t>2h</t>
        </is>
      </c>
      <c r="N10" s="6" t="n">
        <v>19.4</v>
      </c>
      <c r="O10" s="6" t="n">
        <v>34.5</v>
      </c>
      <c r="P10" s="6" t="n">
        <v>47</v>
      </c>
      <c r="Q10" s="6" t="n">
        <v>66.2</v>
      </c>
      <c r="R10" s="6" t="n">
        <v>83.40000000000001</v>
      </c>
      <c r="S10" s="6" t="n">
        <v>103.6</v>
      </c>
      <c r="T10" s="6" t="n">
        <v>127.2</v>
      </c>
      <c r="U10" s="6" t="n">
        <v>164.9</v>
      </c>
      <c r="V10" s="6" t="n">
        <v>199.3</v>
      </c>
      <c r="W10" s="6" t="n">
        <v>239.7</v>
      </c>
      <c r="X10" s="6" t="n">
        <v>304.2</v>
      </c>
      <c r="Y10" s="6" t="n">
        <v>363</v>
      </c>
    </row>
    <row r="11">
      <c r="A11" s="6" t="n">
        <v>1994</v>
      </c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>
        <v>30</v>
      </c>
      <c r="M11" s="6" t="inlineStr">
        <is>
          <t>3h</t>
        </is>
      </c>
      <c r="N11" s="6" t="n">
        <v>20.6</v>
      </c>
      <c r="O11" s="6" t="n">
        <v>37.9</v>
      </c>
      <c r="P11" s="6" t="n">
        <v>53.2</v>
      </c>
      <c r="Q11" s="6" t="n">
        <v>78.59999999999999</v>
      </c>
      <c r="R11" s="6" t="n">
        <v>103</v>
      </c>
      <c r="S11" s="6" t="n">
        <v>133.1</v>
      </c>
      <c r="T11" s="6" t="n">
        <v>170.5</v>
      </c>
      <c r="U11" s="6" t="n">
        <v>234.3</v>
      </c>
      <c r="V11" s="6" t="n">
        <v>296.3</v>
      </c>
      <c r="W11" s="6" t="n">
        <v>373.4</v>
      </c>
      <c r="X11" s="6" t="n">
        <v>504.9</v>
      </c>
      <c r="Y11" s="6" t="n">
        <v>632.9</v>
      </c>
    </row>
    <row r="12">
      <c r="A12" s="6" t="n">
        <v>1995</v>
      </c>
      <c r="B12" s="7" t="n"/>
      <c r="C12" s="7" t="n"/>
      <c r="D12" s="7" t="n"/>
      <c r="E12" s="7" t="n"/>
      <c r="F12" s="7" t="n"/>
      <c r="G12" s="7" t="n"/>
      <c r="H12" s="7" t="n"/>
      <c r="I12" s="7" t="n"/>
      <c r="J12" s="7" t="n"/>
      <c r="K12" s="7" t="n">
        <v>94</v>
      </c>
      <c r="M12" s="6" t="inlineStr">
        <is>
          <t>6h</t>
        </is>
      </c>
      <c r="N12" s="6" t="n">
        <v>23.1</v>
      </c>
      <c r="O12" s="6" t="n">
        <v>45.6</v>
      </c>
      <c r="P12" s="6" t="n">
        <v>68.3</v>
      </c>
      <c r="Q12" s="6" t="n">
        <v>110.3</v>
      </c>
      <c r="R12" s="6" t="n">
        <v>155.4</v>
      </c>
      <c r="S12" s="6" t="n">
        <v>216.7</v>
      </c>
      <c r="T12" s="6" t="n">
        <v>300.2</v>
      </c>
      <c r="U12" s="6" t="n">
        <v>459.1</v>
      </c>
      <c r="V12" s="6" t="n">
        <v>631</v>
      </c>
      <c r="W12" s="6" t="n">
        <v>865.8</v>
      </c>
      <c r="X12" s="6" t="n">
        <v>1312.7</v>
      </c>
      <c r="Y12" s="6" t="n">
        <v>1796.6</v>
      </c>
    </row>
    <row r="13">
      <c r="A13" s="6" t="n">
        <v>1996</v>
      </c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>
        <v>55</v>
      </c>
      <c r="M13" s="6" t="inlineStr">
        <is>
          <t>12h</t>
        </is>
      </c>
      <c r="N13" s="6" t="n">
        <v>25</v>
      </c>
      <c r="O13" s="6" t="n">
        <v>52.3</v>
      </c>
      <c r="P13" s="6" t="n">
        <v>82.2</v>
      </c>
      <c r="Q13" s="6" t="n">
        <v>142.4</v>
      </c>
      <c r="R13" s="6" t="n">
        <v>211.9</v>
      </c>
      <c r="S13" s="6" t="n">
        <v>312.9</v>
      </c>
      <c r="T13" s="6" t="n">
        <v>459.8</v>
      </c>
      <c r="U13" s="6" t="n">
        <v>761.4</v>
      </c>
      <c r="V13" s="6" t="n">
        <v>1113</v>
      </c>
      <c r="W13" s="6" t="n">
        <v>1625.3</v>
      </c>
      <c r="X13" s="6" t="n">
        <v>2678.2</v>
      </c>
      <c r="Y13" s="6" t="n">
        <v>3905.9</v>
      </c>
    </row>
    <row r="14">
      <c r="A14" s="6" t="n">
        <v>1997</v>
      </c>
      <c r="B14" s="7" t="n"/>
      <c r="C14" s="7" t="n"/>
      <c r="D14" s="7" t="n"/>
      <c r="E14" s="7" t="n"/>
      <c r="F14" s="7" t="n"/>
      <c r="G14" s="7" t="n"/>
      <c r="H14" s="7" t="n"/>
      <c r="I14" s="7" t="n"/>
      <c r="J14" s="7" t="n"/>
      <c r="K14" s="7" t="n">
        <v>49</v>
      </c>
      <c r="M14" s="6" t="inlineStr">
        <is>
          <t>24h</t>
        </is>
      </c>
      <c r="N14" s="6" t="n">
        <v>31.4</v>
      </c>
      <c r="O14" s="6" t="n">
        <v>65.8</v>
      </c>
      <c r="P14" s="6" t="n">
        <v>101.8</v>
      </c>
      <c r="Q14" s="6" t="n">
        <v>171.5</v>
      </c>
      <c r="R14" s="6" t="n">
        <v>248.9</v>
      </c>
      <c r="S14" s="6" t="n">
        <v>357.7</v>
      </c>
      <c r="T14" s="6" t="n">
        <v>510.7</v>
      </c>
      <c r="U14" s="6" t="n">
        <v>812.9</v>
      </c>
      <c r="V14" s="6" t="n">
        <v>1152.2</v>
      </c>
      <c r="W14" s="6" t="n">
        <v>1630.4</v>
      </c>
      <c r="X14" s="6" t="n">
        <v>2678.2</v>
      </c>
      <c r="Y14" s="6" t="n">
        <v>3905.9</v>
      </c>
    </row>
    <row r="15">
      <c r="A15" s="6" t="n">
        <v>1998</v>
      </c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>
        <v>55</v>
      </c>
    </row>
    <row r="16">
      <c r="A16" s="6" t="n">
        <v>1999</v>
      </c>
      <c r="B16" s="7" t="n"/>
      <c r="C16" s="7" t="n"/>
      <c r="D16" s="7" t="n"/>
      <c r="E16" s="7" t="n"/>
      <c r="F16" s="7" t="n"/>
      <c r="G16" s="7" t="n"/>
      <c r="H16" s="7" t="n"/>
      <c r="I16" s="7" t="n"/>
      <c r="J16" s="7" t="n"/>
      <c r="K16" s="7" t="n">
        <v>30</v>
      </c>
      <c r="M16" s="3" t="inlineStr">
        <is>
          <t>IDF - intensity (mm/hr) [x=duration(min)]</t>
        </is>
      </c>
    </row>
    <row r="17">
      <c r="A17" s="6" t="n">
        <v>2001</v>
      </c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>
        <v>15</v>
      </c>
      <c r="M17" t="inlineStr">
        <is>
          <t>Duration(min)</t>
        </is>
      </c>
      <c r="N17" t="inlineStr">
        <is>
          <t>2 yr</t>
        </is>
      </c>
      <c r="O17" t="inlineStr">
        <is>
          <t>5 yr</t>
        </is>
      </c>
      <c r="P17" t="inlineStr">
        <is>
          <t>10 yr</t>
        </is>
      </c>
      <c r="Q17" t="inlineStr">
        <is>
          <t>25 yr</t>
        </is>
      </c>
      <c r="R17" t="inlineStr">
        <is>
          <t>50 yr</t>
        </is>
      </c>
      <c r="S17" t="inlineStr">
        <is>
          <t>100 yr</t>
        </is>
      </c>
      <c r="T17" t="inlineStr">
        <is>
          <t>200 yr</t>
        </is>
      </c>
      <c r="U17" t="inlineStr">
        <is>
          <t>500 yr</t>
        </is>
      </c>
      <c r="V17" t="inlineStr">
        <is>
          <t>1000 yr</t>
        </is>
      </c>
      <c r="W17" t="inlineStr">
        <is>
          <t>2000 yr</t>
        </is>
      </c>
      <c r="X17" t="inlineStr">
        <is>
          <t>5000 yr</t>
        </is>
      </c>
      <c r="Y17" t="inlineStr">
        <is>
          <t>10000 yr</t>
        </is>
      </c>
    </row>
    <row r="18">
      <c r="A18" s="6" t="n">
        <v>2002</v>
      </c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  <c r="K18" s="7" t="n"/>
      <c r="M18" t="n">
        <v>5</v>
      </c>
      <c r="N18" t="n">
        <v>59.9</v>
      </c>
      <c r="O18" t="n">
        <v>94.59999999999999</v>
      </c>
      <c r="P18" t="n">
        <v>117.9</v>
      </c>
      <c r="Q18" t="n">
        <v>147.5</v>
      </c>
      <c r="R18" t="n">
        <v>169.7</v>
      </c>
      <c r="S18" t="n">
        <v>191.9</v>
      </c>
      <c r="T18" t="n">
        <v>214.2</v>
      </c>
      <c r="U18" t="n">
        <v>243.9</v>
      </c>
      <c r="V18" t="n">
        <v>266.6</v>
      </c>
      <c r="W18" t="n">
        <v>289.5</v>
      </c>
      <c r="X18" t="n">
        <v>319.9</v>
      </c>
      <c r="Y18" t="n">
        <v>343.2</v>
      </c>
    </row>
    <row r="19">
      <c r="A19" s="6" t="n">
        <v>2003</v>
      </c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>
        <v>22</v>
      </c>
      <c r="M19" t="n">
        <v>10</v>
      </c>
      <c r="N19" t="n">
        <v>49.4</v>
      </c>
      <c r="O19" t="n">
        <v>77.7</v>
      </c>
      <c r="P19" t="n">
        <v>96.5</v>
      </c>
      <c r="Q19" t="n">
        <v>120.3</v>
      </c>
      <c r="R19" t="n">
        <v>137.9</v>
      </c>
      <c r="S19" t="n">
        <v>155.5</v>
      </c>
      <c r="T19" t="n">
        <v>173</v>
      </c>
      <c r="U19" t="n">
        <v>196.2</v>
      </c>
      <c r="V19" t="n">
        <v>213.7</v>
      </c>
      <c r="W19" t="n">
        <v>231.3</v>
      </c>
      <c r="X19" t="n">
        <v>254.5</v>
      </c>
      <c r="Y19" t="n">
        <v>272.1</v>
      </c>
    </row>
    <row r="20">
      <c r="A20" s="6" t="n">
        <v>2004</v>
      </c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>
        <v>8</v>
      </c>
      <c r="M20" t="n">
        <v>15</v>
      </c>
      <c r="N20" t="n">
        <v>40.8</v>
      </c>
      <c r="O20" t="n">
        <v>65.5</v>
      </c>
      <c r="P20" t="n">
        <v>82.5</v>
      </c>
      <c r="Q20" t="n">
        <v>104.5</v>
      </c>
      <c r="R20" t="n">
        <v>121.4</v>
      </c>
      <c r="S20" t="n">
        <v>138.5</v>
      </c>
      <c r="T20" t="n">
        <v>156.1</v>
      </c>
      <c r="U20" t="n">
        <v>179.9</v>
      </c>
      <c r="V20" t="n">
        <v>198.4</v>
      </c>
      <c r="W20" t="n">
        <v>217.4</v>
      </c>
      <c r="X20" t="n">
        <v>243.2</v>
      </c>
      <c r="Y20" t="n">
        <v>263.3</v>
      </c>
    </row>
    <row r="21">
      <c r="A21" s="6" t="n">
        <v>2005</v>
      </c>
      <c r="B21" s="7" t="n">
        <v>5.4</v>
      </c>
      <c r="C21" s="7" t="n">
        <v>9.199999999999999</v>
      </c>
      <c r="D21" s="7" t="n">
        <v>12.2</v>
      </c>
      <c r="E21" s="7" t="n">
        <v>16.5</v>
      </c>
      <c r="F21" s="7" t="n">
        <v>21.2</v>
      </c>
      <c r="G21" s="7" t="n">
        <v>23.6</v>
      </c>
      <c r="H21" s="7" t="n">
        <v>23.9</v>
      </c>
      <c r="I21" s="7" t="n">
        <v>24.2</v>
      </c>
      <c r="J21" s="7" t="n">
        <v>26.4</v>
      </c>
      <c r="K21" s="7" t="n">
        <v>39.7</v>
      </c>
      <c r="M21" t="n">
        <v>30</v>
      </c>
      <c r="N21" t="n">
        <v>27.9</v>
      </c>
      <c r="O21" t="n">
        <v>45.9</v>
      </c>
      <c r="P21" t="n">
        <v>58.5</v>
      </c>
      <c r="Q21" t="n">
        <v>75.2</v>
      </c>
      <c r="R21" t="n">
        <v>88.2</v>
      </c>
      <c r="S21" t="n">
        <v>101.6</v>
      </c>
      <c r="T21" t="n">
        <v>115.6</v>
      </c>
      <c r="U21" t="n">
        <v>134.8</v>
      </c>
      <c r="V21" t="n">
        <v>150.1</v>
      </c>
      <c r="W21" t="n">
        <v>165.9</v>
      </c>
      <c r="X21" t="n">
        <v>187.9</v>
      </c>
      <c r="Y21" t="n">
        <v>205.2</v>
      </c>
    </row>
    <row r="22">
      <c r="A22" s="6" t="n">
        <v>2006</v>
      </c>
      <c r="B22" s="7" t="n">
        <v>0.8</v>
      </c>
      <c r="C22" s="7" t="n">
        <v>1</v>
      </c>
      <c r="D22" s="7" t="n">
        <v>1.3</v>
      </c>
      <c r="E22" s="7" t="n">
        <v>1.8</v>
      </c>
      <c r="F22" s="7" t="n">
        <v>2.8</v>
      </c>
      <c r="G22" s="7" t="n">
        <v>3.6</v>
      </c>
      <c r="H22" s="7" t="n">
        <v>5</v>
      </c>
      <c r="I22" s="7" t="n">
        <v>6.2</v>
      </c>
      <c r="J22" s="7" t="n">
        <v>6.3</v>
      </c>
      <c r="K22" s="7" t="n">
        <v>6.4</v>
      </c>
      <c r="M22" t="n">
        <v>60</v>
      </c>
      <c r="N22" t="n">
        <v>17.3</v>
      </c>
      <c r="O22" t="n">
        <v>29</v>
      </c>
      <c r="P22" t="n">
        <v>37.6</v>
      </c>
      <c r="Q22" t="n">
        <v>49.5</v>
      </c>
      <c r="R22" t="n">
        <v>59.1</v>
      </c>
      <c r="S22" t="n">
        <v>69.5</v>
      </c>
      <c r="T22" t="n">
        <v>80.5</v>
      </c>
      <c r="U22" t="n">
        <v>96.5</v>
      </c>
      <c r="V22" t="n">
        <v>109.6</v>
      </c>
      <c r="W22" t="n">
        <v>123.8</v>
      </c>
      <c r="X22" t="n">
        <v>144.2</v>
      </c>
      <c r="Y22" t="n">
        <v>161</v>
      </c>
    </row>
    <row r="23">
      <c r="A23" s="6" t="n">
        <v>2007</v>
      </c>
      <c r="B23" s="7" t="n">
        <v>11</v>
      </c>
      <c r="C23" s="7" t="n">
        <v>19.2</v>
      </c>
      <c r="D23" s="7" t="n">
        <v>22.6</v>
      </c>
      <c r="E23" s="7" t="n">
        <v>27.2</v>
      </c>
      <c r="F23" s="7" t="n">
        <v>35.4</v>
      </c>
      <c r="G23" s="7" t="n">
        <v>52.8</v>
      </c>
      <c r="H23" s="7" t="n">
        <v>59.8</v>
      </c>
      <c r="I23" s="7" t="n">
        <v>109</v>
      </c>
      <c r="J23" s="7" t="n">
        <v>172.2</v>
      </c>
      <c r="K23" s="7" t="n">
        <v>229.2</v>
      </c>
      <c r="M23" t="n">
        <v>120</v>
      </c>
      <c r="N23" t="n">
        <v>9.699999999999999</v>
      </c>
      <c r="O23" t="n">
        <v>17.3</v>
      </c>
      <c r="P23" t="n">
        <v>23.5</v>
      </c>
      <c r="Q23" t="n">
        <v>33.1</v>
      </c>
      <c r="R23" t="n">
        <v>41.7</v>
      </c>
      <c r="S23" t="n">
        <v>51.8</v>
      </c>
      <c r="T23" t="n">
        <v>63.6</v>
      </c>
      <c r="U23" t="n">
        <v>82.5</v>
      </c>
      <c r="V23" t="n">
        <v>99.7</v>
      </c>
      <c r="W23" t="n">
        <v>119.9</v>
      </c>
      <c r="X23" t="n">
        <v>152.1</v>
      </c>
      <c r="Y23" t="n">
        <v>181.5</v>
      </c>
    </row>
    <row r="24">
      <c r="A24" s="6" t="n">
        <v>2009</v>
      </c>
      <c r="B24" s="7" t="n">
        <v>7</v>
      </c>
      <c r="C24" s="7" t="n">
        <v>12.6</v>
      </c>
      <c r="D24" s="7" t="n">
        <v>17</v>
      </c>
      <c r="E24" s="7" t="n">
        <v>21.4</v>
      </c>
      <c r="F24" s="7" t="n">
        <v>21.6</v>
      </c>
      <c r="G24" s="7" t="n">
        <v>21.6</v>
      </c>
      <c r="H24" s="7" t="n">
        <v>21.7</v>
      </c>
      <c r="I24" s="7" t="n">
        <v>21.8</v>
      </c>
      <c r="J24" s="7" t="n">
        <v>22.3</v>
      </c>
      <c r="K24" s="7" t="n">
        <v>31.7</v>
      </c>
      <c r="M24" t="n">
        <v>180</v>
      </c>
      <c r="N24" t="n">
        <v>6.9</v>
      </c>
      <c r="O24" t="n">
        <v>12.6</v>
      </c>
      <c r="P24" t="n">
        <v>17.7</v>
      </c>
      <c r="Q24" t="n">
        <v>26.2</v>
      </c>
      <c r="R24" t="n">
        <v>34.3</v>
      </c>
      <c r="S24" t="n">
        <v>44.4</v>
      </c>
      <c r="T24" t="n">
        <v>56.8</v>
      </c>
      <c r="U24" t="n">
        <v>78.09999999999999</v>
      </c>
      <c r="V24" t="n">
        <v>98.8</v>
      </c>
      <c r="W24" t="n">
        <v>124.5</v>
      </c>
      <c r="X24" t="n">
        <v>168.3</v>
      </c>
      <c r="Y24" t="n">
        <v>211</v>
      </c>
    </row>
    <row r="25">
      <c r="A25" s="6" t="n">
        <v>2010</v>
      </c>
      <c r="B25" s="7" t="n">
        <v>7.4</v>
      </c>
      <c r="C25" s="7" t="n">
        <v>12.8</v>
      </c>
      <c r="D25" s="7" t="n">
        <v>16.8</v>
      </c>
      <c r="E25" s="7" t="n">
        <v>21.4</v>
      </c>
      <c r="F25" s="7" t="n">
        <v>26.2</v>
      </c>
      <c r="G25" s="7" t="n">
        <v>33</v>
      </c>
      <c r="H25" s="7" t="n">
        <v>46</v>
      </c>
      <c r="I25" s="7" t="n">
        <v>81.8</v>
      </c>
      <c r="J25" s="7" t="n">
        <v>137.8</v>
      </c>
      <c r="K25" s="7" t="n">
        <v>229.4</v>
      </c>
      <c r="M25" t="n">
        <v>360</v>
      </c>
      <c r="N25" t="n">
        <v>3.8</v>
      </c>
      <c r="O25" t="n">
        <v>7.6</v>
      </c>
      <c r="P25" t="n">
        <v>11.4</v>
      </c>
      <c r="Q25" t="n">
        <v>18.4</v>
      </c>
      <c r="R25" t="n">
        <v>25.9</v>
      </c>
      <c r="S25" t="n">
        <v>36.1</v>
      </c>
      <c r="T25" t="n">
        <v>50</v>
      </c>
      <c r="U25" t="n">
        <v>76.5</v>
      </c>
      <c r="V25" t="n">
        <v>105.2</v>
      </c>
      <c r="W25" t="n">
        <v>144.3</v>
      </c>
      <c r="X25" t="n">
        <v>218.8</v>
      </c>
      <c r="Y25" t="n">
        <v>299.4</v>
      </c>
    </row>
    <row r="26">
      <c r="A26" s="6" t="n">
        <v>2011</v>
      </c>
      <c r="B26" s="7" t="n">
        <v>3.6</v>
      </c>
      <c r="C26" s="7" t="n">
        <v>6</v>
      </c>
      <c r="D26" s="7" t="n">
        <v>8.6</v>
      </c>
      <c r="E26" s="7" t="n">
        <v>9.6</v>
      </c>
      <c r="F26" s="7" t="n">
        <v>9.6</v>
      </c>
      <c r="G26" s="7" t="n">
        <v>9.6</v>
      </c>
      <c r="H26" s="7" t="n">
        <v>9.6</v>
      </c>
      <c r="I26" s="7" t="n">
        <v>9.699999999999999</v>
      </c>
      <c r="J26" s="7" t="n">
        <v>9.800000000000001</v>
      </c>
      <c r="K26" s="7" t="n">
        <v>9.9</v>
      </c>
      <c r="M26" t="n">
        <v>720</v>
      </c>
      <c r="N26" t="n">
        <v>2.1</v>
      </c>
      <c r="O26" t="n">
        <v>4.4</v>
      </c>
      <c r="P26" t="n">
        <v>6.9</v>
      </c>
      <c r="Q26" t="n">
        <v>11.9</v>
      </c>
      <c r="R26" t="n">
        <v>17.7</v>
      </c>
      <c r="S26" t="n">
        <v>26.1</v>
      </c>
      <c r="T26" t="n">
        <v>38.3</v>
      </c>
      <c r="U26" t="n">
        <v>63.5</v>
      </c>
      <c r="V26" t="n">
        <v>92.8</v>
      </c>
      <c r="W26" t="n">
        <v>135.4</v>
      </c>
      <c r="X26" t="n">
        <v>223.2</v>
      </c>
      <c r="Y26" t="n">
        <v>325.5</v>
      </c>
    </row>
    <row r="27">
      <c r="A27" s="6" t="n">
        <v>2012</v>
      </c>
      <c r="B27" s="7" t="n">
        <v>5.8</v>
      </c>
      <c r="C27" s="7" t="n">
        <v>10</v>
      </c>
      <c r="D27" s="7" t="n">
        <v>12.6</v>
      </c>
      <c r="E27" s="7" t="n">
        <v>23.2</v>
      </c>
      <c r="F27" s="7" t="n">
        <v>28.1</v>
      </c>
      <c r="G27" s="7" t="n">
        <v>29.2</v>
      </c>
      <c r="H27" s="7" t="n">
        <v>33</v>
      </c>
      <c r="I27" s="7" t="n">
        <v>33</v>
      </c>
      <c r="J27" s="7" t="n">
        <v>33.1</v>
      </c>
      <c r="K27" s="7" t="n">
        <v>33.2</v>
      </c>
      <c r="M27" t="n">
        <v>1440</v>
      </c>
      <c r="N27" t="n">
        <v>1.3</v>
      </c>
      <c r="O27" t="n">
        <v>2.7</v>
      </c>
      <c r="P27" t="n">
        <v>4.2</v>
      </c>
      <c r="Q27" t="n">
        <v>7.1</v>
      </c>
      <c r="R27" t="n">
        <v>10.4</v>
      </c>
      <c r="S27" t="n">
        <v>14.9</v>
      </c>
      <c r="T27" t="n">
        <v>21.3</v>
      </c>
      <c r="U27" t="n">
        <v>33.9</v>
      </c>
      <c r="V27" t="n">
        <v>48</v>
      </c>
      <c r="W27" t="n">
        <v>67.90000000000001</v>
      </c>
      <c r="X27" t="n">
        <v>111.6</v>
      </c>
      <c r="Y27" t="n">
        <v>162.7</v>
      </c>
    </row>
    <row r="28">
      <c r="A28" s="6" t="n">
        <v>2013</v>
      </c>
      <c r="B28" s="7" t="n">
        <v>8</v>
      </c>
      <c r="C28" s="7" t="n">
        <v>13.2</v>
      </c>
      <c r="D28" s="7" t="n">
        <v>18</v>
      </c>
      <c r="E28" s="7" t="n">
        <v>30.6</v>
      </c>
      <c r="F28" s="7" t="n">
        <v>33.9</v>
      </c>
      <c r="G28" s="7" t="n">
        <v>34</v>
      </c>
      <c r="H28" s="7" t="n">
        <v>34.1</v>
      </c>
      <c r="I28" s="7" t="n">
        <v>34.2</v>
      </c>
      <c r="J28" s="7" t="n">
        <v>34.3</v>
      </c>
      <c r="K28" s="7" t="n">
        <v>35.1</v>
      </c>
    </row>
    <row r="29">
      <c r="A29" s="6" t="n">
        <v>2014</v>
      </c>
      <c r="B29" s="7" t="n">
        <v>4</v>
      </c>
      <c r="C29" s="7" t="n">
        <v>7.2</v>
      </c>
      <c r="D29" s="7" t="n">
        <v>9.800000000000001</v>
      </c>
      <c r="E29" s="7" t="n">
        <v>13.4</v>
      </c>
      <c r="F29" s="7" t="n">
        <v>14.7</v>
      </c>
      <c r="G29" s="7" t="n">
        <v>20.7</v>
      </c>
      <c r="H29" s="7" t="n">
        <v>21.4</v>
      </c>
      <c r="I29" s="7" t="n">
        <v>24.9</v>
      </c>
      <c r="J29" s="7" t="n">
        <v>30.2</v>
      </c>
      <c r="K29" s="7" t="n">
        <v>40.2</v>
      </c>
    </row>
    <row r="30">
      <c r="A30" s="6" t="n">
        <v>2015</v>
      </c>
      <c r="B30" s="7" t="n">
        <v>3</v>
      </c>
      <c r="C30" s="7" t="n">
        <v>4.2</v>
      </c>
      <c r="D30" s="7" t="n">
        <v>5.4</v>
      </c>
      <c r="E30" s="7" t="n">
        <v>6.4</v>
      </c>
      <c r="F30" s="7" t="n">
        <v>7</v>
      </c>
      <c r="G30" s="7" t="n">
        <v>7.8</v>
      </c>
      <c r="H30" s="7" t="n">
        <v>9</v>
      </c>
      <c r="I30" s="7" t="n">
        <v>16.2</v>
      </c>
      <c r="J30" s="7" t="n">
        <v>16.5</v>
      </c>
      <c r="K30" s="7" t="n">
        <v>16.7</v>
      </c>
    </row>
    <row r="31">
      <c r="A31" s="6" t="n">
        <v>2016</v>
      </c>
      <c r="B31" s="7" t="n">
        <v>7</v>
      </c>
      <c r="C31" s="7" t="n">
        <v>11.2</v>
      </c>
      <c r="D31" s="7" t="n">
        <v>12</v>
      </c>
      <c r="E31" s="7" t="n">
        <v>15.6</v>
      </c>
      <c r="F31" s="7" t="n">
        <v>17</v>
      </c>
      <c r="G31" s="7" t="n">
        <v>17</v>
      </c>
      <c r="H31" s="7" t="n">
        <v>18.2</v>
      </c>
      <c r="I31" s="7" t="n">
        <v>22</v>
      </c>
      <c r="J31" s="7" t="n">
        <v>22.1</v>
      </c>
      <c r="K31" s="7" t="n">
        <v>26.7</v>
      </c>
    </row>
    <row r="32">
      <c r="A32" s="6" t="n">
        <v>2017</v>
      </c>
      <c r="B32" s="7" t="n">
        <v>7</v>
      </c>
      <c r="C32" s="7" t="n">
        <v>11</v>
      </c>
      <c r="D32" s="7" t="n">
        <v>14.8</v>
      </c>
      <c r="E32" s="7" t="n">
        <v>22.8</v>
      </c>
      <c r="F32" s="7" t="n">
        <v>26.6</v>
      </c>
      <c r="G32" s="7" t="n">
        <v>26.6</v>
      </c>
      <c r="H32" s="7" t="n">
        <v>26.6</v>
      </c>
      <c r="I32" s="7" t="n">
        <v>26.6</v>
      </c>
      <c r="J32" s="7" t="n">
        <v>26.6</v>
      </c>
      <c r="K32" s="7" t="n">
        <v>26.6</v>
      </c>
    </row>
    <row r="33">
      <c r="A33" s="6" t="n">
        <v>2018</v>
      </c>
      <c r="B33" s="7" t="n">
        <v>1</v>
      </c>
      <c r="C33" s="7" t="n">
        <v>1.2</v>
      </c>
      <c r="D33" s="7" t="n">
        <v>2.2</v>
      </c>
      <c r="E33" s="7" t="n">
        <v>2.6</v>
      </c>
      <c r="F33" s="7" t="n">
        <v>4.7</v>
      </c>
      <c r="G33" s="7" t="n">
        <v>5.6</v>
      </c>
      <c r="H33" s="7" t="n">
        <v>5.6</v>
      </c>
      <c r="I33" s="7" t="n">
        <v>5.6</v>
      </c>
      <c r="J33" s="7" t="n">
        <v>6</v>
      </c>
      <c r="K33" s="7" t="n">
        <v>6.4</v>
      </c>
    </row>
    <row r="34">
      <c r="A34" s="6" t="n">
        <v>2019</v>
      </c>
      <c r="B34" s="7" t="n">
        <v>6.8</v>
      </c>
      <c r="C34" s="7" t="n">
        <v>13.6</v>
      </c>
      <c r="D34" s="7" t="n">
        <v>13.6</v>
      </c>
      <c r="E34" s="7" t="n">
        <v>13.6</v>
      </c>
      <c r="F34" s="7" t="n">
        <v>16</v>
      </c>
      <c r="G34" s="7" t="n">
        <v>16</v>
      </c>
      <c r="H34" s="7" t="n">
        <v>20.2</v>
      </c>
      <c r="I34" s="7" t="n">
        <v>30.1</v>
      </c>
      <c r="J34" s="7" t="n">
        <v>30.8</v>
      </c>
      <c r="K34" s="7" t="n">
        <v>34.8</v>
      </c>
    </row>
    <row r="35">
      <c r="A35" s="6" t="n">
        <v>2020</v>
      </c>
      <c r="B35" s="7" t="n">
        <v>8.4</v>
      </c>
      <c r="C35" s="7" t="n">
        <v>12.6</v>
      </c>
      <c r="D35" s="7" t="n">
        <v>14</v>
      </c>
      <c r="E35" s="7" t="n">
        <v>19.6</v>
      </c>
      <c r="F35" s="7" t="n">
        <v>20.6</v>
      </c>
      <c r="G35" s="7" t="n">
        <v>20.6</v>
      </c>
      <c r="H35" s="7" t="n">
        <v>20.6</v>
      </c>
      <c r="I35" s="7" t="n">
        <v>20.6</v>
      </c>
      <c r="J35" s="7" t="n">
        <v>20.6</v>
      </c>
      <c r="K35" s="7" t="n">
        <v>20.6</v>
      </c>
    </row>
    <row r="38">
      <c r="A38" s="2" t="inlineStr">
        <is>
          <t>AMS AFTER gap filling (mm)  -  yellow = added or changed by gap filling</t>
        </is>
      </c>
    </row>
    <row r="39">
      <c r="A39" s="4" t="inlineStr">
        <is>
          <t>Water year</t>
        </is>
      </c>
      <c r="B39" s="5" t="inlineStr">
        <is>
          <t>5min</t>
        </is>
      </c>
      <c r="C39" s="5" t="inlineStr">
        <is>
          <t>10min</t>
        </is>
      </c>
      <c r="D39" s="5" t="inlineStr">
        <is>
          <t>15min</t>
        </is>
      </c>
      <c r="E39" s="5" t="inlineStr">
        <is>
          <t>30min</t>
        </is>
      </c>
      <c r="F39" s="5" t="inlineStr">
        <is>
          <t>1h</t>
        </is>
      </c>
      <c r="G39" s="5" t="inlineStr">
        <is>
          <t>2h</t>
        </is>
      </c>
      <c r="H39" s="5" t="inlineStr">
        <is>
          <t>3h</t>
        </is>
      </c>
      <c r="I39" s="5" t="inlineStr">
        <is>
          <t>6h</t>
        </is>
      </c>
      <c r="J39" s="5" t="inlineStr">
        <is>
          <t>12h</t>
        </is>
      </c>
      <c r="K39" s="5" t="inlineStr">
        <is>
          <t>24h</t>
        </is>
      </c>
    </row>
    <row r="40">
      <c r="A40" s="6" t="n">
        <v>1987</v>
      </c>
      <c r="B40" s="7" t="n"/>
      <c r="C40" s="7" t="n"/>
      <c r="D40" s="7" t="n"/>
      <c r="E40" s="7" t="n"/>
      <c r="F40" s="7" t="n"/>
      <c r="G40" s="7" t="n"/>
      <c r="H40" s="7" t="n"/>
      <c r="I40" s="7" t="n"/>
      <c r="J40" s="7" t="n"/>
      <c r="K40" s="7" t="n">
        <v>70</v>
      </c>
    </row>
    <row r="41">
      <c r="A41" s="6" t="n">
        <v>1988</v>
      </c>
      <c r="B41" s="7" t="n"/>
      <c r="C41" s="7" t="n"/>
      <c r="D41" s="7" t="n"/>
      <c r="E41" s="7" t="n"/>
      <c r="F41" s="7" t="n"/>
      <c r="G41" s="7" t="n"/>
      <c r="H41" s="7" t="n"/>
      <c r="I41" s="7" t="n"/>
      <c r="J41" s="7" t="n"/>
      <c r="K41" s="7" t="n">
        <v>57</v>
      </c>
    </row>
    <row r="42">
      <c r="A42" s="6" t="n">
        <v>1990</v>
      </c>
      <c r="B42" s="7" t="n"/>
      <c r="C42" s="7" t="n"/>
      <c r="D42" s="7" t="n"/>
      <c r="E42" s="7" t="n"/>
      <c r="F42" s="7" t="n"/>
      <c r="G42" s="7" t="n"/>
      <c r="H42" s="7" t="n"/>
      <c r="I42" s="7" t="n"/>
      <c r="J42" s="7" t="n"/>
      <c r="K42" s="7" t="n">
        <v>30</v>
      </c>
    </row>
    <row r="43">
      <c r="A43" s="6" t="n">
        <v>1991</v>
      </c>
      <c r="B43" s="7" t="n"/>
      <c r="C43" s="7" t="n"/>
      <c r="D43" s="7" t="n"/>
      <c r="E43" s="7" t="n"/>
      <c r="F43" s="7" t="n"/>
      <c r="G43" s="7" t="n"/>
      <c r="H43" s="7" t="n"/>
      <c r="I43" s="7" t="n"/>
      <c r="J43" s="7" t="n"/>
      <c r="K43" s="7" t="n">
        <v>26</v>
      </c>
    </row>
    <row r="44">
      <c r="A44" s="6" t="n">
        <v>1992</v>
      </c>
      <c r="B44" s="7" t="n"/>
      <c r="C44" s="7" t="n"/>
      <c r="D44" s="7" t="n"/>
      <c r="E44" s="7" t="n"/>
      <c r="F44" s="7" t="n"/>
      <c r="G44" s="7" t="n"/>
      <c r="H44" s="7" t="n"/>
      <c r="I44" s="7" t="n"/>
      <c r="J44" s="7" t="n"/>
      <c r="K44" s="7" t="n">
        <v>20</v>
      </c>
    </row>
    <row r="45">
      <c r="A45" s="6" t="n">
        <v>1993</v>
      </c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  <c r="K45" s="7" t="n">
        <v>26</v>
      </c>
    </row>
    <row r="46">
      <c r="A46" s="6" t="n">
        <v>1994</v>
      </c>
      <c r="B46" s="7" t="n"/>
      <c r="C46" s="7" t="n"/>
      <c r="D46" s="7" t="n"/>
      <c r="E46" s="7" t="n"/>
      <c r="F46" s="7" t="n"/>
      <c r="G46" s="7" t="n"/>
      <c r="H46" s="7" t="n"/>
      <c r="I46" s="7" t="n"/>
      <c r="J46" s="7" t="n"/>
      <c r="K46" s="7" t="n">
        <v>30</v>
      </c>
    </row>
    <row r="47">
      <c r="A47" s="6" t="n">
        <v>1995</v>
      </c>
      <c r="B47" s="7" t="n"/>
      <c r="C47" s="7" t="n"/>
      <c r="D47" s="7" t="n"/>
      <c r="E47" s="7" t="n"/>
      <c r="F47" s="7" t="n"/>
      <c r="G47" s="7" t="n"/>
      <c r="H47" s="7" t="n"/>
      <c r="I47" s="7" t="n"/>
      <c r="J47" s="7" t="n"/>
      <c r="K47" s="7" t="n">
        <v>94</v>
      </c>
    </row>
    <row r="48">
      <c r="A48" s="6" t="n">
        <v>1996</v>
      </c>
      <c r="B48" s="7" t="n"/>
      <c r="C48" s="7" t="n"/>
      <c r="D48" s="7" t="n"/>
      <c r="E48" s="7" t="n"/>
      <c r="F48" s="7" t="n"/>
      <c r="G48" s="7" t="n"/>
      <c r="H48" s="7" t="n"/>
      <c r="I48" s="7" t="n"/>
      <c r="J48" s="7" t="n"/>
      <c r="K48" s="7" t="n">
        <v>55</v>
      </c>
    </row>
    <row r="49">
      <c r="A49" s="6" t="n">
        <v>1997</v>
      </c>
      <c r="B49" s="7" t="n"/>
      <c r="C49" s="7" t="n"/>
      <c r="D49" s="7" t="n"/>
      <c r="E49" s="7" t="n"/>
      <c r="F49" s="7" t="n"/>
      <c r="G49" s="7" t="n"/>
      <c r="H49" s="7" t="n"/>
      <c r="I49" s="7" t="n"/>
      <c r="J49" s="7" t="n"/>
      <c r="K49" s="8" t="n">
        <v>77.40000000000001</v>
      </c>
    </row>
    <row r="50">
      <c r="A50" s="6" t="n">
        <v>1998</v>
      </c>
      <c r="B50" s="7" t="n"/>
      <c r="C50" s="7" t="n"/>
      <c r="D50" s="7" t="n"/>
      <c r="E50" s="7" t="n"/>
      <c r="F50" s="7" t="n"/>
      <c r="G50" s="7" t="n"/>
      <c r="H50" s="7" t="n"/>
      <c r="I50" s="7" t="n"/>
      <c r="J50" s="7" t="n"/>
      <c r="K50" s="7" t="n">
        <v>55</v>
      </c>
    </row>
    <row r="51">
      <c r="A51" s="6" t="n">
        <v>1999</v>
      </c>
      <c r="B51" s="7" t="n"/>
      <c r="C51" s="7" t="n"/>
      <c r="D51" s="7" t="n"/>
      <c r="E51" s="7" t="n"/>
      <c r="F51" s="7" t="n"/>
      <c r="G51" s="7" t="n"/>
      <c r="H51" s="7" t="n"/>
      <c r="I51" s="7" t="n"/>
      <c r="J51" s="7" t="n"/>
      <c r="K51" s="7" t="n">
        <v>30</v>
      </c>
    </row>
    <row r="52">
      <c r="A52" s="6" t="n">
        <v>2001</v>
      </c>
      <c r="B52" s="7" t="n"/>
      <c r="C52" s="7" t="n"/>
      <c r="D52" s="7" t="n"/>
      <c r="E52" s="7" t="n"/>
      <c r="F52" s="7" t="n"/>
      <c r="G52" s="7" t="n"/>
      <c r="H52" s="7" t="n"/>
      <c r="I52" s="7" t="n"/>
      <c r="J52" s="7" t="n"/>
      <c r="K52" s="8" t="n">
        <v>16.1</v>
      </c>
    </row>
    <row r="53">
      <c r="A53" s="6" t="n">
        <v>2002</v>
      </c>
      <c r="B53" s="8" t="n">
        <v>1.4</v>
      </c>
      <c r="C53" s="8" t="n">
        <v>2.5</v>
      </c>
      <c r="D53" s="8" t="n">
        <v>3.5</v>
      </c>
      <c r="E53" s="8" t="n">
        <v>6.2</v>
      </c>
      <c r="F53" s="8" t="n">
        <v>9.300000000000001</v>
      </c>
      <c r="G53" s="8" t="n">
        <v>12</v>
      </c>
      <c r="H53" s="8" t="n">
        <v>12.1</v>
      </c>
      <c r="I53" s="8" t="n">
        <v>12.2</v>
      </c>
      <c r="J53" s="8" t="n">
        <v>12.2</v>
      </c>
      <c r="K53" s="8" t="n">
        <v>12.3</v>
      </c>
    </row>
    <row r="54">
      <c r="A54" s="6" t="n">
        <v>2003</v>
      </c>
      <c r="B54" s="7" t="n"/>
      <c r="C54" s="7" t="n"/>
      <c r="D54" s="7" t="n"/>
      <c r="E54" s="7" t="n"/>
      <c r="F54" s="7" t="n"/>
      <c r="G54" s="7" t="n"/>
      <c r="H54" s="7" t="n"/>
      <c r="I54" s="7" t="n"/>
      <c r="J54" s="7" t="n"/>
      <c r="K54" s="7" t="n">
        <v>22</v>
      </c>
    </row>
    <row r="55">
      <c r="A55" s="6" t="n">
        <v>2004</v>
      </c>
      <c r="B55" s="7" t="n"/>
      <c r="C55" s="7" t="n"/>
      <c r="D55" s="7" t="n"/>
      <c r="E55" s="7" t="n"/>
      <c r="F55" s="7" t="n"/>
      <c r="G55" s="7" t="n"/>
      <c r="H55" s="7" t="n"/>
      <c r="I55" s="7" t="n"/>
      <c r="J55" s="7" t="n"/>
      <c r="K55" s="7" t="n">
        <v>8</v>
      </c>
    </row>
    <row r="56">
      <c r="A56" s="6" t="n">
        <v>2005</v>
      </c>
      <c r="B56" s="7" t="n">
        <v>5.4</v>
      </c>
      <c r="C56" s="7" t="n">
        <v>9.199999999999999</v>
      </c>
      <c r="D56" s="7" t="n">
        <v>12.2</v>
      </c>
      <c r="E56" s="7" t="n">
        <v>16.5</v>
      </c>
      <c r="F56" s="7" t="n">
        <v>21.2</v>
      </c>
      <c r="G56" s="7" t="n">
        <v>23.6</v>
      </c>
      <c r="H56" s="7" t="n">
        <v>23.9</v>
      </c>
      <c r="I56" s="7" t="n">
        <v>24.2</v>
      </c>
      <c r="J56" s="7" t="n">
        <v>26.4</v>
      </c>
      <c r="K56" s="7" t="n">
        <v>39.7</v>
      </c>
    </row>
    <row r="57">
      <c r="A57" s="6" t="n">
        <v>2006</v>
      </c>
      <c r="B57" s="7" t="n">
        <v>0.8</v>
      </c>
      <c r="C57" s="7" t="n">
        <v>1</v>
      </c>
      <c r="D57" s="7" t="n">
        <v>1.3</v>
      </c>
      <c r="E57" s="7" t="n">
        <v>1.8</v>
      </c>
      <c r="F57" s="7" t="n">
        <v>2.8</v>
      </c>
      <c r="G57" s="7" t="n">
        <v>3.6</v>
      </c>
      <c r="H57" s="7" t="n">
        <v>5</v>
      </c>
      <c r="I57" s="7" t="n">
        <v>6.2</v>
      </c>
      <c r="J57" s="7" t="n">
        <v>6.3</v>
      </c>
      <c r="K57" s="7" t="n">
        <v>6.4</v>
      </c>
    </row>
    <row r="58">
      <c r="A58" s="6" t="n">
        <v>2007</v>
      </c>
      <c r="B58" s="7" t="n">
        <v>11</v>
      </c>
      <c r="C58" s="7" t="n">
        <v>19.2</v>
      </c>
      <c r="D58" s="7" t="n">
        <v>22.6</v>
      </c>
      <c r="E58" s="7" t="n">
        <v>27.2</v>
      </c>
      <c r="F58" s="7" t="n">
        <v>35.4</v>
      </c>
      <c r="G58" s="7" t="n">
        <v>52.8</v>
      </c>
      <c r="H58" s="7" t="n">
        <v>59.8</v>
      </c>
      <c r="I58" s="7" t="n">
        <v>109</v>
      </c>
      <c r="J58" s="7" t="n">
        <v>172.2</v>
      </c>
      <c r="K58" s="7" t="n">
        <v>229.2</v>
      </c>
    </row>
    <row r="59">
      <c r="A59" s="6" t="n">
        <v>2009</v>
      </c>
      <c r="B59" s="7" t="n">
        <v>7</v>
      </c>
      <c r="C59" s="7" t="n">
        <v>12.6</v>
      </c>
      <c r="D59" s="7" t="n">
        <v>17</v>
      </c>
      <c r="E59" s="7" t="n">
        <v>21.4</v>
      </c>
      <c r="F59" s="7" t="n">
        <v>21.6</v>
      </c>
      <c r="G59" s="7" t="n">
        <v>21.6</v>
      </c>
      <c r="H59" s="7" t="n">
        <v>21.7</v>
      </c>
      <c r="I59" s="7" t="n">
        <v>21.8</v>
      </c>
      <c r="J59" s="7" t="n">
        <v>22.3</v>
      </c>
      <c r="K59" s="7" t="n">
        <v>31.7</v>
      </c>
    </row>
    <row r="60">
      <c r="A60" s="6" t="n">
        <v>2010</v>
      </c>
      <c r="B60" s="7" t="n">
        <v>7.4</v>
      </c>
      <c r="C60" s="7" t="n">
        <v>12.8</v>
      </c>
      <c r="D60" s="7" t="n">
        <v>16.8</v>
      </c>
      <c r="E60" s="7" t="n">
        <v>21.4</v>
      </c>
      <c r="F60" s="7" t="n">
        <v>26.2</v>
      </c>
      <c r="G60" s="7" t="n">
        <v>33</v>
      </c>
      <c r="H60" s="7" t="n">
        <v>46</v>
      </c>
      <c r="I60" s="7" t="n">
        <v>81.8</v>
      </c>
      <c r="J60" s="7" t="n">
        <v>137.8</v>
      </c>
      <c r="K60" s="7" t="n">
        <v>229.4</v>
      </c>
    </row>
    <row r="61">
      <c r="A61" s="6" t="n">
        <v>2011</v>
      </c>
      <c r="B61" s="7" t="n">
        <v>3.6</v>
      </c>
      <c r="C61" s="7" t="n">
        <v>6</v>
      </c>
      <c r="D61" s="7" t="n">
        <v>8.6</v>
      </c>
      <c r="E61" s="7" t="n">
        <v>9.6</v>
      </c>
      <c r="F61" s="7" t="n">
        <v>9.6</v>
      </c>
      <c r="G61" s="7" t="n">
        <v>9.6</v>
      </c>
      <c r="H61" s="7" t="n">
        <v>9.6</v>
      </c>
      <c r="I61" s="7" t="n">
        <v>9.699999999999999</v>
      </c>
      <c r="J61" s="7" t="n">
        <v>9.800000000000001</v>
      </c>
      <c r="K61" s="7" t="n">
        <v>9.9</v>
      </c>
    </row>
    <row r="62">
      <c r="A62" s="6" t="n">
        <v>2012</v>
      </c>
      <c r="B62" s="7" t="n">
        <v>5.8</v>
      </c>
      <c r="C62" s="7" t="n">
        <v>10</v>
      </c>
      <c r="D62" s="7" t="n">
        <v>12.6</v>
      </c>
      <c r="E62" s="7" t="n">
        <v>23.2</v>
      </c>
      <c r="F62" s="7" t="n">
        <v>28.1</v>
      </c>
      <c r="G62" s="7" t="n">
        <v>29.2</v>
      </c>
      <c r="H62" s="7" t="n">
        <v>33</v>
      </c>
      <c r="I62" s="7" t="n">
        <v>33</v>
      </c>
      <c r="J62" s="7" t="n">
        <v>33.1</v>
      </c>
      <c r="K62" s="7" t="n">
        <v>33.2</v>
      </c>
    </row>
    <row r="63">
      <c r="A63" s="6" t="n">
        <v>2013</v>
      </c>
      <c r="B63" s="7" t="n">
        <v>8</v>
      </c>
      <c r="C63" s="7" t="n">
        <v>13.2</v>
      </c>
      <c r="D63" s="7" t="n">
        <v>18</v>
      </c>
      <c r="E63" s="7" t="n">
        <v>30.6</v>
      </c>
      <c r="F63" s="7" t="n">
        <v>33.9</v>
      </c>
      <c r="G63" s="7" t="n">
        <v>34</v>
      </c>
      <c r="H63" s="7" t="n">
        <v>34.1</v>
      </c>
      <c r="I63" s="7" t="n">
        <v>34.2</v>
      </c>
      <c r="J63" s="7" t="n">
        <v>34.3</v>
      </c>
      <c r="K63" s="7" t="n">
        <v>35.1</v>
      </c>
    </row>
    <row r="64">
      <c r="A64" s="6" t="n">
        <v>2014</v>
      </c>
      <c r="B64" s="7" t="n">
        <v>4</v>
      </c>
      <c r="C64" s="7" t="n">
        <v>7.2</v>
      </c>
      <c r="D64" s="7" t="n">
        <v>9.800000000000001</v>
      </c>
      <c r="E64" s="7" t="n">
        <v>13.4</v>
      </c>
      <c r="F64" s="7" t="n">
        <v>14.7</v>
      </c>
      <c r="G64" s="7" t="n">
        <v>20.7</v>
      </c>
      <c r="H64" s="7" t="n">
        <v>21.4</v>
      </c>
      <c r="I64" s="7" t="n">
        <v>24.9</v>
      </c>
      <c r="J64" s="7" t="n">
        <v>30.2</v>
      </c>
      <c r="K64" s="7" t="n">
        <v>40.2</v>
      </c>
    </row>
    <row r="65">
      <c r="A65" s="6" t="n">
        <v>2015</v>
      </c>
      <c r="B65" s="7" t="n">
        <v>3</v>
      </c>
      <c r="C65" s="7" t="n">
        <v>4.2</v>
      </c>
      <c r="D65" s="7" t="n">
        <v>5.4</v>
      </c>
      <c r="E65" s="7" t="n">
        <v>6.4</v>
      </c>
      <c r="F65" s="7" t="n">
        <v>7</v>
      </c>
      <c r="G65" s="7" t="n">
        <v>7.8</v>
      </c>
      <c r="H65" s="7" t="n">
        <v>9</v>
      </c>
      <c r="I65" s="7" t="n">
        <v>16.2</v>
      </c>
      <c r="J65" s="7" t="n">
        <v>16.5</v>
      </c>
      <c r="K65" s="7" t="n">
        <v>16.7</v>
      </c>
    </row>
    <row r="66">
      <c r="A66" s="6" t="n">
        <v>2016</v>
      </c>
      <c r="B66" s="7" t="n">
        <v>7</v>
      </c>
      <c r="C66" s="7" t="n">
        <v>11.2</v>
      </c>
      <c r="D66" s="7" t="n">
        <v>12</v>
      </c>
      <c r="E66" s="7" t="n">
        <v>15.6</v>
      </c>
      <c r="F66" s="7" t="n">
        <v>17</v>
      </c>
      <c r="G66" s="7" t="n">
        <v>17</v>
      </c>
      <c r="H66" s="7" t="n">
        <v>18.2</v>
      </c>
      <c r="I66" s="7" t="n">
        <v>22</v>
      </c>
      <c r="J66" s="7" t="n">
        <v>22.1</v>
      </c>
      <c r="K66" s="7" t="n">
        <v>26.7</v>
      </c>
    </row>
    <row r="67">
      <c r="A67" s="6" t="n">
        <v>2017</v>
      </c>
      <c r="B67" s="7" t="n">
        <v>7</v>
      </c>
      <c r="C67" s="7" t="n">
        <v>11</v>
      </c>
      <c r="D67" s="7" t="n">
        <v>14.8</v>
      </c>
      <c r="E67" s="7" t="n">
        <v>22.8</v>
      </c>
      <c r="F67" s="7" t="n">
        <v>26.6</v>
      </c>
      <c r="G67" s="7" t="n">
        <v>26.6</v>
      </c>
      <c r="H67" s="7" t="n">
        <v>26.6</v>
      </c>
      <c r="I67" s="7" t="n">
        <v>26.6</v>
      </c>
      <c r="J67" s="7" t="n">
        <v>26.6</v>
      </c>
      <c r="K67" s="7" t="n">
        <v>26.6</v>
      </c>
    </row>
    <row r="68">
      <c r="A68" s="6" t="n">
        <v>2018</v>
      </c>
      <c r="B68" s="7" t="n">
        <v>1</v>
      </c>
      <c r="C68" s="7" t="n">
        <v>1.2</v>
      </c>
      <c r="D68" s="7" t="n">
        <v>2.2</v>
      </c>
      <c r="E68" s="7" t="n">
        <v>2.6</v>
      </c>
      <c r="F68" s="7" t="n">
        <v>4.7</v>
      </c>
      <c r="G68" s="7" t="n">
        <v>5.6</v>
      </c>
      <c r="H68" s="7" t="n">
        <v>5.6</v>
      </c>
      <c r="I68" s="7" t="n">
        <v>5.6</v>
      </c>
      <c r="J68" s="7" t="n">
        <v>6</v>
      </c>
      <c r="K68" s="7" t="n">
        <v>6.4</v>
      </c>
    </row>
    <row r="69">
      <c r="A69" s="6" t="n">
        <v>2019</v>
      </c>
      <c r="B69" s="7" t="n">
        <v>6.8</v>
      </c>
      <c r="C69" s="7" t="n">
        <v>13.6</v>
      </c>
      <c r="D69" s="7" t="n">
        <v>13.6</v>
      </c>
      <c r="E69" s="7" t="n">
        <v>13.6</v>
      </c>
      <c r="F69" s="7" t="n">
        <v>16</v>
      </c>
      <c r="G69" s="7" t="n">
        <v>16</v>
      </c>
      <c r="H69" s="7" t="n">
        <v>20.2</v>
      </c>
      <c r="I69" s="7" t="n">
        <v>30.1</v>
      </c>
      <c r="J69" s="7" t="n">
        <v>30.8</v>
      </c>
      <c r="K69" s="7" t="n">
        <v>34.8</v>
      </c>
    </row>
    <row r="70">
      <c r="A70" s="6" t="n">
        <v>2020</v>
      </c>
      <c r="B70" s="7" t="n">
        <v>8.4</v>
      </c>
      <c r="C70" s="7" t="n">
        <v>12.6</v>
      </c>
      <c r="D70" s="7" t="n">
        <v>14</v>
      </c>
      <c r="E70" s="7" t="n">
        <v>19.6</v>
      </c>
      <c r="F70" s="7" t="n">
        <v>20.6</v>
      </c>
      <c r="G70" s="7" t="n">
        <v>20.6</v>
      </c>
      <c r="H70" s="7" t="n">
        <v>20.6</v>
      </c>
      <c r="I70" s="7" t="n">
        <v>20.6</v>
      </c>
      <c r="J70" s="7" t="n">
        <v>20.6</v>
      </c>
      <c r="K70" s="7" t="n">
        <v>20.6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Y54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</cols>
  <sheetData>
    <row r="1">
      <c r="A1" s="1" t="inlineStr">
        <is>
          <t>Gauge 47  |  FL364343AF  |  Nejd Wasit (Al Rohbah)</t>
        </is>
      </c>
    </row>
    <row r="3">
      <c r="A3" s="2" t="inlineStr">
        <is>
          <t>AMS BEFORE gap filling (observed only, mm)</t>
        </is>
      </c>
      <c r="M3" s="3" t="inlineStr">
        <is>
          <t>IDF - design rainfall DEPTH (mm)</t>
        </is>
      </c>
    </row>
    <row r="4">
      <c r="A4" s="4" t="inlineStr">
        <is>
          <t>Water year</t>
        </is>
      </c>
      <c r="B4" s="5" t="inlineStr">
        <is>
          <t>5min</t>
        </is>
      </c>
      <c r="C4" s="5" t="inlineStr">
        <is>
          <t>10min</t>
        </is>
      </c>
      <c r="D4" s="5" t="inlineStr">
        <is>
          <t>15min</t>
        </is>
      </c>
      <c r="E4" s="5" t="inlineStr">
        <is>
          <t>30min</t>
        </is>
      </c>
      <c r="F4" s="5" t="inlineStr">
        <is>
          <t>1h</t>
        </is>
      </c>
      <c r="G4" s="5" t="inlineStr">
        <is>
          <t>2h</t>
        </is>
      </c>
      <c r="H4" s="5" t="inlineStr">
        <is>
          <t>3h</t>
        </is>
      </c>
      <c r="I4" s="5" t="inlineStr">
        <is>
          <t>6h</t>
        </is>
      </c>
      <c r="J4" s="5" t="inlineStr">
        <is>
          <t>12h</t>
        </is>
      </c>
      <c r="K4" s="5" t="inlineStr">
        <is>
          <t>24h</t>
        </is>
      </c>
      <c r="M4" s="4" t="inlineStr">
        <is>
          <t>Duration \ RP</t>
        </is>
      </c>
      <c r="N4" s="4" t="n">
        <v>2</v>
      </c>
      <c r="O4" s="4" t="n">
        <v>5</v>
      </c>
      <c r="P4" s="4" t="n">
        <v>10</v>
      </c>
      <c r="Q4" s="4" t="n">
        <v>25</v>
      </c>
      <c r="R4" s="4" t="n">
        <v>50</v>
      </c>
      <c r="S4" s="4" t="n">
        <v>100</v>
      </c>
      <c r="T4" s="4" t="n">
        <v>200</v>
      </c>
      <c r="U4" s="4" t="n">
        <v>500</v>
      </c>
      <c r="V4" s="4" t="n">
        <v>1000</v>
      </c>
      <c r="W4" s="4" t="n">
        <v>2000</v>
      </c>
      <c r="X4" s="4" t="n">
        <v>5000</v>
      </c>
      <c r="Y4" s="4" t="n">
        <v>10000</v>
      </c>
    </row>
    <row r="5">
      <c r="A5" s="6" t="n">
        <v>1994</v>
      </c>
      <c r="B5" s="7" t="n"/>
      <c r="C5" s="7" t="n"/>
      <c r="D5" s="7" t="n">
        <v>23</v>
      </c>
      <c r="E5" s="7" t="n">
        <v>23.4</v>
      </c>
      <c r="F5" s="7" t="n">
        <v>23.9</v>
      </c>
      <c r="G5" s="7" t="n">
        <v>24.4</v>
      </c>
      <c r="H5" s="7" t="n">
        <v>24.9</v>
      </c>
      <c r="I5" s="7" t="n">
        <v>25.6</v>
      </c>
      <c r="J5" s="7" t="n">
        <v>27.1</v>
      </c>
      <c r="K5" s="7" t="n">
        <v>30</v>
      </c>
      <c r="M5" s="6" t="inlineStr">
        <is>
          <t>5min</t>
        </is>
      </c>
      <c r="N5" s="6" t="n">
        <v>5.1</v>
      </c>
      <c r="O5" s="6" t="n">
        <v>7.9</v>
      </c>
      <c r="P5" s="6" t="n">
        <v>9.9</v>
      </c>
      <c r="Q5" s="6" t="n">
        <v>12.5</v>
      </c>
      <c r="R5" s="6" t="n">
        <v>14.6</v>
      </c>
      <c r="S5" s="6" t="n">
        <v>16.8</v>
      </c>
      <c r="T5" s="6" t="n">
        <v>19.1</v>
      </c>
      <c r="U5" s="6" t="n">
        <v>22.4</v>
      </c>
      <c r="V5" s="6" t="n">
        <v>25</v>
      </c>
      <c r="W5" s="6" t="n">
        <v>27.7</v>
      </c>
      <c r="X5" s="6" t="n">
        <v>31.6</v>
      </c>
      <c r="Y5" s="6" t="n">
        <v>34.6</v>
      </c>
    </row>
    <row r="6">
      <c r="A6" s="6" t="n">
        <v>1995</v>
      </c>
      <c r="B6" s="7" t="n">
        <v>5.6</v>
      </c>
      <c r="C6" s="7" t="n">
        <v>10.8</v>
      </c>
      <c r="D6" s="7" t="n">
        <v>16</v>
      </c>
      <c r="E6" s="7" t="n">
        <v>27.6</v>
      </c>
      <c r="F6" s="7" t="n">
        <v>29.6</v>
      </c>
      <c r="G6" s="7" t="n">
        <v>32.2</v>
      </c>
      <c r="H6" s="7" t="n">
        <v>34.4</v>
      </c>
      <c r="I6" s="7" t="n">
        <v>44.1</v>
      </c>
      <c r="J6" s="7" t="n">
        <v>61.8</v>
      </c>
      <c r="K6" s="7" t="n">
        <v>73.5</v>
      </c>
      <c r="M6" s="6" t="inlineStr">
        <is>
          <t>10min</t>
        </is>
      </c>
      <c r="N6" s="6" t="n">
        <v>8.300000000000001</v>
      </c>
      <c r="O6" s="6" t="n">
        <v>12.9</v>
      </c>
      <c r="P6" s="6" t="n">
        <v>16.3</v>
      </c>
      <c r="Q6" s="6" t="n">
        <v>21</v>
      </c>
      <c r="R6" s="6" t="n">
        <v>24.8</v>
      </c>
      <c r="S6" s="6" t="n">
        <v>28.8</v>
      </c>
      <c r="T6" s="6" t="n">
        <v>33.1</v>
      </c>
      <c r="U6" s="6" t="n">
        <v>39.2</v>
      </c>
      <c r="V6" s="6" t="n">
        <v>44.3</v>
      </c>
      <c r="W6" s="6" t="n">
        <v>49.7</v>
      </c>
      <c r="X6" s="6" t="n">
        <v>57.4</v>
      </c>
      <c r="Y6" s="6" t="n">
        <v>63.8</v>
      </c>
    </row>
    <row r="7">
      <c r="A7" s="6" t="n">
        <v>1996</v>
      </c>
      <c r="B7" s="7" t="n">
        <v>5.4</v>
      </c>
      <c r="C7" s="7" t="n">
        <v>8.4</v>
      </c>
      <c r="D7" s="7" t="n">
        <v>11.2</v>
      </c>
      <c r="E7" s="7" t="n">
        <v>17.2</v>
      </c>
      <c r="F7" s="7" t="n">
        <v>24.2</v>
      </c>
      <c r="G7" s="7" t="n">
        <v>39.8</v>
      </c>
      <c r="H7" s="7" t="n">
        <v>50.2</v>
      </c>
      <c r="I7" s="7" t="n">
        <v>64.09999999999999</v>
      </c>
      <c r="J7" s="7" t="n">
        <v>85.2</v>
      </c>
      <c r="K7" s="7" t="n">
        <v>96.7</v>
      </c>
      <c r="M7" s="6" t="inlineStr">
        <is>
          <t>15min</t>
        </is>
      </c>
      <c r="N7" s="6" t="n">
        <v>10.5</v>
      </c>
      <c r="O7" s="6" t="n">
        <v>16.6</v>
      </c>
      <c r="P7" s="6" t="n">
        <v>21.1</v>
      </c>
      <c r="Q7" s="6" t="n">
        <v>27.3</v>
      </c>
      <c r="R7" s="6" t="n">
        <v>32.4</v>
      </c>
      <c r="S7" s="6" t="n">
        <v>37.8</v>
      </c>
      <c r="T7" s="6" t="n">
        <v>43.6</v>
      </c>
      <c r="U7" s="6" t="n">
        <v>52</v>
      </c>
      <c r="V7" s="6" t="n">
        <v>59</v>
      </c>
      <c r="W7" s="6" t="n">
        <v>66.5</v>
      </c>
      <c r="X7" s="6" t="n">
        <v>77.40000000000001</v>
      </c>
      <c r="Y7" s="6" t="n">
        <v>86.3</v>
      </c>
    </row>
    <row r="8">
      <c r="A8" s="6" t="n">
        <v>1997</v>
      </c>
      <c r="B8" s="7" t="n">
        <v>5.2</v>
      </c>
      <c r="C8" s="7" t="n">
        <v>7.4</v>
      </c>
      <c r="D8" s="7" t="n">
        <v>8.6</v>
      </c>
      <c r="E8" s="7" t="n">
        <v>11.4</v>
      </c>
      <c r="F8" s="7" t="n">
        <v>15.8</v>
      </c>
      <c r="G8" s="7" t="n">
        <v>24</v>
      </c>
      <c r="H8" s="7" t="n">
        <v>31.8</v>
      </c>
      <c r="I8" s="7" t="n">
        <v>33.1</v>
      </c>
      <c r="J8" s="7" t="n">
        <v>46</v>
      </c>
      <c r="K8" s="7" t="n">
        <v>55.8</v>
      </c>
      <c r="M8" s="6" t="inlineStr">
        <is>
          <t>30min</t>
        </is>
      </c>
      <c r="N8" s="6" t="n">
        <v>14.7</v>
      </c>
      <c r="O8" s="6" t="n">
        <v>23.4</v>
      </c>
      <c r="P8" s="6" t="n">
        <v>29.6</v>
      </c>
      <c r="Q8" s="6" t="n">
        <v>37.9</v>
      </c>
      <c r="R8" s="6" t="n">
        <v>44.5</v>
      </c>
      <c r="S8" s="6" t="n">
        <v>51.3</v>
      </c>
      <c r="T8" s="6" t="n">
        <v>58.5</v>
      </c>
      <c r="U8" s="6" t="n">
        <v>68.5</v>
      </c>
      <c r="V8" s="6" t="n">
        <v>76.5</v>
      </c>
      <c r="W8" s="6" t="n">
        <v>84.90000000000001</v>
      </c>
      <c r="X8" s="6" t="n">
        <v>96.7</v>
      </c>
      <c r="Y8" s="6" t="n">
        <v>106.1</v>
      </c>
    </row>
    <row r="9">
      <c r="A9" s="6" t="n">
        <v>1998</v>
      </c>
      <c r="B9" s="7" t="n">
        <v>8</v>
      </c>
      <c r="C9" s="7" t="n">
        <v>15</v>
      </c>
      <c r="D9" s="7" t="n">
        <v>19.8</v>
      </c>
      <c r="E9" s="7" t="n">
        <v>27</v>
      </c>
      <c r="F9" s="7" t="n">
        <v>28.9</v>
      </c>
      <c r="G9" s="7" t="n">
        <v>30.6</v>
      </c>
      <c r="H9" s="7" t="n">
        <v>32.4</v>
      </c>
      <c r="I9" s="7" t="n">
        <v>36.5</v>
      </c>
      <c r="J9" s="7" t="n">
        <v>47.7</v>
      </c>
      <c r="K9" s="7" t="n">
        <v>51.8</v>
      </c>
      <c r="M9" s="6" t="inlineStr">
        <is>
          <t>1h</t>
        </is>
      </c>
      <c r="N9" s="6" t="n">
        <v>18.3</v>
      </c>
      <c r="O9" s="6" t="n">
        <v>29.5</v>
      </c>
      <c r="P9" s="6" t="n">
        <v>37.5</v>
      </c>
      <c r="Q9" s="6" t="n">
        <v>48.5</v>
      </c>
      <c r="R9" s="6" t="n">
        <v>57.3</v>
      </c>
      <c r="S9" s="6" t="n">
        <v>66.59999999999999</v>
      </c>
      <c r="T9" s="6" t="n">
        <v>76.5</v>
      </c>
      <c r="U9" s="6" t="n">
        <v>90.5</v>
      </c>
      <c r="V9" s="6" t="n">
        <v>102</v>
      </c>
      <c r="W9" s="6" t="n">
        <v>114.2</v>
      </c>
      <c r="X9" s="6" t="n">
        <v>131.6</v>
      </c>
      <c r="Y9" s="6" t="n">
        <v>145.7</v>
      </c>
    </row>
    <row r="10">
      <c r="A10" s="6" t="n">
        <v>1999</v>
      </c>
      <c r="B10" s="7" t="n">
        <v>3</v>
      </c>
      <c r="C10" s="7" t="n">
        <v>5.2</v>
      </c>
      <c r="D10" s="7" t="n">
        <v>6.2</v>
      </c>
      <c r="E10" s="7" t="n">
        <v>6.8</v>
      </c>
      <c r="F10" s="7" t="n">
        <v>6.9</v>
      </c>
      <c r="G10" s="7" t="n">
        <v>7</v>
      </c>
      <c r="H10" s="7" t="n">
        <v>13.3</v>
      </c>
      <c r="I10" s="7" t="n">
        <v>14.3</v>
      </c>
      <c r="J10" s="7" t="n">
        <v>16.6</v>
      </c>
      <c r="K10" s="7" t="n">
        <v>16.7</v>
      </c>
      <c r="M10" s="6" t="inlineStr">
        <is>
          <t>2h</t>
        </is>
      </c>
      <c r="N10" s="6" t="n">
        <v>21.2</v>
      </c>
      <c r="O10" s="6" t="n">
        <v>35</v>
      </c>
      <c r="P10" s="6" t="n">
        <v>45.5</v>
      </c>
      <c r="Q10" s="6" t="n">
        <v>60.3</v>
      </c>
      <c r="R10" s="6" t="n">
        <v>72.59999999999999</v>
      </c>
      <c r="S10" s="6" t="n">
        <v>86</v>
      </c>
      <c r="T10" s="6" t="n">
        <v>100.8</v>
      </c>
      <c r="U10" s="6" t="n">
        <v>122.5</v>
      </c>
      <c r="V10" s="6" t="n">
        <v>140.9</v>
      </c>
      <c r="W10" s="6" t="n">
        <v>161.1</v>
      </c>
      <c r="X10" s="6" t="n">
        <v>190.9</v>
      </c>
      <c r="Y10" s="6" t="n">
        <v>216.1</v>
      </c>
    </row>
    <row r="11">
      <c r="A11" s="6" t="n">
        <v>2000</v>
      </c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M11" s="6" t="inlineStr">
        <is>
          <t>3h</t>
        </is>
      </c>
      <c r="N11" s="6" t="n">
        <v>22.6</v>
      </c>
      <c r="O11" s="6" t="n">
        <v>38.4</v>
      </c>
      <c r="P11" s="6" t="n">
        <v>51</v>
      </c>
      <c r="Q11" s="6" t="n">
        <v>69.59999999999999</v>
      </c>
      <c r="R11" s="6" t="n">
        <v>85.90000000000001</v>
      </c>
      <c r="S11" s="6" t="n">
        <v>104.3</v>
      </c>
      <c r="T11" s="6" t="n">
        <v>125.2</v>
      </c>
      <c r="U11" s="6" t="n">
        <v>157.5</v>
      </c>
      <c r="V11" s="6" t="n">
        <v>186</v>
      </c>
      <c r="W11" s="6" t="n">
        <v>218.5</v>
      </c>
      <c r="X11" s="6" t="n">
        <v>268.7</v>
      </c>
      <c r="Y11" s="6" t="n">
        <v>313</v>
      </c>
    </row>
    <row r="12">
      <c r="A12" s="6" t="n">
        <v>2001</v>
      </c>
      <c r="B12" s="7" t="n"/>
      <c r="C12" s="7" t="n"/>
      <c r="D12" s="7" t="n"/>
      <c r="E12" s="7" t="n"/>
      <c r="F12" s="7" t="n"/>
      <c r="G12" s="7" t="n"/>
      <c r="H12" s="7" t="n"/>
      <c r="I12" s="7" t="n"/>
      <c r="J12" s="7" t="n"/>
      <c r="K12" s="7" t="n"/>
      <c r="M12" s="6" t="inlineStr">
        <is>
          <t>6h</t>
        </is>
      </c>
      <c r="N12" s="6" t="n">
        <v>25.4</v>
      </c>
      <c r="O12" s="6" t="n">
        <v>44.6</v>
      </c>
      <c r="P12" s="6" t="n">
        <v>60.4</v>
      </c>
      <c r="Q12" s="6" t="n">
        <v>84.7</v>
      </c>
      <c r="R12" s="6" t="n">
        <v>106.4</v>
      </c>
      <c r="S12" s="6" t="n">
        <v>131.6</v>
      </c>
      <c r="T12" s="6" t="n">
        <v>161.2</v>
      </c>
      <c r="U12" s="6" t="n">
        <v>208.1</v>
      </c>
      <c r="V12" s="6" t="n">
        <v>250.7</v>
      </c>
      <c r="W12" s="6" t="n">
        <v>300.6</v>
      </c>
      <c r="X12" s="6" t="n">
        <v>379.9</v>
      </c>
      <c r="Y12" s="6" t="n">
        <v>452</v>
      </c>
    </row>
    <row r="13">
      <c r="A13" s="6" t="n">
        <v>2002</v>
      </c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M13" s="6" t="inlineStr">
        <is>
          <t>12h</t>
        </is>
      </c>
      <c r="N13" s="6" t="n">
        <v>28.2</v>
      </c>
      <c r="O13" s="6" t="n">
        <v>50.8</v>
      </c>
      <c r="P13" s="6" t="n">
        <v>70</v>
      </c>
      <c r="Q13" s="6" t="n">
        <v>100.1</v>
      </c>
      <c r="R13" s="6" t="n">
        <v>127.8</v>
      </c>
      <c r="S13" s="6" t="n">
        <v>160.8</v>
      </c>
      <c r="T13" s="6" t="n">
        <v>200.2</v>
      </c>
      <c r="U13" s="6" t="n">
        <v>264.3</v>
      </c>
      <c r="V13" s="6" t="n">
        <v>324.1</v>
      </c>
      <c r="W13" s="6" t="n">
        <v>395.7</v>
      </c>
      <c r="X13" s="6" t="n">
        <v>512.4</v>
      </c>
      <c r="Y13" s="6" t="n">
        <v>621.2</v>
      </c>
    </row>
    <row r="14">
      <c r="A14" s="6" t="n">
        <v>2003</v>
      </c>
      <c r="B14" s="7" t="n"/>
      <c r="C14" s="7" t="n"/>
      <c r="D14" s="7" t="n"/>
      <c r="E14" s="7" t="n"/>
      <c r="F14" s="7" t="n"/>
      <c r="G14" s="7" t="n"/>
      <c r="H14" s="7" t="n"/>
      <c r="I14" s="7" t="n"/>
      <c r="J14" s="7" t="n"/>
      <c r="K14" s="7" t="n"/>
      <c r="M14" s="6" t="inlineStr">
        <is>
          <t>24h</t>
        </is>
      </c>
      <c r="N14" s="6" t="n">
        <v>33.7</v>
      </c>
      <c r="O14" s="6" t="n">
        <v>60.9</v>
      </c>
      <c r="P14" s="6" t="n">
        <v>83.3</v>
      </c>
      <c r="Q14" s="6" t="n">
        <v>117.7</v>
      </c>
      <c r="R14" s="6" t="n">
        <v>148.6</v>
      </c>
      <c r="S14" s="6" t="n">
        <v>184.5</v>
      </c>
      <c r="T14" s="6" t="n">
        <v>226.5</v>
      </c>
      <c r="U14" s="6" t="n">
        <v>293.3</v>
      </c>
      <c r="V14" s="6" t="n">
        <v>354</v>
      </c>
      <c r="W14" s="6" t="n">
        <v>425.2</v>
      </c>
      <c r="X14" s="6" t="n">
        <v>538.3</v>
      </c>
      <c r="Y14" s="6" t="n">
        <v>641.3</v>
      </c>
    </row>
    <row r="15">
      <c r="A15" s="6" t="n">
        <v>2004</v>
      </c>
      <c r="B15" s="7" t="n">
        <v>3.6</v>
      </c>
      <c r="C15" s="7" t="n">
        <v>6.4</v>
      </c>
      <c r="D15" s="7" t="n">
        <v>7</v>
      </c>
      <c r="E15" s="7" t="n">
        <v>8.4</v>
      </c>
      <c r="F15" s="7" t="n">
        <v>8.699999999999999</v>
      </c>
      <c r="G15" s="7" t="n">
        <v>8.800000000000001</v>
      </c>
      <c r="H15" s="7" t="n">
        <v>8.800000000000001</v>
      </c>
      <c r="I15" s="7" t="n">
        <v>8.9</v>
      </c>
      <c r="J15" s="7" t="n">
        <v>9</v>
      </c>
      <c r="K15" s="7" t="n">
        <v>9.199999999999999</v>
      </c>
    </row>
    <row r="16">
      <c r="A16" s="6" t="n">
        <v>2005</v>
      </c>
      <c r="B16" s="7" t="n">
        <v>6.2</v>
      </c>
      <c r="C16" s="7" t="n">
        <v>9.6</v>
      </c>
      <c r="D16" s="7" t="n">
        <v>11</v>
      </c>
      <c r="E16" s="7" t="n">
        <v>15</v>
      </c>
      <c r="F16" s="7" t="n">
        <v>19.2</v>
      </c>
      <c r="G16" s="7" t="n">
        <v>22.8</v>
      </c>
      <c r="H16" s="7" t="n">
        <v>23.8</v>
      </c>
      <c r="I16" s="7" t="n">
        <v>35</v>
      </c>
      <c r="J16" s="7" t="n">
        <v>48.2</v>
      </c>
      <c r="K16" s="7" t="n">
        <v>71.3</v>
      </c>
      <c r="M16" s="3" t="inlineStr">
        <is>
          <t>IDF - intensity (mm/hr) [x=duration(min)]</t>
        </is>
      </c>
    </row>
    <row r="17">
      <c r="A17" s="6" t="n">
        <v>2006</v>
      </c>
      <c r="B17" s="7" t="n">
        <v>8.199999999999999</v>
      </c>
      <c r="C17" s="7" t="n">
        <v>15.6</v>
      </c>
      <c r="D17" s="7" t="n">
        <v>21</v>
      </c>
      <c r="E17" s="7" t="n">
        <v>28</v>
      </c>
      <c r="F17" s="7" t="n">
        <v>33.8</v>
      </c>
      <c r="G17" s="7" t="n">
        <v>34.7</v>
      </c>
      <c r="H17" s="7" t="n">
        <v>35.4</v>
      </c>
      <c r="I17" s="7" t="n">
        <v>35.4</v>
      </c>
      <c r="J17" s="7" t="n">
        <v>35.5</v>
      </c>
      <c r="K17" s="7" t="n">
        <v>35.6</v>
      </c>
      <c r="M17" t="inlineStr">
        <is>
          <t>Duration(min)</t>
        </is>
      </c>
      <c r="N17" t="inlineStr">
        <is>
          <t>2 yr</t>
        </is>
      </c>
      <c r="O17" t="inlineStr">
        <is>
          <t>5 yr</t>
        </is>
      </c>
      <c r="P17" t="inlineStr">
        <is>
          <t>10 yr</t>
        </is>
      </c>
      <c r="Q17" t="inlineStr">
        <is>
          <t>25 yr</t>
        </is>
      </c>
      <c r="R17" t="inlineStr">
        <is>
          <t>50 yr</t>
        </is>
      </c>
      <c r="S17" t="inlineStr">
        <is>
          <t>100 yr</t>
        </is>
      </c>
      <c r="T17" t="inlineStr">
        <is>
          <t>200 yr</t>
        </is>
      </c>
      <c r="U17" t="inlineStr">
        <is>
          <t>500 yr</t>
        </is>
      </c>
      <c r="V17" t="inlineStr">
        <is>
          <t>1000 yr</t>
        </is>
      </c>
      <c r="W17" t="inlineStr">
        <is>
          <t>2000 yr</t>
        </is>
      </c>
      <c r="X17" t="inlineStr">
        <is>
          <t>5000 yr</t>
        </is>
      </c>
      <c r="Y17" t="inlineStr">
        <is>
          <t>10000 yr</t>
        </is>
      </c>
    </row>
    <row r="18">
      <c r="A18" s="6" t="n">
        <v>2007</v>
      </c>
      <c r="B18" s="7" t="n">
        <v>2.4</v>
      </c>
      <c r="C18" s="7" t="n">
        <v>4</v>
      </c>
      <c r="D18" s="7" t="n">
        <v>5</v>
      </c>
      <c r="E18" s="7" t="n">
        <v>7.8</v>
      </c>
      <c r="F18" s="7" t="n">
        <v>12</v>
      </c>
      <c r="G18" s="7" t="n">
        <v>15.8</v>
      </c>
      <c r="H18" s="7" t="n">
        <v>20.6</v>
      </c>
      <c r="I18" s="7" t="n">
        <v>25</v>
      </c>
      <c r="J18" s="7" t="n">
        <v>25.1</v>
      </c>
      <c r="K18" s="7" t="n">
        <v>26.8</v>
      </c>
      <c r="M18" t="n">
        <v>5</v>
      </c>
      <c r="N18" t="n">
        <v>61.3</v>
      </c>
      <c r="O18" t="n">
        <v>94.59999999999999</v>
      </c>
      <c r="P18" t="n">
        <v>118.2</v>
      </c>
      <c r="Q18" t="n">
        <v>150.1</v>
      </c>
      <c r="R18" t="n">
        <v>175.3</v>
      </c>
      <c r="S18" t="n">
        <v>201.7</v>
      </c>
      <c r="T18" t="n">
        <v>229.4</v>
      </c>
      <c r="U18" t="n">
        <v>268.3</v>
      </c>
      <c r="V18" t="n">
        <v>299.5</v>
      </c>
      <c r="W18" t="n">
        <v>332.4</v>
      </c>
      <c r="X18" t="n">
        <v>378.6</v>
      </c>
      <c r="Y18" t="n">
        <v>415.8</v>
      </c>
    </row>
    <row r="19">
      <c r="A19" s="6" t="n">
        <v>2008</v>
      </c>
      <c r="B19" s="7" t="n">
        <v>3.8</v>
      </c>
      <c r="C19" s="7" t="n">
        <v>6.8</v>
      </c>
      <c r="D19" s="7" t="n">
        <v>7.4</v>
      </c>
      <c r="E19" s="7" t="n">
        <v>7.5</v>
      </c>
      <c r="F19" s="7" t="n">
        <v>11.6</v>
      </c>
      <c r="G19" s="7" t="n">
        <v>14.2</v>
      </c>
      <c r="H19" s="7" t="n">
        <v>14.2</v>
      </c>
      <c r="I19" s="7" t="n">
        <v>14.2</v>
      </c>
      <c r="J19" s="7" t="n">
        <v>14.3</v>
      </c>
      <c r="K19" s="7" t="n">
        <v>14.4</v>
      </c>
      <c r="M19" t="n">
        <v>10</v>
      </c>
      <c r="N19" t="n">
        <v>49.6</v>
      </c>
      <c r="O19" t="n">
        <v>77.59999999999999</v>
      </c>
      <c r="P19" t="n">
        <v>97.90000000000001</v>
      </c>
      <c r="Q19" t="n">
        <v>126</v>
      </c>
      <c r="R19" t="n">
        <v>148.6</v>
      </c>
      <c r="S19" t="n">
        <v>172.7</v>
      </c>
      <c r="T19" t="n">
        <v>198.5</v>
      </c>
      <c r="U19" t="n">
        <v>235.4</v>
      </c>
      <c r="V19" t="n">
        <v>265.6</v>
      </c>
      <c r="W19" t="n">
        <v>298</v>
      </c>
      <c r="X19" t="n">
        <v>344.5</v>
      </c>
      <c r="Y19" t="n">
        <v>382.6</v>
      </c>
    </row>
    <row r="20">
      <c r="A20" s="6" t="n">
        <v>2009</v>
      </c>
      <c r="B20" s="7" t="n">
        <v>2</v>
      </c>
      <c r="C20" s="7" t="n">
        <v>3.6</v>
      </c>
      <c r="D20" s="7" t="n">
        <v>5</v>
      </c>
      <c r="E20" s="7" t="n">
        <v>5.2</v>
      </c>
      <c r="F20" s="7" t="n">
        <v>5.3</v>
      </c>
      <c r="G20" s="7" t="n">
        <v>5.3</v>
      </c>
      <c r="H20" s="7" t="n">
        <v>5.4</v>
      </c>
      <c r="I20" s="7" t="n">
        <v>5.4</v>
      </c>
      <c r="J20" s="7" t="n">
        <v>5.5</v>
      </c>
      <c r="K20" s="7" t="n">
        <v>5.6</v>
      </c>
      <c r="M20" t="n">
        <v>15</v>
      </c>
      <c r="N20" t="n">
        <v>42</v>
      </c>
      <c r="O20" t="n">
        <v>66.40000000000001</v>
      </c>
      <c r="P20" t="n">
        <v>84.3</v>
      </c>
      <c r="Q20" t="n">
        <v>109.2</v>
      </c>
      <c r="R20" t="n">
        <v>129.4</v>
      </c>
      <c r="S20" t="n">
        <v>151.1</v>
      </c>
      <c r="T20" t="n">
        <v>174.5</v>
      </c>
      <c r="U20" t="n">
        <v>208.2</v>
      </c>
      <c r="V20" t="n">
        <v>236</v>
      </c>
      <c r="W20" t="n">
        <v>266</v>
      </c>
      <c r="X20" t="n">
        <v>309.4</v>
      </c>
      <c r="Y20" t="n">
        <v>345.3</v>
      </c>
    </row>
    <row r="21">
      <c r="A21" s="6" t="n">
        <v>2010</v>
      </c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M21" t="n">
        <v>30</v>
      </c>
      <c r="N21" t="n">
        <v>29.3</v>
      </c>
      <c r="O21" t="n">
        <v>46.8</v>
      </c>
      <c r="P21" t="n">
        <v>59.2</v>
      </c>
      <c r="Q21" t="n">
        <v>75.8</v>
      </c>
      <c r="R21" t="n">
        <v>88.90000000000001</v>
      </c>
      <c r="S21" t="n">
        <v>102.6</v>
      </c>
      <c r="T21" t="n">
        <v>116.9</v>
      </c>
      <c r="U21" t="n">
        <v>136.9</v>
      </c>
      <c r="V21" t="n">
        <v>152.9</v>
      </c>
      <c r="W21" t="n">
        <v>169.8</v>
      </c>
      <c r="X21" t="n">
        <v>193.3</v>
      </c>
      <c r="Y21" t="n">
        <v>212.2</v>
      </c>
    </row>
    <row r="22">
      <c r="A22" s="6" t="n">
        <v>2011</v>
      </c>
      <c r="B22" s="7" t="n"/>
      <c r="C22" s="7" t="n"/>
      <c r="D22" s="7" t="n"/>
      <c r="E22" s="7" t="n"/>
      <c r="F22" s="7" t="n"/>
      <c r="G22" s="7" t="n"/>
      <c r="H22" s="7" t="n"/>
      <c r="I22" s="7" t="n"/>
      <c r="J22" s="7" t="n"/>
      <c r="K22" s="7" t="n"/>
      <c r="M22" t="n">
        <v>60</v>
      </c>
      <c r="N22" t="n">
        <v>18.3</v>
      </c>
      <c r="O22" t="n">
        <v>29.5</v>
      </c>
      <c r="P22" t="n">
        <v>37.5</v>
      </c>
      <c r="Q22" t="n">
        <v>48.5</v>
      </c>
      <c r="R22" t="n">
        <v>57.3</v>
      </c>
      <c r="S22" t="n">
        <v>66.59999999999999</v>
      </c>
      <c r="T22" t="n">
        <v>76.5</v>
      </c>
      <c r="U22" t="n">
        <v>90.5</v>
      </c>
      <c r="V22" t="n">
        <v>102</v>
      </c>
      <c r="W22" t="n">
        <v>114.2</v>
      </c>
      <c r="X22" t="n">
        <v>131.6</v>
      </c>
      <c r="Y22" t="n">
        <v>145.7</v>
      </c>
    </row>
    <row r="23">
      <c r="A23" s="6" t="n">
        <v>2012</v>
      </c>
      <c r="B23" s="7" t="n">
        <v>5.4</v>
      </c>
      <c r="C23" s="7" t="n">
        <v>10.6</v>
      </c>
      <c r="D23" s="7" t="n">
        <v>15.6</v>
      </c>
      <c r="E23" s="7" t="n">
        <v>17.9</v>
      </c>
      <c r="F23" s="7" t="n">
        <v>20.6</v>
      </c>
      <c r="G23" s="7" t="n">
        <v>31.2</v>
      </c>
      <c r="H23" s="7" t="n">
        <v>48.6</v>
      </c>
      <c r="I23" s="7" t="n">
        <v>51.3</v>
      </c>
      <c r="J23" s="7" t="n">
        <v>57.1</v>
      </c>
      <c r="K23" s="7" t="n">
        <v>57.4</v>
      </c>
      <c r="M23" t="n">
        <v>120</v>
      </c>
      <c r="N23" t="n">
        <v>10.6</v>
      </c>
      <c r="O23" t="n">
        <v>17.5</v>
      </c>
      <c r="P23" t="n">
        <v>22.7</v>
      </c>
      <c r="Q23" t="n">
        <v>30.1</v>
      </c>
      <c r="R23" t="n">
        <v>36.3</v>
      </c>
      <c r="S23" t="n">
        <v>43</v>
      </c>
      <c r="T23" t="n">
        <v>50.4</v>
      </c>
      <c r="U23" t="n">
        <v>61.3</v>
      </c>
      <c r="V23" t="n">
        <v>70.40000000000001</v>
      </c>
      <c r="W23" t="n">
        <v>80.5</v>
      </c>
      <c r="X23" t="n">
        <v>95.40000000000001</v>
      </c>
      <c r="Y23" t="n">
        <v>108</v>
      </c>
    </row>
    <row r="24">
      <c r="A24" s="6" t="n">
        <v>2013</v>
      </c>
      <c r="B24" s="7" t="n">
        <v>7.8</v>
      </c>
      <c r="C24" s="7" t="n">
        <v>15.4</v>
      </c>
      <c r="D24" s="7" t="n">
        <v>20.4</v>
      </c>
      <c r="E24" s="7" t="n">
        <v>33.2</v>
      </c>
      <c r="F24" s="7" t="n">
        <v>39.9</v>
      </c>
      <c r="G24" s="7" t="n">
        <v>42.9</v>
      </c>
      <c r="H24" s="7" t="n">
        <v>43.3</v>
      </c>
      <c r="I24" s="7" t="n">
        <v>47.1</v>
      </c>
      <c r="J24" s="7" t="n">
        <v>48.2</v>
      </c>
      <c r="K24" s="7" t="n">
        <v>56.4</v>
      </c>
      <c r="M24" t="n">
        <v>180</v>
      </c>
      <c r="N24" t="n">
        <v>7.5</v>
      </c>
      <c r="O24" t="n">
        <v>12.8</v>
      </c>
      <c r="P24" t="n">
        <v>17</v>
      </c>
      <c r="Q24" t="n">
        <v>23.2</v>
      </c>
      <c r="R24" t="n">
        <v>28.6</v>
      </c>
      <c r="S24" t="n">
        <v>34.8</v>
      </c>
      <c r="T24" t="n">
        <v>41.7</v>
      </c>
      <c r="U24" t="n">
        <v>52.5</v>
      </c>
      <c r="V24" t="n">
        <v>62</v>
      </c>
      <c r="W24" t="n">
        <v>72.8</v>
      </c>
      <c r="X24" t="n">
        <v>89.59999999999999</v>
      </c>
      <c r="Y24" t="n">
        <v>104.3</v>
      </c>
    </row>
    <row r="25">
      <c r="A25" s="6" t="n">
        <v>2014</v>
      </c>
      <c r="B25" s="7" t="n">
        <v>6.8</v>
      </c>
      <c r="C25" s="7" t="n">
        <v>11.2</v>
      </c>
      <c r="D25" s="7" t="n">
        <v>13.4</v>
      </c>
      <c r="E25" s="7" t="n">
        <v>19.2</v>
      </c>
      <c r="F25" s="7" t="n">
        <v>24.8</v>
      </c>
      <c r="G25" s="7" t="n">
        <v>25.8</v>
      </c>
      <c r="H25" s="7" t="n">
        <v>26.2</v>
      </c>
      <c r="I25" s="7" t="n">
        <v>26.2</v>
      </c>
      <c r="J25" s="7" t="n">
        <v>26.3</v>
      </c>
      <c r="K25" s="7" t="n">
        <v>26.5</v>
      </c>
      <c r="M25" t="n">
        <v>360</v>
      </c>
      <c r="N25" t="n">
        <v>4.2</v>
      </c>
      <c r="O25" t="n">
        <v>7.4</v>
      </c>
      <c r="P25" t="n">
        <v>10.1</v>
      </c>
      <c r="Q25" t="n">
        <v>14.1</v>
      </c>
      <c r="R25" t="n">
        <v>17.7</v>
      </c>
      <c r="S25" t="n">
        <v>21.9</v>
      </c>
      <c r="T25" t="n">
        <v>26.9</v>
      </c>
      <c r="U25" t="n">
        <v>34.7</v>
      </c>
      <c r="V25" t="n">
        <v>41.8</v>
      </c>
      <c r="W25" t="n">
        <v>50.1</v>
      </c>
      <c r="X25" t="n">
        <v>63.3</v>
      </c>
      <c r="Y25" t="n">
        <v>75.3</v>
      </c>
    </row>
    <row r="26">
      <c r="A26" s="6" t="n">
        <v>2015</v>
      </c>
      <c r="B26" s="7" t="n">
        <v>4.8</v>
      </c>
      <c r="C26" s="7" t="n">
        <v>7</v>
      </c>
      <c r="D26" s="7" t="n">
        <v>7.6</v>
      </c>
      <c r="E26" s="7" t="n">
        <v>13.6</v>
      </c>
      <c r="F26" s="7" t="n">
        <v>17.2</v>
      </c>
      <c r="G26" s="7" t="n">
        <v>20.6</v>
      </c>
      <c r="H26" s="7" t="n">
        <v>21.2</v>
      </c>
      <c r="I26" s="7" t="n">
        <v>21.4</v>
      </c>
      <c r="J26" s="7" t="n">
        <v>21.5</v>
      </c>
      <c r="K26" s="7" t="n">
        <v>21.6</v>
      </c>
      <c r="M26" t="n">
        <v>720</v>
      </c>
      <c r="N26" t="n">
        <v>2.4</v>
      </c>
      <c r="O26" t="n">
        <v>4.2</v>
      </c>
      <c r="P26" t="n">
        <v>5.8</v>
      </c>
      <c r="Q26" t="n">
        <v>8.300000000000001</v>
      </c>
      <c r="R26" t="n">
        <v>10.6</v>
      </c>
      <c r="S26" t="n">
        <v>13.4</v>
      </c>
      <c r="T26" t="n">
        <v>16.7</v>
      </c>
      <c r="U26" t="n">
        <v>22</v>
      </c>
      <c r="V26" t="n">
        <v>27</v>
      </c>
      <c r="W26" t="n">
        <v>33</v>
      </c>
      <c r="X26" t="n">
        <v>42.7</v>
      </c>
      <c r="Y26" t="n">
        <v>51.8</v>
      </c>
    </row>
    <row r="27">
      <c r="A27" s="6" t="n">
        <v>2016</v>
      </c>
      <c r="B27" s="7" t="n">
        <v>9</v>
      </c>
      <c r="C27" s="7" t="n">
        <v>13.4</v>
      </c>
      <c r="D27" s="7" t="n">
        <v>19.2</v>
      </c>
      <c r="E27" s="7" t="n">
        <v>29.8</v>
      </c>
      <c r="F27" s="7" t="n">
        <v>39</v>
      </c>
      <c r="G27" s="7" t="n">
        <v>39.9</v>
      </c>
      <c r="H27" s="7" t="n">
        <v>39.9</v>
      </c>
      <c r="I27" s="7" t="n">
        <v>40</v>
      </c>
      <c r="J27" s="7" t="n">
        <v>40.1</v>
      </c>
      <c r="K27" s="7" t="n">
        <v>44.6</v>
      </c>
      <c r="M27" t="n">
        <v>1440</v>
      </c>
      <c r="N27" t="n">
        <v>1.4</v>
      </c>
      <c r="O27" t="n">
        <v>2.5</v>
      </c>
      <c r="P27" t="n">
        <v>3.5</v>
      </c>
      <c r="Q27" t="n">
        <v>4.9</v>
      </c>
      <c r="R27" t="n">
        <v>6.2</v>
      </c>
      <c r="S27" t="n">
        <v>7.7</v>
      </c>
      <c r="T27" t="n">
        <v>9.4</v>
      </c>
      <c r="U27" t="n">
        <v>12.2</v>
      </c>
      <c r="V27" t="n">
        <v>14.8</v>
      </c>
      <c r="W27" t="n">
        <v>17.7</v>
      </c>
      <c r="X27" t="n">
        <v>22.4</v>
      </c>
      <c r="Y27" t="n">
        <v>26.7</v>
      </c>
    </row>
    <row r="30">
      <c r="A30" s="2" t="inlineStr">
        <is>
          <t>AMS AFTER gap filling (mm)  -  yellow = added or changed by gap filling</t>
        </is>
      </c>
    </row>
    <row r="31">
      <c r="A31" s="4" t="inlineStr">
        <is>
          <t>Water year</t>
        </is>
      </c>
      <c r="B31" s="5" t="inlineStr">
        <is>
          <t>5min</t>
        </is>
      </c>
      <c r="C31" s="5" t="inlineStr">
        <is>
          <t>10min</t>
        </is>
      </c>
      <c r="D31" s="5" t="inlineStr">
        <is>
          <t>15min</t>
        </is>
      </c>
      <c r="E31" s="5" t="inlineStr">
        <is>
          <t>30min</t>
        </is>
      </c>
      <c r="F31" s="5" t="inlineStr">
        <is>
          <t>1h</t>
        </is>
      </c>
      <c r="G31" s="5" t="inlineStr">
        <is>
          <t>2h</t>
        </is>
      </c>
      <c r="H31" s="5" t="inlineStr">
        <is>
          <t>3h</t>
        </is>
      </c>
      <c r="I31" s="5" t="inlineStr">
        <is>
          <t>6h</t>
        </is>
      </c>
      <c r="J31" s="5" t="inlineStr">
        <is>
          <t>12h</t>
        </is>
      </c>
      <c r="K31" s="5" t="inlineStr">
        <is>
          <t>24h</t>
        </is>
      </c>
    </row>
    <row r="32">
      <c r="A32" s="6" t="n">
        <v>1994</v>
      </c>
      <c r="B32" s="7" t="n"/>
      <c r="C32" s="7" t="n"/>
      <c r="D32" s="7" t="n">
        <v>23</v>
      </c>
      <c r="E32" s="7" t="n">
        <v>23.4</v>
      </c>
      <c r="F32" s="7" t="n">
        <v>23.9</v>
      </c>
      <c r="G32" s="7" t="n">
        <v>24.4</v>
      </c>
      <c r="H32" s="8" t="n">
        <v>32.1</v>
      </c>
      <c r="I32" s="8" t="n">
        <v>33.6</v>
      </c>
      <c r="J32" s="8" t="n">
        <v>34.6</v>
      </c>
      <c r="K32" s="8" t="n">
        <v>40.6</v>
      </c>
    </row>
    <row r="33">
      <c r="A33" s="6" t="n">
        <v>1995</v>
      </c>
      <c r="B33" s="7" t="n">
        <v>5.6</v>
      </c>
      <c r="C33" s="7" t="n">
        <v>10.8</v>
      </c>
      <c r="D33" s="7" t="n">
        <v>16</v>
      </c>
      <c r="E33" s="7" t="n">
        <v>27.6</v>
      </c>
      <c r="F33" s="7" t="n">
        <v>29.6</v>
      </c>
      <c r="G33" s="7" t="n">
        <v>32.2</v>
      </c>
      <c r="H33" s="7" t="n">
        <v>34.4</v>
      </c>
      <c r="I33" s="7" t="n">
        <v>44.1</v>
      </c>
      <c r="J33" s="7" t="n">
        <v>61.8</v>
      </c>
      <c r="K33" s="7" t="n">
        <v>73.5</v>
      </c>
    </row>
    <row r="34">
      <c r="A34" s="6" t="n">
        <v>1996</v>
      </c>
      <c r="B34" s="7" t="n">
        <v>5.4</v>
      </c>
      <c r="C34" s="7" t="n">
        <v>8.4</v>
      </c>
      <c r="D34" s="7" t="n">
        <v>11.2</v>
      </c>
      <c r="E34" s="7" t="n">
        <v>17.2</v>
      </c>
      <c r="F34" s="7" t="n">
        <v>24.2</v>
      </c>
      <c r="G34" s="7" t="n">
        <v>39.8</v>
      </c>
      <c r="H34" s="7" t="n">
        <v>50.2</v>
      </c>
      <c r="I34" s="7" t="n">
        <v>64.09999999999999</v>
      </c>
      <c r="J34" s="7" t="n">
        <v>85.2</v>
      </c>
      <c r="K34" s="7" t="n">
        <v>96.7</v>
      </c>
    </row>
    <row r="35">
      <c r="A35" s="6" t="n">
        <v>1997</v>
      </c>
      <c r="B35" s="7" t="n">
        <v>5.2</v>
      </c>
      <c r="C35" s="7" t="n">
        <v>7.4</v>
      </c>
      <c r="D35" s="7" t="n">
        <v>8.6</v>
      </c>
      <c r="E35" s="7" t="n">
        <v>11.4</v>
      </c>
      <c r="F35" s="7" t="n">
        <v>15.8</v>
      </c>
      <c r="G35" s="7" t="n">
        <v>24</v>
      </c>
      <c r="H35" s="7" t="n">
        <v>31.8</v>
      </c>
      <c r="I35" s="7" t="n">
        <v>33.1</v>
      </c>
      <c r="J35" s="7" t="n">
        <v>46</v>
      </c>
      <c r="K35" s="8" t="n">
        <v>56.3</v>
      </c>
    </row>
    <row r="36">
      <c r="A36" s="6" t="n">
        <v>1998</v>
      </c>
      <c r="B36" s="7" t="n">
        <v>8</v>
      </c>
      <c r="C36" s="7" t="n">
        <v>15</v>
      </c>
      <c r="D36" s="7" t="n">
        <v>19.8</v>
      </c>
      <c r="E36" s="7" t="n">
        <v>27</v>
      </c>
      <c r="F36" s="7" t="n">
        <v>28.9</v>
      </c>
      <c r="G36" s="7" t="n">
        <v>30.6</v>
      </c>
      <c r="H36" s="7" t="n">
        <v>32.4</v>
      </c>
      <c r="I36" s="7" t="n">
        <v>36.5</v>
      </c>
      <c r="J36" s="7" t="n">
        <v>47.7</v>
      </c>
      <c r="K36" s="7" t="n">
        <v>51.8</v>
      </c>
    </row>
    <row r="37">
      <c r="A37" s="6" t="n">
        <v>1999</v>
      </c>
      <c r="B37" s="8" t="n">
        <v>5.3</v>
      </c>
      <c r="C37" s="8" t="n">
        <v>8.6</v>
      </c>
      <c r="D37" s="8" t="n">
        <v>11.5</v>
      </c>
      <c r="E37" s="8" t="n">
        <v>19</v>
      </c>
      <c r="F37" s="8" t="n">
        <v>28.4</v>
      </c>
      <c r="G37" s="8" t="n">
        <v>31.3</v>
      </c>
      <c r="H37" s="8" t="n">
        <v>31.4</v>
      </c>
      <c r="I37" s="8" t="n">
        <v>31.4</v>
      </c>
      <c r="J37" s="8" t="n">
        <v>31.6</v>
      </c>
      <c r="K37" s="8" t="n">
        <v>31.8</v>
      </c>
    </row>
    <row r="38">
      <c r="A38" s="6" t="n">
        <v>2000</v>
      </c>
      <c r="B38" s="8" t="n">
        <v>2.8</v>
      </c>
      <c r="C38" s="8" t="n">
        <v>4.2</v>
      </c>
      <c r="D38" s="8" t="n">
        <v>4.8</v>
      </c>
      <c r="E38" s="8" t="n">
        <v>5</v>
      </c>
      <c r="F38" s="8" t="n">
        <v>6.9</v>
      </c>
      <c r="G38" s="8" t="n">
        <v>6.9</v>
      </c>
      <c r="H38" s="8" t="n">
        <v>6.9</v>
      </c>
      <c r="I38" s="8" t="n">
        <v>7</v>
      </c>
      <c r="J38" s="8" t="n">
        <v>8.800000000000001</v>
      </c>
      <c r="K38" s="8" t="n">
        <v>14.2</v>
      </c>
    </row>
    <row r="39">
      <c r="A39" s="6" t="n">
        <v>2001</v>
      </c>
      <c r="B39" s="8" t="n">
        <v>4.3</v>
      </c>
      <c r="C39" s="8" t="n">
        <v>7.9</v>
      </c>
      <c r="D39" s="8" t="n">
        <v>11</v>
      </c>
      <c r="E39" s="8" t="n">
        <v>18.3</v>
      </c>
      <c r="F39" s="8" t="n">
        <v>24.9</v>
      </c>
      <c r="G39" s="8" t="n">
        <v>26.9</v>
      </c>
      <c r="H39" s="8" t="n">
        <v>27.3</v>
      </c>
      <c r="I39" s="8" t="n">
        <v>28.3</v>
      </c>
      <c r="J39" s="8" t="n">
        <v>30.3</v>
      </c>
      <c r="K39" s="8" t="n">
        <v>41.8</v>
      </c>
    </row>
    <row r="40">
      <c r="A40" s="6" t="n">
        <v>2002</v>
      </c>
      <c r="B40" s="8" t="n">
        <v>1.8</v>
      </c>
      <c r="C40" s="8" t="n">
        <v>3.1</v>
      </c>
      <c r="D40" s="8" t="n">
        <v>4.1</v>
      </c>
      <c r="E40" s="8" t="n">
        <v>5</v>
      </c>
      <c r="F40" s="8" t="n">
        <v>7</v>
      </c>
      <c r="G40" s="8" t="n">
        <v>9.199999999999999</v>
      </c>
      <c r="H40" s="8" t="n">
        <v>12.5</v>
      </c>
      <c r="I40" s="8" t="n">
        <v>12.5</v>
      </c>
      <c r="J40" s="8" t="n">
        <v>20.4</v>
      </c>
      <c r="K40" s="8" t="n">
        <v>35.3</v>
      </c>
    </row>
    <row r="41">
      <c r="A41" s="6" t="n">
        <v>2003</v>
      </c>
      <c r="B41" s="8" t="n">
        <v>2.7</v>
      </c>
      <c r="C41" s="8" t="n">
        <v>4.1</v>
      </c>
      <c r="D41" s="8" t="n">
        <v>5.8</v>
      </c>
      <c r="E41" s="8" t="n">
        <v>8.1</v>
      </c>
      <c r="F41" s="8" t="n">
        <v>11.4</v>
      </c>
      <c r="G41" s="8" t="n">
        <v>14.9</v>
      </c>
      <c r="H41" s="8" t="n">
        <v>18.5</v>
      </c>
      <c r="I41" s="8" t="n">
        <v>21.6</v>
      </c>
      <c r="J41" s="8" t="n">
        <v>24.7</v>
      </c>
      <c r="K41" s="8" t="n">
        <v>37.8</v>
      </c>
    </row>
    <row r="42">
      <c r="A42" s="6" t="n">
        <v>2004</v>
      </c>
      <c r="B42" s="7" t="n">
        <v>3.6</v>
      </c>
      <c r="C42" s="7" t="n">
        <v>6.4</v>
      </c>
      <c r="D42" s="7" t="n">
        <v>7</v>
      </c>
      <c r="E42" s="7" t="n">
        <v>8.4</v>
      </c>
      <c r="F42" s="7" t="n">
        <v>8.699999999999999</v>
      </c>
      <c r="G42" s="7" t="n">
        <v>8.800000000000001</v>
      </c>
      <c r="H42" s="7" t="n">
        <v>8.800000000000001</v>
      </c>
      <c r="I42" s="7" t="n">
        <v>8.9</v>
      </c>
      <c r="J42" s="8" t="n">
        <v>11.3</v>
      </c>
      <c r="K42" s="8" t="n">
        <v>13.2</v>
      </c>
    </row>
    <row r="43">
      <c r="A43" s="6" t="n">
        <v>2005</v>
      </c>
      <c r="B43" s="7" t="n">
        <v>6.2</v>
      </c>
      <c r="C43" s="7" t="n">
        <v>9.6</v>
      </c>
      <c r="D43" s="7" t="n">
        <v>11</v>
      </c>
      <c r="E43" s="7" t="n">
        <v>15</v>
      </c>
      <c r="F43" s="7" t="n">
        <v>19.2</v>
      </c>
      <c r="G43" s="7" t="n">
        <v>22.8</v>
      </c>
      <c r="H43" s="7" t="n">
        <v>23.8</v>
      </c>
      <c r="I43" s="7" t="n">
        <v>35</v>
      </c>
      <c r="J43" s="7" t="n">
        <v>48.2</v>
      </c>
      <c r="K43" s="7" t="n">
        <v>71.3</v>
      </c>
    </row>
    <row r="44">
      <c r="A44" s="6" t="n">
        <v>2006</v>
      </c>
      <c r="B44" s="7" t="n">
        <v>8.199999999999999</v>
      </c>
      <c r="C44" s="7" t="n">
        <v>15.6</v>
      </c>
      <c r="D44" s="7" t="n">
        <v>21</v>
      </c>
      <c r="E44" s="7" t="n">
        <v>28</v>
      </c>
      <c r="F44" s="7" t="n">
        <v>33.8</v>
      </c>
      <c r="G44" s="7" t="n">
        <v>34.7</v>
      </c>
      <c r="H44" s="7" t="n">
        <v>35.4</v>
      </c>
      <c r="I44" s="7" t="n">
        <v>35.4</v>
      </c>
      <c r="J44" s="7" t="n">
        <v>35.5</v>
      </c>
      <c r="K44" s="7" t="n">
        <v>35.6</v>
      </c>
    </row>
    <row r="45">
      <c r="A45" s="6" t="n">
        <v>2007</v>
      </c>
      <c r="B45" s="8" t="n">
        <v>5</v>
      </c>
      <c r="C45" s="8" t="n">
        <v>7.7</v>
      </c>
      <c r="D45" s="8" t="n">
        <v>11.3</v>
      </c>
      <c r="E45" s="8" t="n">
        <v>19.8</v>
      </c>
      <c r="F45" s="8" t="n">
        <v>29.7</v>
      </c>
      <c r="G45" s="8" t="n">
        <v>41.7</v>
      </c>
      <c r="H45" s="8" t="n">
        <v>47.3</v>
      </c>
      <c r="I45" s="8" t="n">
        <v>52.1</v>
      </c>
      <c r="J45" s="8" t="n">
        <v>62.6</v>
      </c>
      <c r="K45" s="8" t="n">
        <v>63.9</v>
      </c>
    </row>
    <row r="46">
      <c r="A46" s="6" t="n">
        <v>2008</v>
      </c>
      <c r="B46" s="7" t="n">
        <v>3.8</v>
      </c>
      <c r="C46" s="7" t="n">
        <v>6.8</v>
      </c>
      <c r="D46" s="7" t="n">
        <v>7.4</v>
      </c>
      <c r="E46" s="7" t="n">
        <v>7.5</v>
      </c>
      <c r="F46" s="7" t="n">
        <v>11.6</v>
      </c>
      <c r="G46" s="7" t="n">
        <v>14.2</v>
      </c>
      <c r="H46" s="7" t="n">
        <v>14.2</v>
      </c>
      <c r="I46" s="7" t="n">
        <v>14.2</v>
      </c>
      <c r="J46" s="7" t="n">
        <v>14.3</v>
      </c>
      <c r="K46" s="7" t="n">
        <v>14.4</v>
      </c>
    </row>
    <row r="47">
      <c r="A47" s="6" t="n">
        <v>2009</v>
      </c>
      <c r="B47" s="8" t="n">
        <v>3.6</v>
      </c>
      <c r="C47" s="8" t="n">
        <v>6.7</v>
      </c>
      <c r="D47" s="8" t="n">
        <v>8</v>
      </c>
      <c r="E47" s="8" t="n">
        <v>8.800000000000001</v>
      </c>
      <c r="F47" s="8" t="n">
        <v>8.800000000000001</v>
      </c>
      <c r="G47" s="8" t="n">
        <v>8.800000000000001</v>
      </c>
      <c r="H47" s="8" t="n">
        <v>8.800000000000001</v>
      </c>
      <c r="I47" s="8" t="n">
        <v>8.800000000000001</v>
      </c>
      <c r="J47" s="8" t="n">
        <v>8.9</v>
      </c>
      <c r="K47" s="8" t="n">
        <v>9</v>
      </c>
    </row>
    <row r="48">
      <c r="A48" s="6" t="n">
        <v>2010</v>
      </c>
      <c r="B48" s="8" t="n">
        <v>8.5</v>
      </c>
      <c r="C48" s="8" t="n">
        <v>16.4</v>
      </c>
      <c r="D48" s="8" t="n">
        <v>21.1</v>
      </c>
      <c r="E48" s="8" t="n">
        <v>25.9</v>
      </c>
      <c r="F48" s="8" t="n">
        <v>35.9</v>
      </c>
      <c r="G48" s="8" t="n">
        <v>49.9</v>
      </c>
      <c r="H48" s="8" t="n">
        <v>54.5</v>
      </c>
      <c r="I48" s="8" t="n">
        <v>67.09999999999999</v>
      </c>
      <c r="J48" s="8" t="n">
        <v>78.90000000000001</v>
      </c>
      <c r="K48" s="8" t="n">
        <v>81.40000000000001</v>
      </c>
    </row>
    <row r="49">
      <c r="A49" s="6" t="n">
        <v>2011</v>
      </c>
      <c r="B49" s="8" t="n">
        <v>6.6</v>
      </c>
      <c r="C49" s="8" t="n">
        <v>7.5</v>
      </c>
      <c r="D49" s="8" t="n">
        <v>9.800000000000001</v>
      </c>
      <c r="E49" s="8" t="n">
        <v>19</v>
      </c>
      <c r="F49" s="8" t="n">
        <v>24.7</v>
      </c>
      <c r="G49" s="8" t="n">
        <v>28</v>
      </c>
      <c r="H49" s="8" t="n">
        <v>31.2</v>
      </c>
      <c r="I49" s="8" t="n">
        <v>38.8</v>
      </c>
      <c r="J49" s="8" t="n">
        <v>43.2</v>
      </c>
      <c r="K49" s="8" t="n">
        <v>43.7</v>
      </c>
    </row>
    <row r="50">
      <c r="A50" s="6" t="n">
        <v>2012</v>
      </c>
      <c r="B50" s="8" t="n">
        <v>9.199999999999999</v>
      </c>
      <c r="C50" s="8" t="n">
        <v>12.5</v>
      </c>
      <c r="D50" s="7" t="n">
        <v>15.6</v>
      </c>
      <c r="E50" s="7" t="n">
        <v>17.9</v>
      </c>
      <c r="F50" s="7" t="n">
        <v>20.6</v>
      </c>
      <c r="G50" s="7" t="n">
        <v>31.2</v>
      </c>
      <c r="H50" s="7" t="n">
        <v>48.6</v>
      </c>
      <c r="I50" s="7" t="n">
        <v>51.3</v>
      </c>
      <c r="J50" s="7" t="n">
        <v>57.1</v>
      </c>
      <c r="K50" s="7" t="n">
        <v>57.4</v>
      </c>
    </row>
    <row r="51">
      <c r="A51" s="6" t="n">
        <v>2013</v>
      </c>
      <c r="B51" s="7" t="n">
        <v>7.8</v>
      </c>
      <c r="C51" s="7" t="n">
        <v>15.4</v>
      </c>
      <c r="D51" s="7" t="n">
        <v>20.4</v>
      </c>
      <c r="E51" s="7" t="n">
        <v>33.2</v>
      </c>
      <c r="F51" s="7" t="n">
        <v>39.9</v>
      </c>
      <c r="G51" s="7" t="n">
        <v>42.9</v>
      </c>
      <c r="H51" s="7" t="n">
        <v>43.3</v>
      </c>
      <c r="I51" s="7" t="n">
        <v>47.1</v>
      </c>
      <c r="J51" s="7" t="n">
        <v>48.2</v>
      </c>
      <c r="K51" s="7" t="n">
        <v>56.4</v>
      </c>
    </row>
    <row r="52">
      <c r="A52" s="6" t="n">
        <v>2014</v>
      </c>
      <c r="B52" s="7" t="n">
        <v>6.8</v>
      </c>
      <c r="C52" s="7" t="n">
        <v>11.2</v>
      </c>
      <c r="D52" s="7" t="n">
        <v>13.4</v>
      </c>
      <c r="E52" s="7" t="n">
        <v>19.2</v>
      </c>
      <c r="F52" s="7" t="n">
        <v>24.8</v>
      </c>
      <c r="G52" s="7" t="n">
        <v>25.8</v>
      </c>
      <c r="H52" s="7" t="n">
        <v>26.2</v>
      </c>
      <c r="I52" s="7" t="n">
        <v>26.2</v>
      </c>
      <c r="J52" s="7" t="n">
        <v>26.3</v>
      </c>
      <c r="K52" s="7" t="n">
        <v>26.5</v>
      </c>
    </row>
    <row r="53">
      <c r="A53" s="6" t="n">
        <v>2015</v>
      </c>
      <c r="B53" s="7" t="n">
        <v>4.8</v>
      </c>
      <c r="C53" s="7" t="n">
        <v>7</v>
      </c>
      <c r="D53" s="7" t="n">
        <v>7.6</v>
      </c>
      <c r="E53" s="7" t="n">
        <v>13.6</v>
      </c>
      <c r="F53" s="7" t="n">
        <v>17.2</v>
      </c>
      <c r="G53" s="7" t="n">
        <v>20.6</v>
      </c>
      <c r="H53" s="7" t="n">
        <v>21.2</v>
      </c>
      <c r="I53" s="7" t="n">
        <v>21.4</v>
      </c>
      <c r="J53" s="7" t="n">
        <v>21.5</v>
      </c>
      <c r="K53" s="7" t="n">
        <v>21.6</v>
      </c>
    </row>
    <row r="54">
      <c r="A54" s="6" t="n">
        <v>2016</v>
      </c>
      <c r="B54" s="7" t="n">
        <v>9</v>
      </c>
      <c r="C54" s="7" t="n">
        <v>13.4</v>
      </c>
      <c r="D54" s="7" t="n">
        <v>19.2</v>
      </c>
      <c r="E54" s="7" t="n">
        <v>29.8</v>
      </c>
      <c r="F54" s="7" t="n">
        <v>39</v>
      </c>
      <c r="G54" s="7" t="n">
        <v>39.9</v>
      </c>
      <c r="H54" s="7" t="n">
        <v>39.9</v>
      </c>
      <c r="I54" s="7" t="n">
        <v>40</v>
      </c>
      <c r="J54" s="7" t="n">
        <v>40.1</v>
      </c>
      <c r="K54" s="7" t="n">
        <v>44.6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Y92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</cols>
  <sheetData>
    <row r="1">
      <c r="A1" s="1" t="inlineStr">
        <is>
          <t>Gauge 48  |  FL455969AF  |  Al Bdayah 2 at Bdayah</t>
        </is>
      </c>
    </row>
    <row r="3">
      <c r="A3" s="2" t="inlineStr">
        <is>
          <t>AMS BEFORE gap filling (observed only, mm)</t>
        </is>
      </c>
      <c r="M3" s="3" t="inlineStr">
        <is>
          <t>IDF - design rainfall DEPTH (mm)</t>
        </is>
      </c>
    </row>
    <row r="4">
      <c r="A4" s="4" t="inlineStr">
        <is>
          <t>Water year</t>
        </is>
      </c>
      <c r="B4" s="5" t="inlineStr">
        <is>
          <t>5min</t>
        </is>
      </c>
      <c r="C4" s="5" t="inlineStr">
        <is>
          <t>10min</t>
        </is>
      </c>
      <c r="D4" s="5" t="inlineStr">
        <is>
          <t>15min</t>
        </is>
      </c>
      <c r="E4" s="5" t="inlineStr">
        <is>
          <t>30min</t>
        </is>
      </c>
      <c r="F4" s="5" t="inlineStr">
        <is>
          <t>1h</t>
        </is>
      </c>
      <c r="G4" s="5" t="inlineStr">
        <is>
          <t>2h</t>
        </is>
      </c>
      <c r="H4" s="5" t="inlineStr">
        <is>
          <t>3h</t>
        </is>
      </c>
      <c r="I4" s="5" t="inlineStr">
        <is>
          <t>6h</t>
        </is>
      </c>
      <c r="J4" s="5" t="inlineStr">
        <is>
          <t>12h</t>
        </is>
      </c>
      <c r="K4" s="5" t="inlineStr">
        <is>
          <t>24h</t>
        </is>
      </c>
      <c r="M4" s="4" t="inlineStr">
        <is>
          <t>Duration \ RP</t>
        </is>
      </c>
      <c r="N4" s="4" t="n">
        <v>2</v>
      </c>
      <c r="O4" s="4" t="n">
        <v>5</v>
      </c>
      <c r="P4" s="4" t="n">
        <v>10</v>
      </c>
      <c r="Q4" s="4" t="n">
        <v>25</v>
      </c>
      <c r="R4" s="4" t="n">
        <v>50</v>
      </c>
      <c r="S4" s="4" t="n">
        <v>100</v>
      </c>
      <c r="T4" s="4" t="n">
        <v>200</v>
      </c>
      <c r="U4" s="4" t="n">
        <v>500</v>
      </c>
      <c r="V4" s="4" t="n">
        <v>1000</v>
      </c>
      <c r="W4" s="4" t="n">
        <v>2000</v>
      </c>
      <c r="X4" s="4" t="n">
        <v>5000</v>
      </c>
      <c r="Y4" s="4" t="n">
        <v>10000</v>
      </c>
    </row>
    <row r="5">
      <c r="A5" s="6" t="n">
        <v>1978</v>
      </c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>
        <v>20</v>
      </c>
      <c r="M5" s="6" t="inlineStr">
        <is>
          <t>5min</t>
        </is>
      </c>
      <c r="N5" s="6" t="n">
        <v>5.2</v>
      </c>
      <c r="O5" s="6" t="n">
        <v>7.9</v>
      </c>
      <c r="P5" s="6" t="n">
        <v>9.9</v>
      </c>
      <c r="Q5" s="6" t="n">
        <v>12.6</v>
      </c>
      <c r="R5" s="6" t="n">
        <v>14.7</v>
      </c>
      <c r="S5" s="6" t="n">
        <v>16.9</v>
      </c>
      <c r="T5" s="6" t="n">
        <v>19.2</v>
      </c>
      <c r="U5" s="6" t="n">
        <v>22.4</v>
      </c>
      <c r="V5" s="6" t="n">
        <v>24.9</v>
      </c>
      <c r="W5" s="6" t="n">
        <v>27.6</v>
      </c>
      <c r="X5" s="6" t="n">
        <v>31.4</v>
      </c>
      <c r="Y5" s="6" t="n">
        <v>34.5</v>
      </c>
    </row>
    <row r="6">
      <c r="A6" s="6" t="n">
        <v>1979</v>
      </c>
      <c r="B6" s="7" t="n"/>
      <c r="C6" s="7" t="n"/>
      <c r="D6" s="7" t="n"/>
      <c r="E6" s="7" t="n"/>
      <c r="F6" s="7" t="n"/>
      <c r="G6" s="7" t="n"/>
      <c r="H6" s="7" t="n"/>
      <c r="I6" s="7" t="n"/>
      <c r="J6" s="7" t="n"/>
      <c r="K6" s="7" t="n">
        <v>7</v>
      </c>
      <c r="M6" s="6" t="inlineStr">
        <is>
          <t>10min</t>
        </is>
      </c>
      <c r="N6" s="6" t="n">
        <v>8.4</v>
      </c>
      <c r="O6" s="6" t="n">
        <v>13.1</v>
      </c>
      <c r="P6" s="6" t="n">
        <v>16.5</v>
      </c>
      <c r="Q6" s="6" t="n">
        <v>21.1</v>
      </c>
      <c r="R6" s="6" t="n">
        <v>24.9</v>
      </c>
      <c r="S6" s="6" t="n">
        <v>28.9</v>
      </c>
      <c r="T6" s="6" t="n">
        <v>33.1</v>
      </c>
      <c r="U6" s="6" t="n">
        <v>39.1</v>
      </c>
      <c r="V6" s="6" t="n">
        <v>44.1</v>
      </c>
      <c r="W6" s="6" t="n">
        <v>49.4</v>
      </c>
      <c r="X6" s="6" t="n">
        <v>56.9</v>
      </c>
      <c r="Y6" s="6" t="n">
        <v>63.1</v>
      </c>
    </row>
    <row r="7">
      <c r="A7" s="6" t="n">
        <v>1980</v>
      </c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>
        <v>18</v>
      </c>
      <c r="M7" s="6" t="inlineStr">
        <is>
          <t>15min</t>
        </is>
      </c>
      <c r="N7" s="6" t="n">
        <v>10.6</v>
      </c>
      <c r="O7" s="6" t="n">
        <v>16.8</v>
      </c>
      <c r="P7" s="6" t="n">
        <v>21.3</v>
      </c>
      <c r="Q7" s="6" t="n">
        <v>27.5</v>
      </c>
      <c r="R7" s="6" t="n">
        <v>32.5</v>
      </c>
      <c r="S7" s="6" t="n">
        <v>37.8</v>
      </c>
      <c r="T7" s="6" t="n">
        <v>43.6</v>
      </c>
      <c r="U7" s="6" t="n">
        <v>51.8</v>
      </c>
      <c r="V7" s="6" t="n">
        <v>58.5</v>
      </c>
      <c r="W7" s="6" t="n">
        <v>65.7</v>
      </c>
      <c r="X7" s="6" t="n">
        <v>76.09999999999999</v>
      </c>
      <c r="Y7" s="6" t="n">
        <v>84.7</v>
      </c>
    </row>
    <row r="8">
      <c r="A8" s="6" t="n">
        <v>1981</v>
      </c>
      <c r="B8" s="7" t="n"/>
      <c r="C8" s="7" t="n"/>
      <c r="D8" s="7" t="n"/>
      <c r="E8" s="7" t="n"/>
      <c r="F8" s="7" t="n"/>
      <c r="G8" s="7" t="n"/>
      <c r="H8" s="7" t="n"/>
      <c r="I8" s="7" t="n"/>
      <c r="J8" s="7" t="n"/>
      <c r="K8" s="7" t="n">
        <v>72</v>
      </c>
      <c r="M8" s="6" t="inlineStr">
        <is>
          <t>30min</t>
        </is>
      </c>
      <c r="N8" s="6" t="n">
        <v>14.8</v>
      </c>
      <c r="O8" s="6" t="n">
        <v>23.7</v>
      </c>
      <c r="P8" s="6" t="n">
        <v>30</v>
      </c>
      <c r="Q8" s="6" t="n">
        <v>38.6</v>
      </c>
      <c r="R8" s="6" t="n">
        <v>45.4</v>
      </c>
      <c r="S8" s="6" t="n">
        <v>52.5</v>
      </c>
      <c r="T8" s="6" t="n">
        <v>60</v>
      </c>
      <c r="U8" s="6" t="n">
        <v>70.59999999999999</v>
      </c>
      <c r="V8" s="6" t="n">
        <v>79.2</v>
      </c>
      <c r="W8" s="6" t="n">
        <v>88.2</v>
      </c>
      <c r="X8" s="6" t="n">
        <v>101</v>
      </c>
      <c r="Y8" s="6" t="n">
        <v>111.3</v>
      </c>
    </row>
    <row r="9">
      <c r="A9" s="6" t="n">
        <v>1982</v>
      </c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>
        <v>99</v>
      </c>
      <c r="M9" s="6" t="inlineStr">
        <is>
          <t>1h</t>
        </is>
      </c>
      <c r="N9" s="6" t="n">
        <v>18.5</v>
      </c>
      <c r="O9" s="6" t="n">
        <v>29.8</v>
      </c>
      <c r="P9" s="6" t="n">
        <v>38</v>
      </c>
      <c r="Q9" s="6" t="n">
        <v>49.2</v>
      </c>
      <c r="R9" s="6" t="n">
        <v>58.2</v>
      </c>
      <c r="S9" s="6" t="n">
        <v>67.8</v>
      </c>
      <c r="T9" s="6" t="n">
        <v>78</v>
      </c>
      <c r="U9" s="6" t="n">
        <v>92.59999999999999</v>
      </c>
      <c r="V9" s="6" t="n">
        <v>104.5</v>
      </c>
      <c r="W9" s="6" t="n">
        <v>117.3</v>
      </c>
      <c r="X9" s="6" t="n">
        <v>135.5</v>
      </c>
      <c r="Y9" s="6" t="n">
        <v>150.4</v>
      </c>
    </row>
    <row r="10">
      <c r="A10" s="6" t="n">
        <v>1983</v>
      </c>
      <c r="B10" s="7" t="n"/>
      <c r="C10" s="7" t="n"/>
      <c r="D10" s="7" t="n"/>
      <c r="E10" s="7" t="n"/>
      <c r="F10" s="7" t="n"/>
      <c r="G10" s="7" t="n"/>
      <c r="H10" s="7" t="n"/>
      <c r="I10" s="7" t="n"/>
      <c r="J10" s="7" t="n"/>
      <c r="K10" s="7" t="n">
        <v>42</v>
      </c>
      <c r="M10" s="6" t="inlineStr">
        <is>
          <t>2h</t>
        </is>
      </c>
      <c r="N10" s="6" t="n">
        <v>21.3</v>
      </c>
      <c r="O10" s="6" t="n">
        <v>35.4</v>
      </c>
      <c r="P10" s="6" t="n">
        <v>46.1</v>
      </c>
      <c r="Q10" s="6" t="n">
        <v>61.6</v>
      </c>
      <c r="R10" s="6" t="n">
        <v>74.59999999999999</v>
      </c>
      <c r="S10" s="6" t="n">
        <v>89.09999999999999</v>
      </c>
      <c r="T10" s="6" t="n">
        <v>105.1</v>
      </c>
      <c r="U10" s="6" t="n">
        <v>129</v>
      </c>
      <c r="V10" s="6" t="n">
        <v>149.4</v>
      </c>
      <c r="W10" s="6" t="n">
        <v>172.2</v>
      </c>
      <c r="X10" s="6" t="n">
        <v>206.2</v>
      </c>
      <c r="Y10" s="6" t="n">
        <v>235.4</v>
      </c>
    </row>
    <row r="11">
      <c r="A11" s="6" t="n">
        <v>1984</v>
      </c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>
        <v>6</v>
      </c>
      <c r="M11" s="6" t="inlineStr">
        <is>
          <t>3h</t>
        </is>
      </c>
      <c r="N11" s="6" t="n">
        <v>22.6</v>
      </c>
      <c r="O11" s="6" t="n">
        <v>38.7</v>
      </c>
      <c r="P11" s="6" t="n">
        <v>51.7</v>
      </c>
      <c r="Q11" s="6" t="n">
        <v>71.5</v>
      </c>
      <c r="R11" s="6" t="n">
        <v>89</v>
      </c>
      <c r="S11" s="6" t="n">
        <v>109.3</v>
      </c>
      <c r="T11" s="6" t="n">
        <v>132.9</v>
      </c>
      <c r="U11" s="6" t="n">
        <v>170</v>
      </c>
      <c r="V11" s="6" t="n">
        <v>203.3</v>
      </c>
      <c r="W11" s="6" t="n">
        <v>242.1</v>
      </c>
      <c r="X11" s="6" t="n">
        <v>303.2</v>
      </c>
      <c r="Y11" s="6" t="n">
        <v>358.3</v>
      </c>
    </row>
    <row r="12">
      <c r="A12" s="6" t="n">
        <v>1985</v>
      </c>
      <c r="B12" s="7" t="n"/>
      <c r="C12" s="7" t="n"/>
      <c r="D12" s="7" t="n"/>
      <c r="E12" s="7" t="n"/>
      <c r="F12" s="7" t="n"/>
      <c r="G12" s="7" t="n"/>
      <c r="H12" s="7" t="n"/>
      <c r="I12" s="7" t="n"/>
      <c r="J12" s="7" t="n"/>
      <c r="K12" s="7" t="n">
        <v>16</v>
      </c>
      <c r="M12" s="6" t="inlineStr">
        <is>
          <t>6h</t>
        </is>
      </c>
      <c r="N12" s="6" t="n">
        <v>25.4</v>
      </c>
      <c r="O12" s="6" t="n">
        <v>45</v>
      </c>
      <c r="P12" s="6" t="n">
        <v>61.6</v>
      </c>
      <c r="Q12" s="6" t="n">
        <v>87.90000000000001</v>
      </c>
      <c r="R12" s="6" t="n">
        <v>112</v>
      </c>
      <c r="S12" s="6" t="n">
        <v>140.8</v>
      </c>
      <c r="T12" s="6" t="n">
        <v>175.2</v>
      </c>
      <c r="U12" s="6" t="n">
        <v>231.4</v>
      </c>
      <c r="V12" s="6" t="n">
        <v>283.9</v>
      </c>
      <c r="W12" s="6" t="n">
        <v>346.8</v>
      </c>
      <c r="X12" s="6" t="n">
        <v>449.5</v>
      </c>
      <c r="Y12" s="6" t="n">
        <v>545.4</v>
      </c>
    </row>
    <row r="13">
      <c r="A13" s="6" t="n">
        <v>1986</v>
      </c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>
        <v>30</v>
      </c>
      <c r="M13" s="6" t="inlineStr">
        <is>
          <t>12h</t>
        </is>
      </c>
      <c r="N13" s="6" t="n">
        <v>28.2</v>
      </c>
      <c r="O13" s="6" t="n">
        <v>51.2</v>
      </c>
      <c r="P13" s="6" t="n">
        <v>71.2</v>
      </c>
      <c r="Q13" s="6" t="n">
        <v>103.3</v>
      </c>
      <c r="R13" s="6" t="n">
        <v>133.5</v>
      </c>
      <c r="S13" s="6" t="n">
        <v>170.2</v>
      </c>
      <c r="T13" s="6" t="n">
        <v>214.9</v>
      </c>
      <c r="U13" s="6" t="n">
        <v>289.3</v>
      </c>
      <c r="V13" s="6" t="n">
        <v>360.1</v>
      </c>
      <c r="W13" s="6" t="n">
        <v>446.6</v>
      </c>
      <c r="X13" s="6" t="n">
        <v>590.7</v>
      </c>
      <c r="Y13" s="6" t="n">
        <v>728</v>
      </c>
    </row>
    <row r="14">
      <c r="A14" s="6" t="n">
        <v>1987</v>
      </c>
      <c r="B14" s="7" t="n"/>
      <c r="C14" s="7" t="n"/>
      <c r="D14" s="7" t="n"/>
      <c r="E14" s="7" t="n"/>
      <c r="F14" s="7" t="n"/>
      <c r="G14" s="7" t="n"/>
      <c r="H14" s="7" t="n"/>
      <c r="I14" s="7" t="n"/>
      <c r="J14" s="7" t="n"/>
      <c r="K14" s="7" t="n">
        <v>69</v>
      </c>
      <c r="M14" s="6" t="inlineStr">
        <is>
          <t>24h</t>
        </is>
      </c>
      <c r="N14" s="6" t="n">
        <v>33.9</v>
      </c>
      <c r="O14" s="6" t="n">
        <v>61.9</v>
      </c>
      <c r="P14" s="6" t="n">
        <v>85.5</v>
      </c>
      <c r="Q14" s="6" t="n">
        <v>122.5</v>
      </c>
      <c r="R14" s="6" t="n">
        <v>156.5</v>
      </c>
      <c r="S14" s="6" t="n">
        <v>196.9</v>
      </c>
      <c r="T14" s="6" t="n">
        <v>245</v>
      </c>
      <c r="U14" s="6" t="n">
        <v>323.1</v>
      </c>
      <c r="V14" s="6" t="n">
        <v>395.7</v>
      </c>
      <c r="W14" s="6" t="n">
        <v>482.4</v>
      </c>
      <c r="X14" s="6" t="n">
        <v>623.4</v>
      </c>
      <c r="Y14" s="6" t="n">
        <v>754.4</v>
      </c>
    </row>
    <row r="15">
      <c r="A15" s="6" t="n">
        <v>1988</v>
      </c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>
        <v>27</v>
      </c>
    </row>
    <row r="16">
      <c r="A16" s="6" t="n">
        <v>1989</v>
      </c>
      <c r="B16" s="7" t="n"/>
      <c r="C16" s="7" t="n"/>
      <c r="D16" s="7" t="n"/>
      <c r="E16" s="7" t="n"/>
      <c r="F16" s="7" t="n"/>
      <c r="G16" s="7" t="n"/>
      <c r="H16" s="7" t="n"/>
      <c r="I16" s="7" t="n"/>
      <c r="J16" s="7" t="n"/>
      <c r="K16" s="7" t="n">
        <v>18</v>
      </c>
      <c r="M16" s="3" t="inlineStr">
        <is>
          <t>IDF - intensity (mm/hr) [x=duration(min)]</t>
        </is>
      </c>
    </row>
    <row r="17">
      <c r="A17" s="6" t="n">
        <v>1990</v>
      </c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>
        <v>43</v>
      </c>
      <c r="M17" t="inlineStr">
        <is>
          <t>Duration(min)</t>
        </is>
      </c>
      <c r="N17" t="inlineStr">
        <is>
          <t>2 yr</t>
        </is>
      </c>
      <c r="O17" t="inlineStr">
        <is>
          <t>5 yr</t>
        </is>
      </c>
      <c r="P17" t="inlineStr">
        <is>
          <t>10 yr</t>
        </is>
      </c>
      <c r="Q17" t="inlineStr">
        <is>
          <t>25 yr</t>
        </is>
      </c>
      <c r="R17" t="inlineStr">
        <is>
          <t>50 yr</t>
        </is>
      </c>
      <c r="S17" t="inlineStr">
        <is>
          <t>100 yr</t>
        </is>
      </c>
      <c r="T17" t="inlineStr">
        <is>
          <t>200 yr</t>
        </is>
      </c>
      <c r="U17" t="inlineStr">
        <is>
          <t>500 yr</t>
        </is>
      </c>
      <c r="V17" t="inlineStr">
        <is>
          <t>1000 yr</t>
        </is>
      </c>
      <c r="W17" t="inlineStr">
        <is>
          <t>2000 yr</t>
        </is>
      </c>
      <c r="X17" t="inlineStr">
        <is>
          <t>5000 yr</t>
        </is>
      </c>
      <c r="Y17" t="inlineStr">
        <is>
          <t>10000 yr</t>
        </is>
      </c>
    </row>
    <row r="18">
      <c r="A18" s="6" t="n">
        <v>1991</v>
      </c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  <c r="K18" s="7" t="n">
        <v>16</v>
      </c>
      <c r="M18" t="n">
        <v>5</v>
      </c>
      <c r="N18" t="n">
        <v>61.9</v>
      </c>
      <c r="O18" t="n">
        <v>95.3</v>
      </c>
      <c r="P18" t="n">
        <v>119.1</v>
      </c>
      <c r="Q18" t="n">
        <v>150.9</v>
      </c>
      <c r="R18" t="n">
        <v>176.1</v>
      </c>
      <c r="S18" t="n">
        <v>202.3</v>
      </c>
      <c r="T18" t="n">
        <v>229.8</v>
      </c>
      <c r="U18" t="n">
        <v>268.3</v>
      </c>
      <c r="V18" t="n">
        <v>299.2</v>
      </c>
      <c r="W18" t="n">
        <v>331.6</v>
      </c>
      <c r="X18" t="n">
        <v>377</v>
      </c>
      <c r="Y18" t="n">
        <v>413.5</v>
      </c>
    </row>
    <row r="19">
      <c r="A19" s="6" t="n">
        <v>1992</v>
      </c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>
        <v>66</v>
      </c>
      <c r="M19" t="n">
        <v>10</v>
      </c>
      <c r="N19" t="n">
        <v>50.2</v>
      </c>
      <c r="O19" t="n">
        <v>78.3</v>
      </c>
      <c r="P19" t="n">
        <v>98.8</v>
      </c>
      <c r="Q19" t="n">
        <v>126.7</v>
      </c>
      <c r="R19" t="n">
        <v>149.2</v>
      </c>
      <c r="S19" t="n">
        <v>173.1</v>
      </c>
      <c r="T19" t="n">
        <v>198.6</v>
      </c>
      <c r="U19" t="n">
        <v>234.8</v>
      </c>
      <c r="V19" t="n">
        <v>264.5</v>
      </c>
      <c r="W19" t="n">
        <v>296.2</v>
      </c>
      <c r="X19" t="n">
        <v>341.4</v>
      </c>
      <c r="Y19" t="n">
        <v>378.4</v>
      </c>
    </row>
    <row r="20">
      <c r="A20" s="6" t="n">
        <v>1993</v>
      </c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>
        <v>48</v>
      </c>
      <c r="M20" t="n">
        <v>15</v>
      </c>
      <c r="N20" t="n">
        <v>42.6</v>
      </c>
      <c r="O20" t="n">
        <v>67.2</v>
      </c>
      <c r="P20" t="n">
        <v>85.2</v>
      </c>
      <c r="Q20" t="n">
        <v>109.9</v>
      </c>
      <c r="R20" t="n">
        <v>130</v>
      </c>
      <c r="S20" t="n">
        <v>151.3</v>
      </c>
      <c r="T20" t="n">
        <v>174.2</v>
      </c>
      <c r="U20" t="n">
        <v>207</v>
      </c>
      <c r="V20" t="n">
        <v>234</v>
      </c>
      <c r="W20" t="n">
        <v>262.9</v>
      </c>
      <c r="X20" t="n">
        <v>304.5</v>
      </c>
      <c r="Y20" t="n">
        <v>338.6</v>
      </c>
    </row>
    <row r="21">
      <c r="A21" s="6" t="n">
        <v>1994</v>
      </c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>
        <v>27</v>
      </c>
      <c r="M21" t="n">
        <v>30</v>
      </c>
      <c r="N21" t="n">
        <v>29.6</v>
      </c>
      <c r="O21" t="n">
        <v>47.3</v>
      </c>
      <c r="P21" t="n">
        <v>60</v>
      </c>
      <c r="Q21" t="n">
        <v>77.09999999999999</v>
      </c>
      <c r="R21" t="n">
        <v>90.7</v>
      </c>
      <c r="S21" t="n">
        <v>105</v>
      </c>
      <c r="T21" t="n">
        <v>120.1</v>
      </c>
      <c r="U21" t="n">
        <v>141.3</v>
      </c>
      <c r="V21" t="n">
        <v>158.4</v>
      </c>
      <c r="W21" t="n">
        <v>176.5</v>
      </c>
      <c r="X21" t="n">
        <v>202</v>
      </c>
      <c r="Y21" t="n">
        <v>222.6</v>
      </c>
    </row>
    <row r="22">
      <c r="A22" s="6" t="n">
        <v>1995</v>
      </c>
      <c r="B22" s="7" t="n"/>
      <c r="C22" s="7" t="n"/>
      <c r="D22" s="7" t="n"/>
      <c r="E22" s="7" t="n"/>
      <c r="F22" s="7" t="n"/>
      <c r="G22" s="7" t="n"/>
      <c r="H22" s="7" t="n"/>
      <c r="I22" s="7" t="n"/>
      <c r="J22" s="7" t="n"/>
      <c r="K22" s="7" t="n">
        <v>36</v>
      </c>
      <c r="M22" t="n">
        <v>60</v>
      </c>
      <c r="N22" t="n">
        <v>18.5</v>
      </c>
      <c r="O22" t="n">
        <v>29.8</v>
      </c>
      <c r="P22" t="n">
        <v>38</v>
      </c>
      <c r="Q22" t="n">
        <v>49.2</v>
      </c>
      <c r="R22" t="n">
        <v>58.2</v>
      </c>
      <c r="S22" t="n">
        <v>67.8</v>
      </c>
      <c r="T22" t="n">
        <v>78</v>
      </c>
      <c r="U22" t="n">
        <v>92.59999999999999</v>
      </c>
      <c r="V22" t="n">
        <v>104.5</v>
      </c>
      <c r="W22" t="n">
        <v>117.3</v>
      </c>
      <c r="X22" t="n">
        <v>135.5</v>
      </c>
      <c r="Y22" t="n">
        <v>150.4</v>
      </c>
    </row>
    <row r="23">
      <c r="A23" s="6" t="n">
        <v>1996</v>
      </c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  <c r="K23" s="7" t="n">
        <v>162</v>
      </c>
      <c r="M23" t="n">
        <v>120</v>
      </c>
      <c r="N23" t="n">
        <v>10.6</v>
      </c>
      <c r="O23" t="n">
        <v>17.7</v>
      </c>
      <c r="P23" t="n">
        <v>23.1</v>
      </c>
      <c r="Q23" t="n">
        <v>30.8</v>
      </c>
      <c r="R23" t="n">
        <v>37.3</v>
      </c>
      <c r="S23" t="n">
        <v>44.5</v>
      </c>
      <c r="T23" t="n">
        <v>52.5</v>
      </c>
      <c r="U23" t="n">
        <v>64.5</v>
      </c>
      <c r="V23" t="n">
        <v>74.7</v>
      </c>
      <c r="W23" t="n">
        <v>86.09999999999999</v>
      </c>
      <c r="X23" t="n">
        <v>103.1</v>
      </c>
      <c r="Y23" t="n">
        <v>117.7</v>
      </c>
    </row>
    <row r="24">
      <c r="A24" s="6" t="n">
        <v>1997</v>
      </c>
      <c r="B24" s="7" t="n"/>
      <c r="C24" s="7" t="n"/>
      <c r="D24" s="7" t="n"/>
      <c r="E24" s="7" t="n"/>
      <c r="F24" s="7" t="n"/>
      <c r="G24" s="7" t="n"/>
      <c r="H24" s="7" t="n"/>
      <c r="I24" s="7" t="n"/>
      <c r="J24" s="7" t="n"/>
      <c r="K24" s="7" t="n">
        <v>66</v>
      </c>
      <c r="M24" t="n">
        <v>180</v>
      </c>
      <c r="N24" t="n">
        <v>7.5</v>
      </c>
      <c r="O24" t="n">
        <v>12.9</v>
      </c>
      <c r="P24" t="n">
        <v>17.2</v>
      </c>
      <c r="Q24" t="n">
        <v>23.8</v>
      </c>
      <c r="R24" t="n">
        <v>29.7</v>
      </c>
      <c r="S24" t="n">
        <v>36.4</v>
      </c>
      <c r="T24" t="n">
        <v>44.3</v>
      </c>
      <c r="U24" t="n">
        <v>56.7</v>
      </c>
      <c r="V24" t="n">
        <v>67.8</v>
      </c>
      <c r="W24" t="n">
        <v>80.7</v>
      </c>
      <c r="X24" t="n">
        <v>101.1</v>
      </c>
      <c r="Y24" t="n">
        <v>119.4</v>
      </c>
    </row>
    <row r="25">
      <c r="A25" s="6" t="n">
        <v>1998</v>
      </c>
      <c r="B25" s="7" t="n"/>
      <c r="C25" s="7" t="n"/>
      <c r="D25" s="7" t="n"/>
      <c r="E25" s="7" t="n"/>
      <c r="F25" s="7" t="n"/>
      <c r="G25" s="7" t="n"/>
      <c r="H25" s="7" t="n"/>
      <c r="I25" s="7" t="n"/>
      <c r="J25" s="7" t="n"/>
      <c r="K25" s="7" t="n">
        <v>60</v>
      </c>
      <c r="M25" t="n">
        <v>360</v>
      </c>
      <c r="N25" t="n">
        <v>4.2</v>
      </c>
      <c r="O25" t="n">
        <v>7.5</v>
      </c>
      <c r="P25" t="n">
        <v>10.3</v>
      </c>
      <c r="Q25" t="n">
        <v>14.6</v>
      </c>
      <c r="R25" t="n">
        <v>18.7</v>
      </c>
      <c r="S25" t="n">
        <v>23.5</v>
      </c>
      <c r="T25" t="n">
        <v>29.2</v>
      </c>
      <c r="U25" t="n">
        <v>38.6</v>
      </c>
      <c r="V25" t="n">
        <v>47.3</v>
      </c>
      <c r="W25" t="n">
        <v>57.8</v>
      </c>
      <c r="X25" t="n">
        <v>74.90000000000001</v>
      </c>
      <c r="Y25" t="n">
        <v>90.90000000000001</v>
      </c>
    </row>
    <row r="26">
      <c r="A26" s="6" t="n">
        <v>1999</v>
      </c>
      <c r="B26" s="7" t="n"/>
      <c r="C26" s="7" t="n"/>
      <c r="D26" s="7" t="n"/>
      <c r="E26" s="7" t="n"/>
      <c r="F26" s="7" t="n"/>
      <c r="G26" s="7" t="n"/>
      <c r="H26" s="7" t="n"/>
      <c r="I26" s="7" t="n"/>
      <c r="J26" s="7" t="n"/>
      <c r="K26" s="7" t="n">
        <v>42</v>
      </c>
      <c r="M26" t="n">
        <v>720</v>
      </c>
      <c r="N26" t="n">
        <v>2.4</v>
      </c>
      <c r="O26" t="n">
        <v>4.3</v>
      </c>
      <c r="P26" t="n">
        <v>5.9</v>
      </c>
      <c r="Q26" t="n">
        <v>8.6</v>
      </c>
      <c r="R26" t="n">
        <v>11.1</v>
      </c>
      <c r="S26" t="n">
        <v>14.2</v>
      </c>
      <c r="T26" t="n">
        <v>17.9</v>
      </c>
      <c r="U26" t="n">
        <v>24.1</v>
      </c>
      <c r="V26" t="n">
        <v>30</v>
      </c>
      <c r="W26" t="n">
        <v>37.2</v>
      </c>
      <c r="X26" t="n">
        <v>49.2</v>
      </c>
      <c r="Y26" t="n">
        <v>60.7</v>
      </c>
    </row>
    <row r="27">
      <c r="A27" s="6" t="n">
        <v>2000</v>
      </c>
      <c r="B27" s="7" t="n"/>
      <c r="C27" s="7" t="n"/>
      <c r="D27" s="7" t="n"/>
      <c r="E27" s="7" t="n"/>
      <c r="F27" s="7" t="n"/>
      <c r="G27" s="7" t="n"/>
      <c r="H27" s="7" t="n"/>
      <c r="I27" s="7" t="n"/>
      <c r="J27" s="7" t="n"/>
      <c r="K27" s="7" t="n">
        <v>40</v>
      </c>
      <c r="M27" t="n">
        <v>1440</v>
      </c>
      <c r="N27" t="n">
        <v>1.4</v>
      </c>
      <c r="O27" t="n">
        <v>2.6</v>
      </c>
      <c r="P27" t="n">
        <v>3.6</v>
      </c>
      <c r="Q27" t="n">
        <v>5.1</v>
      </c>
      <c r="R27" t="n">
        <v>6.5</v>
      </c>
      <c r="S27" t="n">
        <v>8.199999999999999</v>
      </c>
      <c r="T27" t="n">
        <v>10.2</v>
      </c>
      <c r="U27" t="n">
        <v>13.5</v>
      </c>
      <c r="V27" t="n">
        <v>16.5</v>
      </c>
      <c r="W27" t="n">
        <v>20.1</v>
      </c>
      <c r="X27" t="n">
        <v>26</v>
      </c>
      <c r="Y27" t="n">
        <v>31.4</v>
      </c>
    </row>
    <row r="28">
      <c r="A28" s="6" t="n">
        <v>2001</v>
      </c>
      <c r="B28" s="7" t="n"/>
      <c r="C28" s="7" t="n"/>
      <c r="D28" s="7" t="n"/>
      <c r="E28" s="7" t="n"/>
      <c r="F28" s="7" t="n"/>
      <c r="G28" s="7" t="n"/>
      <c r="H28" s="7" t="n"/>
      <c r="I28" s="7" t="n"/>
      <c r="J28" s="7" t="n"/>
      <c r="K28" s="7" t="n">
        <v>36</v>
      </c>
    </row>
    <row r="29">
      <c r="A29" s="6" t="n">
        <v>2002</v>
      </c>
      <c r="B29" s="7" t="n"/>
      <c r="C29" s="7" t="n"/>
      <c r="D29" s="7" t="n"/>
      <c r="E29" s="7" t="n"/>
      <c r="F29" s="7" t="n"/>
      <c r="G29" s="7" t="n"/>
      <c r="H29" s="7" t="n"/>
      <c r="I29" s="7" t="n"/>
      <c r="J29" s="7" t="n"/>
      <c r="K29" s="7" t="n">
        <v>70</v>
      </c>
    </row>
    <row r="30">
      <c r="A30" s="6" t="n">
        <v>2003</v>
      </c>
      <c r="B30" s="7" t="n"/>
      <c r="C30" s="7" t="n"/>
      <c r="D30" s="7" t="n"/>
      <c r="E30" s="7" t="n"/>
      <c r="F30" s="7" t="n"/>
      <c r="G30" s="7" t="n"/>
      <c r="H30" s="7" t="n"/>
      <c r="I30" s="7" t="n"/>
      <c r="J30" s="7" t="n"/>
      <c r="K30" s="7" t="n">
        <v>40</v>
      </c>
    </row>
    <row r="31">
      <c r="A31" s="6" t="n">
        <v>2004</v>
      </c>
      <c r="B31" s="7" t="n"/>
      <c r="C31" s="7" t="n"/>
      <c r="D31" s="7" t="n"/>
      <c r="E31" s="7" t="n"/>
      <c r="F31" s="7" t="n"/>
      <c r="G31" s="7" t="n"/>
      <c r="H31" s="7" t="n"/>
      <c r="I31" s="7" t="n"/>
      <c r="J31" s="7" t="n"/>
      <c r="K31" s="7" t="n">
        <v>6</v>
      </c>
    </row>
    <row r="32">
      <c r="A32" s="6" t="n">
        <v>2005</v>
      </c>
      <c r="B32" s="7" t="n">
        <v>2.4</v>
      </c>
      <c r="C32" s="7" t="n">
        <v>3.8</v>
      </c>
      <c r="D32" s="7" t="n">
        <v>6.2</v>
      </c>
      <c r="E32" s="7" t="n">
        <v>8.6</v>
      </c>
      <c r="F32" s="7" t="n">
        <v>8.800000000000001</v>
      </c>
      <c r="G32" s="7" t="n">
        <v>8.800000000000001</v>
      </c>
      <c r="H32" s="7" t="n">
        <v>8.800000000000001</v>
      </c>
      <c r="I32" s="7" t="n">
        <v>8.800000000000001</v>
      </c>
      <c r="J32" s="7" t="n">
        <v>8.9</v>
      </c>
      <c r="K32" s="7" t="n">
        <v>9</v>
      </c>
    </row>
    <row r="33">
      <c r="A33" s="6" t="n">
        <v>2006</v>
      </c>
      <c r="B33" s="7" t="n"/>
      <c r="C33" s="7" t="n"/>
      <c r="D33" s="7" t="n"/>
      <c r="E33" s="7" t="n">
        <v>0.6</v>
      </c>
      <c r="F33" s="7" t="n">
        <v>1.3</v>
      </c>
      <c r="G33" s="7" t="n">
        <v>2.6</v>
      </c>
      <c r="H33" s="7" t="n">
        <v>3.9</v>
      </c>
      <c r="I33" s="7" t="n">
        <v>7.7</v>
      </c>
      <c r="J33" s="7" t="n">
        <v>15.5</v>
      </c>
      <c r="K33" s="7" t="n">
        <v>31</v>
      </c>
    </row>
    <row r="34">
      <c r="A34" s="6" t="n">
        <v>2007</v>
      </c>
      <c r="B34" s="7" t="n"/>
      <c r="C34" s="7" t="n"/>
      <c r="D34" s="7" t="n"/>
      <c r="E34" s="7" t="n"/>
      <c r="F34" s="7" t="n"/>
      <c r="G34" s="7" t="n"/>
      <c r="H34" s="7" t="n"/>
      <c r="I34" s="7" t="n"/>
      <c r="J34" s="7" t="n"/>
      <c r="K34" s="7" t="n"/>
    </row>
    <row r="35">
      <c r="A35" s="6" t="n">
        <v>2008</v>
      </c>
      <c r="B35" s="7" t="n"/>
      <c r="C35" s="7" t="n"/>
      <c r="D35" s="7" t="n"/>
      <c r="E35" s="7" t="n"/>
      <c r="F35" s="7" t="n"/>
      <c r="G35" s="7" t="n"/>
      <c r="H35" s="7" t="n"/>
      <c r="I35" s="7" t="n"/>
      <c r="J35" s="7" t="n"/>
      <c r="K35" s="7" t="n"/>
    </row>
    <row r="36">
      <c r="A36" s="6" t="n">
        <v>2009</v>
      </c>
      <c r="B36" s="7" t="n"/>
      <c r="C36" s="7" t="n"/>
      <c r="D36" s="7" t="n"/>
      <c r="E36" s="7" t="n"/>
      <c r="F36" s="7" t="n"/>
      <c r="G36" s="7" t="n"/>
      <c r="H36" s="7" t="n"/>
      <c r="I36" s="7" t="n"/>
      <c r="J36" s="7" t="n"/>
      <c r="K36" s="7" t="n"/>
    </row>
    <row r="37">
      <c r="A37" s="6" t="n">
        <v>2010</v>
      </c>
      <c r="B37" s="7" t="n"/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</row>
    <row r="38">
      <c r="A38" s="6" t="n">
        <v>2011</v>
      </c>
      <c r="B38" s="7" t="n"/>
      <c r="C38" s="7" t="n"/>
      <c r="D38" s="7" t="n"/>
      <c r="E38" s="7" t="n"/>
      <c r="F38" s="7" t="n"/>
      <c r="G38" s="7" t="n"/>
      <c r="H38" s="7" t="n"/>
      <c r="I38" s="7" t="n"/>
      <c r="J38" s="7" t="n"/>
      <c r="K38" s="7" t="n"/>
    </row>
    <row r="39">
      <c r="A39" s="6" t="n">
        <v>2012</v>
      </c>
      <c r="B39" s="7" t="n"/>
      <c r="C39" s="7" t="n"/>
      <c r="D39" s="7" t="n"/>
      <c r="E39" s="7" t="n"/>
      <c r="F39" s="7" t="n"/>
      <c r="G39" s="7" t="n"/>
      <c r="H39" s="7" t="n"/>
      <c r="I39" s="7" t="n"/>
      <c r="J39" s="7" t="n"/>
      <c r="K39" s="7" t="n"/>
    </row>
    <row r="40">
      <c r="A40" s="6" t="n">
        <v>2013</v>
      </c>
      <c r="B40" s="7" t="n"/>
      <c r="C40" s="7" t="n"/>
      <c r="D40" s="7" t="n"/>
      <c r="E40" s="7" t="n"/>
      <c r="F40" s="7" t="n"/>
      <c r="G40" s="7" t="n"/>
      <c r="H40" s="7" t="n"/>
      <c r="I40" s="7" t="n"/>
      <c r="J40" s="7" t="n"/>
      <c r="K40" s="7" t="n"/>
    </row>
    <row r="41">
      <c r="A41" s="6" t="n">
        <v>2014</v>
      </c>
      <c r="B41" s="7" t="n"/>
      <c r="C41" s="7" t="n"/>
      <c r="D41" s="7" t="n"/>
      <c r="E41" s="7" t="n"/>
      <c r="F41" s="7" t="n"/>
      <c r="G41" s="7" t="n"/>
      <c r="H41" s="7" t="n"/>
      <c r="I41" s="7" t="n"/>
      <c r="J41" s="7" t="n"/>
      <c r="K41" s="7" t="n"/>
    </row>
    <row r="42">
      <c r="A42" s="6" t="n">
        <v>2015</v>
      </c>
      <c r="B42" s="7" t="n"/>
      <c r="C42" s="7" t="n"/>
      <c r="D42" s="7" t="n"/>
      <c r="E42" s="7" t="n"/>
      <c r="F42" s="7" t="n"/>
      <c r="G42" s="7" t="n"/>
      <c r="H42" s="7" t="n"/>
      <c r="I42" s="7" t="n"/>
      <c r="J42" s="7" t="n"/>
      <c r="K42" s="7" t="n"/>
    </row>
    <row r="43">
      <c r="A43" s="6" t="n">
        <v>2016</v>
      </c>
      <c r="B43" s="7" t="n"/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</row>
    <row r="44">
      <c r="A44" s="6" t="n">
        <v>2017</v>
      </c>
      <c r="B44" s="7" t="n">
        <v>6</v>
      </c>
      <c r="C44" s="7" t="n">
        <v>8.4</v>
      </c>
      <c r="D44" s="7" t="n">
        <v>9.4</v>
      </c>
      <c r="E44" s="7" t="n">
        <v>9.6</v>
      </c>
      <c r="F44" s="7" t="n">
        <v>9.800000000000001</v>
      </c>
      <c r="G44" s="7" t="n">
        <v>9.800000000000001</v>
      </c>
      <c r="H44" s="7" t="n">
        <v>9.800000000000001</v>
      </c>
      <c r="I44" s="7" t="n">
        <v>9.800000000000001</v>
      </c>
      <c r="J44" s="7" t="n">
        <v>9.9</v>
      </c>
      <c r="K44" s="7" t="n">
        <v>10</v>
      </c>
    </row>
    <row r="45">
      <c r="A45" s="6" t="n">
        <v>2019</v>
      </c>
      <c r="B45" s="7" t="n">
        <v>5.8</v>
      </c>
      <c r="C45" s="7" t="n">
        <v>9.199999999999999</v>
      </c>
      <c r="D45" s="7" t="n">
        <v>11</v>
      </c>
      <c r="E45" s="7" t="n">
        <v>13.3</v>
      </c>
      <c r="F45" s="7" t="n">
        <v>13.8</v>
      </c>
      <c r="G45" s="7" t="n">
        <v>17</v>
      </c>
      <c r="H45" s="7" t="n">
        <v>18.2</v>
      </c>
      <c r="I45" s="7" t="n">
        <v>21.2</v>
      </c>
      <c r="J45" s="7" t="n">
        <v>21.3</v>
      </c>
      <c r="K45" s="7" t="n">
        <v>26.3</v>
      </c>
    </row>
    <row r="46">
      <c r="A46" s="6" t="n">
        <v>2020</v>
      </c>
      <c r="B46" s="7" t="n">
        <v>7.6</v>
      </c>
      <c r="C46" s="7" t="n">
        <v>11.6</v>
      </c>
      <c r="D46" s="7" t="n">
        <v>15.2</v>
      </c>
      <c r="E46" s="7" t="n">
        <v>21.2</v>
      </c>
      <c r="F46" s="7" t="n">
        <v>28</v>
      </c>
      <c r="G46" s="7" t="n">
        <v>49.4</v>
      </c>
      <c r="H46" s="7" t="n">
        <v>54.2</v>
      </c>
      <c r="I46" s="7" t="n">
        <v>58.2</v>
      </c>
      <c r="J46" s="7" t="n">
        <v>59.9</v>
      </c>
      <c r="K46" s="7" t="n">
        <v>60.2</v>
      </c>
    </row>
    <row r="49">
      <c r="A49" s="2" t="inlineStr">
        <is>
          <t>AMS AFTER gap filling (mm)  -  yellow = added or changed by gap filling</t>
        </is>
      </c>
    </row>
    <row r="50">
      <c r="A50" s="4" t="inlineStr">
        <is>
          <t>Water year</t>
        </is>
      </c>
      <c r="B50" s="5" t="inlineStr">
        <is>
          <t>5min</t>
        </is>
      </c>
      <c r="C50" s="5" t="inlineStr">
        <is>
          <t>10min</t>
        </is>
      </c>
      <c r="D50" s="5" t="inlineStr">
        <is>
          <t>15min</t>
        </is>
      </c>
      <c r="E50" s="5" t="inlineStr">
        <is>
          <t>30min</t>
        </is>
      </c>
      <c r="F50" s="5" t="inlineStr">
        <is>
          <t>1h</t>
        </is>
      </c>
      <c r="G50" s="5" t="inlineStr">
        <is>
          <t>2h</t>
        </is>
      </c>
      <c r="H50" s="5" t="inlineStr">
        <is>
          <t>3h</t>
        </is>
      </c>
      <c r="I50" s="5" t="inlineStr">
        <is>
          <t>6h</t>
        </is>
      </c>
      <c r="J50" s="5" t="inlineStr">
        <is>
          <t>12h</t>
        </is>
      </c>
      <c r="K50" s="5" t="inlineStr">
        <is>
          <t>24h</t>
        </is>
      </c>
    </row>
    <row r="51">
      <c r="A51" s="6" t="n">
        <v>1978</v>
      </c>
      <c r="B51" s="7" t="n"/>
      <c r="C51" s="7" t="n"/>
      <c r="D51" s="7" t="n"/>
      <c r="E51" s="7" t="n"/>
      <c r="F51" s="7" t="n"/>
      <c r="G51" s="7" t="n"/>
      <c r="H51" s="7" t="n"/>
      <c r="I51" s="7" t="n"/>
      <c r="J51" s="7" t="n"/>
      <c r="K51" s="7" t="n">
        <v>20</v>
      </c>
    </row>
    <row r="52">
      <c r="A52" s="6" t="n">
        <v>1979</v>
      </c>
      <c r="B52" s="7" t="n"/>
      <c r="C52" s="7" t="n"/>
      <c r="D52" s="7" t="n"/>
      <c r="E52" s="7" t="n"/>
      <c r="F52" s="7" t="n"/>
      <c r="G52" s="7" t="n"/>
      <c r="H52" s="7" t="n"/>
      <c r="I52" s="7" t="n"/>
      <c r="J52" s="7" t="n"/>
      <c r="K52" s="7" t="n">
        <v>7</v>
      </c>
    </row>
    <row r="53">
      <c r="A53" s="6" t="n">
        <v>1980</v>
      </c>
      <c r="B53" s="7" t="n"/>
      <c r="C53" s="7" t="n"/>
      <c r="D53" s="7" t="n"/>
      <c r="E53" s="7" t="n"/>
      <c r="F53" s="7" t="n"/>
      <c r="G53" s="7" t="n"/>
      <c r="H53" s="7" t="n"/>
      <c r="I53" s="7" t="n"/>
      <c r="J53" s="7" t="n"/>
      <c r="K53" s="7" t="n">
        <v>18</v>
      </c>
    </row>
    <row r="54">
      <c r="A54" s="6" t="n">
        <v>1981</v>
      </c>
      <c r="B54" s="7" t="n"/>
      <c r="C54" s="7" t="n"/>
      <c r="D54" s="7" t="n"/>
      <c r="E54" s="7" t="n"/>
      <c r="F54" s="7" t="n"/>
      <c r="G54" s="7" t="n"/>
      <c r="H54" s="7" t="n"/>
      <c r="I54" s="7" t="n"/>
      <c r="J54" s="7" t="n"/>
      <c r="K54" s="7" t="n">
        <v>72</v>
      </c>
    </row>
    <row r="55">
      <c r="A55" s="6" t="n">
        <v>1982</v>
      </c>
      <c r="B55" s="7" t="n"/>
      <c r="C55" s="7" t="n"/>
      <c r="D55" s="7" t="n"/>
      <c r="E55" s="7" t="n"/>
      <c r="F55" s="7" t="n"/>
      <c r="G55" s="7" t="n"/>
      <c r="H55" s="7" t="n"/>
      <c r="I55" s="7" t="n"/>
      <c r="J55" s="7" t="n"/>
      <c r="K55" s="7" t="n">
        <v>99</v>
      </c>
    </row>
    <row r="56">
      <c r="A56" s="6" t="n">
        <v>1983</v>
      </c>
      <c r="B56" s="7" t="n"/>
      <c r="C56" s="7" t="n"/>
      <c r="D56" s="7" t="n"/>
      <c r="E56" s="7" t="n"/>
      <c r="F56" s="7" t="n"/>
      <c r="G56" s="7" t="n"/>
      <c r="H56" s="7" t="n"/>
      <c r="I56" s="7" t="n"/>
      <c r="J56" s="7" t="n"/>
      <c r="K56" s="7" t="n">
        <v>42</v>
      </c>
    </row>
    <row r="57">
      <c r="A57" s="6" t="n">
        <v>1984</v>
      </c>
      <c r="B57" s="7" t="n"/>
      <c r="C57" s="7" t="n"/>
      <c r="D57" s="7" t="n"/>
      <c r="E57" s="7" t="n"/>
      <c r="F57" s="7" t="n"/>
      <c r="G57" s="7" t="n"/>
      <c r="H57" s="7" t="n"/>
      <c r="I57" s="7" t="n"/>
      <c r="J57" s="7" t="n"/>
      <c r="K57" s="7" t="n">
        <v>6</v>
      </c>
    </row>
    <row r="58">
      <c r="A58" s="6" t="n">
        <v>1985</v>
      </c>
      <c r="B58" s="7" t="n"/>
      <c r="C58" s="7" t="n"/>
      <c r="D58" s="7" t="n"/>
      <c r="E58" s="7" t="n"/>
      <c r="F58" s="7" t="n"/>
      <c r="G58" s="7" t="n"/>
      <c r="H58" s="7" t="n"/>
      <c r="I58" s="7" t="n"/>
      <c r="J58" s="7" t="n"/>
      <c r="K58" s="7" t="n">
        <v>16</v>
      </c>
    </row>
    <row r="59">
      <c r="A59" s="6" t="n">
        <v>1986</v>
      </c>
      <c r="B59" s="7" t="n"/>
      <c r="C59" s="7" t="n"/>
      <c r="D59" s="7" t="n"/>
      <c r="E59" s="7" t="n"/>
      <c r="F59" s="7" t="n"/>
      <c r="G59" s="7" t="n"/>
      <c r="H59" s="7" t="n"/>
      <c r="I59" s="7" t="n"/>
      <c r="J59" s="7" t="n"/>
      <c r="K59" s="7" t="n">
        <v>30</v>
      </c>
    </row>
    <row r="60">
      <c r="A60" s="6" t="n">
        <v>1987</v>
      </c>
      <c r="B60" s="7" t="n"/>
      <c r="C60" s="7" t="n"/>
      <c r="D60" s="7" t="n"/>
      <c r="E60" s="7" t="n"/>
      <c r="F60" s="7" t="n"/>
      <c r="G60" s="7" t="n"/>
      <c r="H60" s="7" t="n"/>
      <c r="I60" s="7" t="n"/>
      <c r="J60" s="7" t="n"/>
      <c r="K60" s="7" t="n">
        <v>69</v>
      </c>
    </row>
    <row r="61">
      <c r="A61" s="6" t="n">
        <v>1988</v>
      </c>
      <c r="B61" s="7" t="n"/>
      <c r="C61" s="7" t="n"/>
      <c r="D61" s="7" t="n"/>
      <c r="E61" s="7" t="n"/>
      <c r="F61" s="7" t="n"/>
      <c r="G61" s="7" t="n"/>
      <c r="H61" s="7" t="n"/>
      <c r="I61" s="7" t="n"/>
      <c r="J61" s="7" t="n"/>
      <c r="K61" s="7" t="n">
        <v>27</v>
      </c>
    </row>
    <row r="62">
      <c r="A62" s="6" t="n">
        <v>1989</v>
      </c>
      <c r="B62" s="7" t="n"/>
      <c r="C62" s="7" t="n"/>
      <c r="D62" s="7" t="n"/>
      <c r="E62" s="7" t="n"/>
      <c r="F62" s="7" t="n"/>
      <c r="G62" s="7" t="n"/>
      <c r="H62" s="7" t="n"/>
      <c r="I62" s="7" t="n"/>
      <c r="J62" s="7" t="n"/>
      <c r="K62" s="7" t="n">
        <v>18</v>
      </c>
    </row>
    <row r="63">
      <c r="A63" s="6" t="n">
        <v>1990</v>
      </c>
      <c r="B63" s="7" t="n"/>
      <c r="C63" s="7" t="n"/>
      <c r="D63" s="7" t="n"/>
      <c r="E63" s="7" t="n"/>
      <c r="F63" s="7" t="n"/>
      <c r="G63" s="7" t="n"/>
      <c r="H63" s="7" t="n"/>
      <c r="I63" s="7" t="n"/>
      <c r="J63" s="7" t="n"/>
      <c r="K63" s="7" t="n">
        <v>43</v>
      </c>
    </row>
    <row r="64">
      <c r="A64" s="6" t="n">
        <v>1991</v>
      </c>
      <c r="B64" s="7" t="n"/>
      <c r="C64" s="7" t="n"/>
      <c r="D64" s="7" t="n"/>
      <c r="E64" s="7" t="n"/>
      <c r="F64" s="7" t="n"/>
      <c r="G64" s="7" t="n"/>
      <c r="H64" s="7" t="n"/>
      <c r="I64" s="7" t="n"/>
      <c r="J64" s="7" t="n"/>
      <c r="K64" s="7" t="n">
        <v>16</v>
      </c>
    </row>
    <row r="65">
      <c r="A65" s="6" t="n">
        <v>1992</v>
      </c>
      <c r="B65" s="7" t="n"/>
      <c r="C65" s="7" t="n"/>
      <c r="D65" s="7" t="n"/>
      <c r="E65" s="7" t="n"/>
      <c r="F65" s="7" t="n"/>
      <c r="G65" s="7" t="n"/>
      <c r="H65" s="7" t="n"/>
      <c r="I65" s="7" t="n"/>
      <c r="J65" s="7" t="n"/>
      <c r="K65" s="7" t="n">
        <v>66</v>
      </c>
    </row>
    <row r="66">
      <c r="A66" s="6" t="n">
        <v>1993</v>
      </c>
      <c r="B66" s="7" t="n"/>
      <c r="C66" s="7" t="n"/>
      <c r="D66" s="7" t="n"/>
      <c r="E66" s="7" t="n"/>
      <c r="F66" s="7" t="n"/>
      <c r="G66" s="7" t="n"/>
      <c r="H66" s="7" t="n"/>
      <c r="I66" s="7" t="n"/>
      <c r="J66" s="7" t="n"/>
      <c r="K66" s="7" t="n">
        <v>48</v>
      </c>
    </row>
    <row r="67">
      <c r="A67" s="6" t="n">
        <v>1994</v>
      </c>
      <c r="B67" s="7" t="n"/>
      <c r="C67" s="7" t="n"/>
      <c r="D67" s="7" t="n"/>
      <c r="E67" s="7" t="n"/>
      <c r="F67" s="7" t="n"/>
      <c r="G67" s="7" t="n"/>
      <c r="H67" s="7" t="n"/>
      <c r="I67" s="7" t="n"/>
      <c r="J67" s="7" t="n"/>
      <c r="K67" s="8" t="n">
        <v>29.9</v>
      </c>
    </row>
    <row r="68">
      <c r="A68" s="6" t="n">
        <v>1995</v>
      </c>
      <c r="B68" s="7" t="n"/>
      <c r="C68" s="7" t="n"/>
      <c r="D68" s="7" t="n"/>
      <c r="E68" s="7" t="n"/>
      <c r="F68" s="7" t="n"/>
      <c r="G68" s="7" t="n"/>
      <c r="H68" s="7" t="n"/>
      <c r="I68" s="7" t="n"/>
      <c r="J68" s="7" t="n"/>
      <c r="K68" s="7" t="n">
        <v>36</v>
      </c>
    </row>
    <row r="69">
      <c r="A69" s="6" t="n">
        <v>1996</v>
      </c>
      <c r="B69" s="7" t="n"/>
      <c r="C69" s="7" t="n"/>
      <c r="D69" s="7" t="n"/>
      <c r="E69" s="7" t="n"/>
      <c r="F69" s="7" t="n"/>
      <c r="G69" s="7" t="n"/>
      <c r="H69" s="7" t="n"/>
      <c r="I69" s="7" t="n"/>
      <c r="J69" s="7" t="n"/>
      <c r="K69" s="7" t="n">
        <v>162</v>
      </c>
    </row>
    <row r="70">
      <c r="A70" s="6" t="n">
        <v>1997</v>
      </c>
      <c r="B70" s="7" t="n"/>
      <c r="C70" s="7" t="n"/>
      <c r="D70" s="7" t="n"/>
      <c r="E70" s="7" t="n"/>
      <c r="F70" s="7" t="n"/>
      <c r="G70" s="7" t="n"/>
      <c r="H70" s="7" t="n"/>
      <c r="I70" s="7" t="n"/>
      <c r="J70" s="7" t="n"/>
      <c r="K70" s="7" t="n">
        <v>66</v>
      </c>
    </row>
    <row r="71">
      <c r="A71" s="6" t="n">
        <v>1998</v>
      </c>
      <c r="B71" s="7" t="n"/>
      <c r="C71" s="7" t="n"/>
      <c r="D71" s="7" t="n"/>
      <c r="E71" s="7" t="n"/>
      <c r="F71" s="7" t="n"/>
      <c r="G71" s="7" t="n"/>
      <c r="H71" s="7" t="n"/>
      <c r="I71" s="7" t="n"/>
      <c r="J71" s="7" t="n"/>
      <c r="K71" s="7" t="n">
        <v>60</v>
      </c>
    </row>
    <row r="72">
      <c r="A72" s="6" t="n">
        <v>1999</v>
      </c>
      <c r="B72" s="7" t="n"/>
      <c r="C72" s="7" t="n"/>
      <c r="D72" s="7" t="n"/>
      <c r="E72" s="7" t="n"/>
      <c r="F72" s="7" t="n"/>
      <c r="G72" s="7" t="n"/>
      <c r="H72" s="7" t="n"/>
      <c r="I72" s="7" t="n"/>
      <c r="J72" s="7" t="n"/>
      <c r="K72" s="7" t="n">
        <v>42</v>
      </c>
    </row>
    <row r="73">
      <c r="A73" s="6" t="n">
        <v>2000</v>
      </c>
      <c r="B73" s="7" t="n"/>
      <c r="C73" s="7" t="n"/>
      <c r="D73" s="7" t="n"/>
      <c r="E73" s="7" t="n"/>
      <c r="F73" s="7" t="n"/>
      <c r="G73" s="7" t="n"/>
      <c r="H73" s="7" t="n"/>
      <c r="I73" s="7" t="n"/>
      <c r="J73" s="7" t="n"/>
      <c r="K73" s="7" t="n">
        <v>40</v>
      </c>
    </row>
    <row r="74">
      <c r="A74" s="6" t="n">
        <v>2001</v>
      </c>
      <c r="B74" s="7" t="n"/>
      <c r="C74" s="7" t="n"/>
      <c r="D74" s="7" t="n"/>
      <c r="E74" s="7" t="n"/>
      <c r="F74" s="7" t="n"/>
      <c r="G74" s="7" t="n"/>
      <c r="H74" s="7" t="n"/>
      <c r="I74" s="7" t="n"/>
      <c r="J74" s="7" t="n"/>
      <c r="K74" s="7" t="n">
        <v>36</v>
      </c>
    </row>
    <row r="75">
      <c r="A75" s="6" t="n">
        <v>2002</v>
      </c>
      <c r="B75" s="7" t="n"/>
      <c r="C75" s="7" t="n"/>
      <c r="D75" s="7" t="n"/>
      <c r="E75" s="7" t="n"/>
      <c r="F75" s="7" t="n"/>
      <c r="G75" s="7" t="n"/>
      <c r="H75" s="7" t="n"/>
      <c r="I75" s="7" t="n"/>
      <c r="J75" s="7" t="n"/>
      <c r="K75" s="7" t="n">
        <v>70</v>
      </c>
    </row>
    <row r="76">
      <c r="A76" s="6" t="n">
        <v>2003</v>
      </c>
      <c r="B76" s="7" t="n"/>
      <c r="C76" s="7" t="n"/>
      <c r="D76" s="7" t="n"/>
      <c r="E76" s="7" t="n"/>
      <c r="F76" s="7" t="n"/>
      <c r="G76" s="7" t="n"/>
      <c r="H76" s="7" t="n"/>
      <c r="I76" s="7" t="n"/>
      <c r="J76" s="7" t="n"/>
      <c r="K76" s="7" t="n">
        <v>40</v>
      </c>
    </row>
    <row r="77">
      <c r="A77" s="6" t="n">
        <v>2004</v>
      </c>
      <c r="B77" s="7" t="n"/>
      <c r="C77" s="7" t="n"/>
      <c r="D77" s="7" t="n"/>
      <c r="E77" s="7" t="n"/>
      <c r="F77" s="7" t="n"/>
      <c r="G77" s="7" t="n"/>
      <c r="H77" s="7" t="n"/>
      <c r="I77" s="7" t="n"/>
      <c r="J77" s="7" t="n"/>
      <c r="K77" s="8" t="n">
        <v>17.1</v>
      </c>
    </row>
    <row r="78">
      <c r="A78" s="6" t="n">
        <v>2005</v>
      </c>
      <c r="B78" s="8" t="n">
        <v>3.7</v>
      </c>
      <c r="C78" s="8" t="n">
        <v>7.1</v>
      </c>
      <c r="D78" s="8" t="n">
        <v>9.300000000000001</v>
      </c>
      <c r="E78" s="8" t="n">
        <v>13.8</v>
      </c>
      <c r="F78" s="8" t="n">
        <v>18.1</v>
      </c>
      <c r="G78" s="8" t="n">
        <v>26.3</v>
      </c>
      <c r="H78" s="8" t="n">
        <v>32</v>
      </c>
      <c r="I78" s="8" t="n">
        <v>47.6</v>
      </c>
      <c r="J78" s="8" t="n">
        <v>61.9</v>
      </c>
      <c r="K78" s="8" t="n">
        <v>80.2</v>
      </c>
    </row>
    <row r="79">
      <c r="A79" s="6" t="n">
        <v>2006</v>
      </c>
      <c r="B79" s="8" t="n">
        <v>2.8</v>
      </c>
      <c r="C79" s="8" t="n">
        <v>3.9</v>
      </c>
      <c r="D79" s="8" t="n">
        <v>5.2</v>
      </c>
      <c r="E79" s="8" t="n">
        <v>9.1</v>
      </c>
      <c r="F79" s="8" t="n">
        <v>11.3</v>
      </c>
      <c r="G79" s="8" t="n">
        <v>16.5</v>
      </c>
      <c r="H79" s="8" t="n">
        <v>16.6</v>
      </c>
      <c r="I79" s="8" t="n">
        <v>16.9</v>
      </c>
      <c r="J79" s="8" t="n">
        <v>17</v>
      </c>
      <c r="K79" s="7" t="n">
        <v>31</v>
      </c>
    </row>
    <row r="80">
      <c r="A80" s="6" t="n">
        <v>2007</v>
      </c>
      <c r="B80" s="8" t="n">
        <v>5</v>
      </c>
      <c r="C80" s="8" t="n">
        <v>7.2</v>
      </c>
      <c r="D80" s="8" t="n">
        <v>9.5</v>
      </c>
      <c r="E80" s="8" t="n">
        <v>15.3</v>
      </c>
      <c r="F80" s="8" t="n">
        <v>23.6</v>
      </c>
      <c r="G80" s="8" t="n">
        <v>36.1</v>
      </c>
      <c r="H80" s="8" t="n">
        <v>43</v>
      </c>
      <c r="I80" s="8" t="n">
        <v>55.7</v>
      </c>
      <c r="J80" s="8" t="n">
        <v>68.90000000000001</v>
      </c>
      <c r="K80" s="8" t="n">
        <v>74.40000000000001</v>
      </c>
    </row>
    <row r="81">
      <c r="A81" s="6" t="n">
        <v>2008</v>
      </c>
      <c r="B81" s="8" t="n">
        <v>2.5</v>
      </c>
      <c r="C81" s="8" t="n">
        <v>4.9</v>
      </c>
      <c r="D81" s="8" t="n">
        <v>6.2</v>
      </c>
      <c r="E81" s="8" t="n">
        <v>8.6</v>
      </c>
      <c r="F81" s="8" t="n">
        <v>13</v>
      </c>
      <c r="G81" s="8" t="n">
        <v>14</v>
      </c>
      <c r="H81" s="8" t="n">
        <v>14.1</v>
      </c>
      <c r="I81" s="8" t="n">
        <v>14.2</v>
      </c>
      <c r="J81" s="8" t="n">
        <v>14.2</v>
      </c>
      <c r="K81" s="8" t="n">
        <v>14.5</v>
      </c>
    </row>
    <row r="82">
      <c r="A82" s="6" t="n">
        <v>2009</v>
      </c>
      <c r="B82" s="8" t="n">
        <v>2.6</v>
      </c>
      <c r="C82" s="8" t="n">
        <v>4.9</v>
      </c>
      <c r="D82" s="8" t="n">
        <v>5.8</v>
      </c>
      <c r="E82" s="8" t="n">
        <v>7.8</v>
      </c>
      <c r="F82" s="8" t="n">
        <v>8.1</v>
      </c>
      <c r="G82" s="8" t="n">
        <v>8.1</v>
      </c>
      <c r="H82" s="8" t="n">
        <v>9.5</v>
      </c>
      <c r="I82" s="8" t="n">
        <v>10.2</v>
      </c>
      <c r="J82" s="8" t="n">
        <v>10.8</v>
      </c>
      <c r="K82" s="8" t="n">
        <v>18.3</v>
      </c>
    </row>
    <row r="83">
      <c r="A83" s="6" t="n">
        <v>2010</v>
      </c>
      <c r="B83" s="8" t="n">
        <v>9.9</v>
      </c>
      <c r="C83" s="8" t="n">
        <v>17.2</v>
      </c>
      <c r="D83" s="8" t="n">
        <v>22.1</v>
      </c>
      <c r="E83" s="8" t="n">
        <v>26.9</v>
      </c>
      <c r="F83" s="8" t="n">
        <v>36.4</v>
      </c>
      <c r="G83" s="8" t="n">
        <v>56.3</v>
      </c>
      <c r="H83" s="8" t="n">
        <v>62.5</v>
      </c>
      <c r="I83" s="8" t="n">
        <v>77</v>
      </c>
      <c r="J83" s="8" t="n">
        <v>90.59999999999999</v>
      </c>
      <c r="K83" s="8" t="n">
        <v>93.09999999999999</v>
      </c>
    </row>
    <row r="84">
      <c r="A84" s="6" t="n">
        <v>2011</v>
      </c>
      <c r="B84" s="8" t="n">
        <v>8.699999999999999</v>
      </c>
      <c r="C84" s="8" t="n">
        <v>8.800000000000001</v>
      </c>
      <c r="D84" s="8" t="n">
        <v>10.2</v>
      </c>
      <c r="E84" s="8" t="n">
        <v>18</v>
      </c>
      <c r="F84" s="8" t="n">
        <v>22.4</v>
      </c>
      <c r="G84" s="8" t="n">
        <v>26.1</v>
      </c>
      <c r="H84" s="8" t="n">
        <v>29.1</v>
      </c>
      <c r="I84" s="8" t="n">
        <v>36.4</v>
      </c>
      <c r="J84" s="8" t="n">
        <v>40.6</v>
      </c>
      <c r="K84" s="8" t="n">
        <v>41.1</v>
      </c>
    </row>
    <row r="85">
      <c r="A85" s="6" t="n">
        <v>2012</v>
      </c>
      <c r="B85" s="8" t="n">
        <v>10.4</v>
      </c>
      <c r="C85" s="8" t="n">
        <v>14.1</v>
      </c>
      <c r="D85" s="8" t="n">
        <v>15.5</v>
      </c>
      <c r="E85" s="8" t="n">
        <v>17.3</v>
      </c>
      <c r="F85" s="8" t="n">
        <v>21.6</v>
      </c>
      <c r="G85" s="8" t="n">
        <v>24.9</v>
      </c>
      <c r="H85" s="8" t="n">
        <v>26.9</v>
      </c>
      <c r="I85" s="8" t="n">
        <v>29.5</v>
      </c>
      <c r="J85" s="8" t="n">
        <v>35.8</v>
      </c>
      <c r="K85" s="8" t="n">
        <v>39.4</v>
      </c>
    </row>
    <row r="86">
      <c r="A86" s="6" t="n">
        <v>2013</v>
      </c>
      <c r="B86" s="8" t="n">
        <v>4.5</v>
      </c>
      <c r="C86" s="8" t="n">
        <v>6.4</v>
      </c>
      <c r="D86" s="8" t="n">
        <v>8.1</v>
      </c>
      <c r="E86" s="8" t="n">
        <v>11.9</v>
      </c>
      <c r="F86" s="8" t="n">
        <v>14.5</v>
      </c>
      <c r="G86" s="8" t="n">
        <v>19.9</v>
      </c>
      <c r="H86" s="8" t="n">
        <v>23.2</v>
      </c>
      <c r="I86" s="8" t="n">
        <v>27.8</v>
      </c>
      <c r="J86" s="8" t="n">
        <v>28.2</v>
      </c>
      <c r="K86" s="8" t="n">
        <v>34.7</v>
      </c>
    </row>
    <row r="87">
      <c r="A87" s="6" t="n">
        <v>2014</v>
      </c>
      <c r="B87" s="8" t="n">
        <v>2.9</v>
      </c>
      <c r="C87" s="8" t="n">
        <v>4.7</v>
      </c>
      <c r="D87" s="8" t="n">
        <v>6.4</v>
      </c>
      <c r="E87" s="8" t="n">
        <v>10.7</v>
      </c>
      <c r="F87" s="8" t="n">
        <v>16.2</v>
      </c>
      <c r="G87" s="8" t="n">
        <v>23.1</v>
      </c>
      <c r="H87" s="8" t="n">
        <v>23.2</v>
      </c>
      <c r="I87" s="8" t="n">
        <v>26.2</v>
      </c>
      <c r="J87" s="8" t="n">
        <v>37.8</v>
      </c>
      <c r="K87" s="8" t="n">
        <v>50.3</v>
      </c>
    </row>
    <row r="88">
      <c r="A88" s="6" t="n">
        <v>2015</v>
      </c>
      <c r="B88" s="8" t="n">
        <v>2.9</v>
      </c>
      <c r="C88" s="8" t="n">
        <v>4.4</v>
      </c>
      <c r="D88" s="8" t="n">
        <v>5.4</v>
      </c>
      <c r="E88" s="8" t="n">
        <v>6.6</v>
      </c>
      <c r="F88" s="8" t="n">
        <v>10.4</v>
      </c>
      <c r="G88" s="8" t="n">
        <v>12.6</v>
      </c>
      <c r="H88" s="8" t="n">
        <v>12.8</v>
      </c>
      <c r="I88" s="8" t="n">
        <v>12.9</v>
      </c>
      <c r="J88" s="8" t="n">
        <v>12.9</v>
      </c>
      <c r="K88" s="8" t="n">
        <v>14.6</v>
      </c>
    </row>
    <row r="89">
      <c r="A89" s="6" t="n">
        <v>2016</v>
      </c>
      <c r="B89" s="8" t="n">
        <v>6.1</v>
      </c>
      <c r="C89" s="8" t="n">
        <v>9</v>
      </c>
      <c r="D89" s="8" t="n">
        <v>11.5</v>
      </c>
      <c r="E89" s="8" t="n">
        <v>20</v>
      </c>
      <c r="F89" s="8" t="n">
        <v>27.3</v>
      </c>
      <c r="G89" s="8" t="n">
        <v>29.5</v>
      </c>
      <c r="H89" s="8" t="n">
        <v>29.6</v>
      </c>
      <c r="I89" s="8" t="n">
        <v>29.6</v>
      </c>
      <c r="J89" s="8" t="n">
        <v>31.4</v>
      </c>
      <c r="K89" s="8" t="n">
        <v>46.4</v>
      </c>
    </row>
    <row r="90">
      <c r="A90" s="6" t="n">
        <v>2017</v>
      </c>
      <c r="B90" s="7" t="n">
        <v>6</v>
      </c>
      <c r="C90" s="7" t="n">
        <v>8.4</v>
      </c>
      <c r="D90" s="7" t="n">
        <v>9.4</v>
      </c>
      <c r="E90" s="7" t="n">
        <v>9.6</v>
      </c>
      <c r="F90" s="7" t="n">
        <v>9.800000000000001</v>
      </c>
      <c r="G90" s="8" t="n">
        <v>11.4</v>
      </c>
      <c r="H90" s="8" t="n">
        <v>13</v>
      </c>
      <c r="I90" s="8" t="n">
        <v>14.9</v>
      </c>
      <c r="J90" s="8" t="n">
        <v>15.4</v>
      </c>
      <c r="K90" s="8" t="n">
        <v>15.6</v>
      </c>
    </row>
    <row r="91">
      <c r="A91" s="6" t="n">
        <v>2019</v>
      </c>
      <c r="B91" s="7" t="n">
        <v>5.8</v>
      </c>
      <c r="C91" s="7" t="n">
        <v>9.199999999999999</v>
      </c>
      <c r="D91" s="7" t="n">
        <v>11</v>
      </c>
      <c r="E91" s="7" t="n">
        <v>13.3</v>
      </c>
      <c r="F91" s="7" t="n">
        <v>13.8</v>
      </c>
      <c r="G91" s="7" t="n">
        <v>17</v>
      </c>
      <c r="H91" s="7" t="n">
        <v>18.2</v>
      </c>
      <c r="I91" s="7" t="n">
        <v>21.2</v>
      </c>
      <c r="J91" s="7" t="n">
        <v>21.3</v>
      </c>
      <c r="K91" s="7" t="n">
        <v>26.3</v>
      </c>
    </row>
    <row r="92">
      <c r="A92" s="6" t="n">
        <v>2020</v>
      </c>
      <c r="B92" s="7" t="n">
        <v>7.6</v>
      </c>
      <c r="C92" s="7" t="n">
        <v>11.6</v>
      </c>
      <c r="D92" s="7" t="n">
        <v>15.2</v>
      </c>
      <c r="E92" s="7" t="n">
        <v>21.2</v>
      </c>
      <c r="F92" s="7" t="n">
        <v>28</v>
      </c>
      <c r="G92" s="7" t="n">
        <v>49.4</v>
      </c>
      <c r="H92" s="7" t="n">
        <v>54.2</v>
      </c>
      <c r="I92" s="7" t="n">
        <v>58.2</v>
      </c>
      <c r="J92" s="7" t="n">
        <v>59.9</v>
      </c>
      <c r="K92" s="7" t="n">
        <v>60.2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Y27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</cols>
  <sheetData>
    <row r="1">
      <c r="A1" s="1" t="inlineStr">
        <is>
          <t>Gauge 49  |  FL762629AF  |  Siya at Siya</t>
        </is>
      </c>
    </row>
    <row r="3">
      <c r="A3" s="2" t="inlineStr">
        <is>
          <t>AMS BEFORE gap filling (observed only, mm)</t>
        </is>
      </c>
      <c r="M3" s="3" t="inlineStr">
        <is>
          <t>IDF - design rainfall DEPTH (mm)</t>
        </is>
      </c>
    </row>
    <row r="4">
      <c r="A4" s="4" t="inlineStr">
        <is>
          <t>Water year</t>
        </is>
      </c>
      <c r="B4" s="5" t="inlineStr">
        <is>
          <t>5min</t>
        </is>
      </c>
      <c r="C4" s="5" t="inlineStr">
        <is>
          <t>10min</t>
        </is>
      </c>
      <c r="D4" s="5" t="inlineStr">
        <is>
          <t>15min</t>
        </is>
      </c>
      <c r="E4" s="5" t="inlineStr">
        <is>
          <t>30min</t>
        </is>
      </c>
      <c r="F4" s="5" t="inlineStr">
        <is>
          <t>1h</t>
        </is>
      </c>
      <c r="G4" s="5" t="inlineStr">
        <is>
          <t>2h</t>
        </is>
      </c>
      <c r="H4" s="5" t="inlineStr">
        <is>
          <t>3h</t>
        </is>
      </c>
      <c r="I4" s="5" t="inlineStr">
        <is>
          <t>6h</t>
        </is>
      </c>
      <c r="J4" s="5" t="inlineStr">
        <is>
          <t>12h</t>
        </is>
      </c>
      <c r="K4" s="5" t="inlineStr">
        <is>
          <t>24h</t>
        </is>
      </c>
      <c r="M4" s="4" t="inlineStr">
        <is>
          <t>Duration \ RP</t>
        </is>
      </c>
      <c r="N4" s="4" t="n">
        <v>2</v>
      </c>
      <c r="O4" s="4" t="n">
        <v>5</v>
      </c>
      <c r="P4" s="4" t="n">
        <v>10</v>
      </c>
      <c r="Q4" s="4" t="n">
        <v>25</v>
      </c>
      <c r="R4" s="4" t="n">
        <v>50</v>
      </c>
      <c r="S4" s="4" t="n">
        <v>100</v>
      </c>
      <c r="T4" s="4" t="n">
        <v>200</v>
      </c>
      <c r="U4" s="4" t="n">
        <v>500</v>
      </c>
      <c r="V4" s="4" t="n">
        <v>1000</v>
      </c>
      <c r="W4" s="4" t="n">
        <v>2000</v>
      </c>
      <c r="X4" s="4" t="n">
        <v>5000</v>
      </c>
      <c r="Y4" s="4" t="n">
        <v>10000</v>
      </c>
    </row>
    <row r="5">
      <c r="A5" s="6" t="n">
        <v>2016</v>
      </c>
      <c r="B5" s="7" t="n">
        <v>18.2</v>
      </c>
      <c r="C5" s="7" t="n">
        <v>27.2</v>
      </c>
      <c r="D5" s="7" t="n">
        <v>27.2</v>
      </c>
      <c r="E5" s="7" t="n">
        <v>30.2</v>
      </c>
      <c r="F5" s="7" t="n">
        <v>30.8</v>
      </c>
      <c r="G5" s="7" t="n">
        <v>30.8</v>
      </c>
      <c r="H5" s="7" t="n">
        <v>30.8</v>
      </c>
      <c r="I5" s="7" t="n">
        <v>30.8</v>
      </c>
      <c r="J5" s="7" t="n">
        <v>30.8</v>
      </c>
      <c r="K5" s="7" t="n">
        <v>30.8</v>
      </c>
      <c r="M5" s="6" t="inlineStr">
        <is>
          <t>5min</t>
        </is>
      </c>
      <c r="N5" s="6" t="n">
        <v>4.9</v>
      </c>
      <c r="O5" s="6" t="n">
        <v>7.7</v>
      </c>
      <c r="P5" s="6" t="n">
        <v>9.5</v>
      </c>
      <c r="Q5" s="6" t="n">
        <v>11.9</v>
      </c>
      <c r="R5" s="6" t="n">
        <v>13.7</v>
      </c>
      <c r="S5" s="6" t="n">
        <v>15.6</v>
      </c>
      <c r="T5" s="6" t="n">
        <v>17.5</v>
      </c>
      <c r="U5" s="6" t="n">
        <v>20</v>
      </c>
      <c r="V5" s="6" t="n">
        <v>21.9</v>
      </c>
      <c r="W5" s="6" t="n">
        <v>23.9</v>
      </c>
      <c r="X5" s="6" t="n">
        <v>26.5</v>
      </c>
      <c r="Y5" s="6" t="n">
        <v>28.6</v>
      </c>
    </row>
    <row r="6">
      <c r="A6" s="6" t="n">
        <v>2017</v>
      </c>
      <c r="B6" s="7" t="n">
        <v>3</v>
      </c>
      <c r="C6" s="7" t="n">
        <v>5.8</v>
      </c>
      <c r="D6" s="7" t="n">
        <v>6</v>
      </c>
      <c r="E6" s="7" t="n">
        <v>8</v>
      </c>
      <c r="F6" s="7" t="n">
        <v>11.1</v>
      </c>
      <c r="G6" s="7" t="n">
        <v>14.6</v>
      </c>
      <c r="H6" s="7" t="n">
        <v>17.4</v>
      </c>
      <c r="I6" s="7" t="n">
        <v>17.5</v>
      </c>
      <c r="J6" s="7" t="n">
        <v>17.6</v>
      </c>
      <c r="K6" s="7" t="n">
        <v>17.6</v>
      </c>
      <c r="M6" s="6" t="inlineStr">
        <is>
          <t>10min</t>
        </is>
      </c>
      <c r="N6" s="6" t="n">
        <v>7.9</v>
      </c>
      <c r="O6" s="6" t="n">
        <v>12.4</v>
      </c>
      <c r="P6" s="6" t="n">
        <v>15.6</v>
      </c>
      <c r="Q6" s="6" t="n">
        <v>19.7</v>
      </c>
      <c r="R6" s="6" t="n">
        <v>22.9</v>
      </c>
      <c r="S6" s="6" t="n">
        <v>26.1</v>
      </c>
      <c r="T6" s="6" t="n">
        <v>29.5</v>
      </c>
      <c r="U6" s="6" t="n">
        <v>34.2</v>
      </c>
      <c r="V6" s="6" t="n">
        <v>37.8</v>
      </c>
      <c r="W6" s="6" t="n">
        <v>41.6</v>
      </c>
      <c r="X6" s="6" t="n">
        <v>46.8</v>
      </c>
      <c r="Y6" s="6" t="n">
        <v>50.9</v>
      </c>
    </row>
    <row r="7">
      <c r="A7" s="6" t="n">
        <v>2018</v>
      </c>
      <c r="B7" s="7" t="n">
        <v>5.4</v>
      </c>
      <c r="C7" s="7" t="n">
        <v>7.8</v>
      </c>
      <c r="D7" s="7" t="n">
        <v>9.800000000000001</v>
      </c>
      <c r="E7" s="7" t="n">
        <v>13.2</v>
      </c>
      <c r="F7" s="7" t="n">
        <v>13.5</v>
      </c>
      <c r="G7" s="7" t="n">
        <v>13.6</v>
      </c>
      <c r="H7" s="7" t="n">
        <v>16</v>
      </c>
      <c r="I7" s="7" t="n">
        <v>18.9</v>
      </c>
      <c r="J7" s="7" t="n">
        <v>19.1</v>
      </c>
      <c r="K7" s="7" t="n">
        <v>24.8</v>
      </c>
      <c r="M7" s="6" t="inlineStr">
        <is>
          <t>15min</t>
        </is>
      </c>
      <c r="N7" s="6" t="n">
        <v>10</v>
      </c>
      <c r="O7" s="6" t="n">
        <v>15.9</v>
      </c>
      <c r="P7" s="6" t="n">
        <v>20.2</v>
      </c>
      <c r="Q7" s="6" t="n">
        <v>25.9</v>
      </c>
      <c r="R7" s="6" t="n">
        <v>30.5</v>
      </c>
      <c r="S7" s="6" t="n">
        <v>35.3</v>
      </c>
      <c r="T7" s="6" t="n">
        <v>40.3</v>
      </c>
      <c r="U7" s="6" t="n">
        <v>47.5</v>
      </c>
      <c r="V7" s="6" t="n">
        <v>53.3</v>
      </c>
      <c r="W7" s="6" t="n">
        <v>59.4</v>
      </c>
      <c r="X7" s="6" t="n">
        <v>68</v>
      </c>
      <c r="Y7" s="6" t="n">
        <v>75</v>
      </c>
    </row>
    <row r="8">
      <c r="A8" s="6" t="n">
        <v>2019</v>
      </c>
      <c r="B8" s="7" t="n">
        <v>10.2</v>
      </c>
      <c r="C8" s="7" t="n">
        <v>16.6</v>
      </c>
      <c r="D8" s="7" t="n">
        <v>22.6</v>
      </c>
      <c r="E8" s="7" t="n">
        <v>37.4</v>
      </c>
      <c r="F8" s="7" t="n">
        <v>50.8</v>
      </c>
      <c r="G8" s="7" t="n">
        <v>51</v>
      </c>
      <c r="H8" s="7" t="n">
        <v>51.1</v>
      </c>
      <c r="I8" s="7" t="n">
        <v>51.2</v>
      </c>
      <c r="J8" s="7" t="n">
        <v>51.4</v>
      </c>
      <c r="K8" s="7" t="n">
        <v>75</v>
      </c>
      <c r="M8" s="6" t="inlineStr">
        <is>
          <t>30min</t>
        </is>
      </c>
      <c r="N8" s="6" t="n">
        <v>13.8</v>
      </c>
      <c r="O8" s="6" t="n">
        <v>22.4</v>
      </c>
      <c r="P8" s="6" t="n">
        <v>28.5</v>
      </c>
      <c r="Q8" s="6" t="n">
        <v>36.9</v>
      </c>
      <c r="R8" s="6" t="n">
        <v>43.6</v>
      </c>
      <c r="S8" s="6" t="n">
        <v>50.6</v>
      </c>
      <c r="T8" s="6" t="n">
        <v>58.1</v>
      </c>
      <c r="U8" s="6" t="n">
        <v>68.7</v>
      </c>
      <c r="V8" s="6" t="n">
        <v>77.2</v>
      </c>
      <c r="W8" s="6" t="n">
        <v>86.3</v>
      </c>
      <c r="X8" s="6" t="n">
        <v>99.09999999999999</v>
      </c>
      <c r="Y8" s="6" t="n">
        <v>109.6</v>
      </c>
    </row>
    <row r="9">
      <c r="A9" s="6" t="n">
        <v>2020</v>
      </c>
      <c r="B9" s="7" t="n"/>
      <c r="C9" s="7" t="n"/>
      <c r="D9" s="7" t="n">
        <v>11.3</v>
      </c>
      <c r="E9" s="7" t="n">
        <v>15.2</v>
      </c>
      <c r="F9" s="7" t="n">
        <v>16.4</v>
      </c>
      <c r="G9" s="7" t="n">
        <v>16.4</v>
      </c>
      <c r="H9" s="7" t="n">
        <v>16.4</v>
      </c>
      <c r="I9" s="7" t="n">
        <v>16.4</v>
      </c>
      <c r="J9" s="7" t="n">
        <v>16.4</v>
      </c>
      <c r="K9" s="7" t="n">
        <v>16.4</v>
      </c>
      <c r="M9" s="6" t="inlineStr">
        <is>
          <t>1h</t>
        </is>
      </c>
      <c r="N9" s="6" t="n">
        <v>17.3</v>
      </c>
      <c r="O9" s="6" t="n">
        <v>28.5</v>
      </c>
      <c r="P9" s="6" t="n">
        <v>36.6</v>
      </c>
      <c r="Q9" s="6" t="n">
        <v>48</v>
      </c>
      <c r="R9" s="6" t="n">
        <v>57.1</v>
      </c>
      <c r="S9" s="6" t="n">
        <v>67</v>
      </c>
      <c r="T9" s="6" t="n">
        <v>77.59999999999999</v>
      </c>
      <c r="U9" s="6" t="n">
        <v>92.8</v>
      </c>
      <c r="V9" s="6" t="n">
        <v>105.4</v>
      </c>
      <c r="W9" s="6" t="n">
        <v>118.9</v>
      </c>
      <c r="X9" s="6" t="n">
        <v>138.4</v>
      </c>
      <c r="Y9" s="6" t="n">
        <v>154.6</v>
      </c>
    </row>
    <row r="10">
      <c r="M10" s="6" t="inlineStr">
        <is>
          <t>2h</t>
        </is>
      </c>
      <c r="N10" s="6" t="n">
        <v>20.1</v>
      </c>
      <c r="O10" s="6" t="n">
        <v>34.2</v>
      </c>
      <c r="P10" s="6" t="n">
        <v>45.2</v>
      </c>
      <c r="Q10" s="6" t="n">
        <v>61.6</v>
      </c>
      <c r="R10" s="6" t="n">
        <v>75.59999999999999</v>
      </c>
      <c r="S10" s="6" t="n">
        <v>91.5</v>
      </c>
      <c r="T10" s="6" t="n">
        <v>109.5</v>
      </c>
      <c r="U10" s="6" t="n">
        <v>136.9</v>
      </c>
      <c r="V10" s="6" t="n">
        <v>161</v>
      </c>
      <c r="W10" s="6" t="n">
        <v>188.2</v>
      </c>
      <c r="X10" s="6" t="n">
        <v>229.9</v>
      </c>
      <c r="Y10" s="6" t="n">
        <v>266.4</v>
      </c>
    </row>
    <row r="11">
      <c r="M11" s="6" t="inlineStr">
        <is>
          <t>3h</t>
        </is>
      </c>
      <c r="N11" s="6" t="n">
        <v>21.5</v>
      </c>
      <c r="O11" s="6" t="n">
        <v>37.6</v>
      </c>
      <c r="P11" s="6" t="n">
        <v>51</v>
      </c>
      <c r="Q11" s="6" t="n">
        <v>71.8</v>
      </c>
      <c r="R11" s="6" t="n">
        <v>90.8</v>
      </c>
      <c r="S11" s="6" t="n">
        <v>113</v>
      </c>
      <c r="T11" s="6" t="n">
        <v>139.4</v>
      </c>
      <c r="U11" s="6" t="n">
        <v>181.8</v>
      </c>
      <c r="V11" s="6" t="n">
        <v>220.7</v>
      </c>
      <c r="W11" s="6" t="n">
        <v>266.9</v>
      </c>
      <c r="X11" s="6" t="n">
        <v>341.3</v>
      </c>
      <c r="Y11" s="6" t="n">
        <v>409.7</v>
      </c>
    </row>
    <row r="12">
      <c r="A12" s="2" t="inlineStr">
        <is>
          <t>AMS AFTER gap filling (mm)  -  yellow = added or changed by gap filling</t>
        </is>
      </c>
      <c r="M12" s="6" t="inlineStr">
        <is>
          <t>6h</t>
        </is>
      </c>
      <c r="N12" s="6" t="n">
        <v>24.3</v>
      </c>
      <c r="O12" s="6" t="n">
        <v>44.7</v>
      </c>
      <c r="P12" s="6" t="n">
        <v>63</v>
      </c>
      <c r="Q12" s="6" t="n">
        <v>93.40000000000001</v>
      </c>
      <c r="R12" s="6" t="n">
        <v>122.9</v>
      </c>
      <c r="S12" s="6" t="n">
        <v>159.6</v>
      </c>
      <c r="T12" s="6" t="n">
        <v>205.5</v>
      </c>
      <c r="U12" s="6" t="n">
        <v>284.2</v>
      </c>
      <c r="V12" s="6" t="n">
        <v>361.4</v>
      </c>
      <c r="W12" s="6" t="n">
        <v>458</v>
      </c>
      <c r="X12" s="6" t="n">
        <v>624</v>
      </c>
      <c r="Y12" s="6" t="n">
        <v>786.8</v>
      </c>
    </row>
    <row r="13">
      <c r="A13" s="4" t="inlineStr">
        <is>
          <t>Water year</t>
        </is>
      </c>
      <c r="B13" s="5" t="inlineStr">
        <is>
          <t>5min</t>
        </is>
      </c>
      <c r="C13" s="5" t="inlineStr">
        <is>
          <t>10min</t>
        </is>
      </c>
      <c r="D13" s="5" t="inlineStr">
        <is>
          <t>15min</t>
        </is>
      </c>
      <c r="E13" s="5" t="inlineStr">
        <is>
          <t>30min</t>
        </is>
      </c>
      <c r="F13" s="5" t="inlineStr">
        <is>
          <t>1h</t>
        </is>
      </c>
      <c r="G13" s="5" t="inlineStr">
        <is>
          <t>2h</t>
        </is>
      </c>
      <c r="H13" s="5" t="inlineStr">
        <is>
          <t>3h</t>
        </is>
      </c>
      <c r="I13" s="5" t="inlineStr">
        <is>
          <t>6h</t>
        </is>
      </c>
      <c r="J13" s="5" t="inlineStr">
        <is>
          <t>12h</t>
        </is>
      </c>
      <c r="K13" s="5" t="inlineStr">
        <is>
          <t>24h</t>
        </is>
      </c>
      <c r="M13" s="6" t="inlineStr">
        <is>
          <t>12h</t>
        </is>
      </c>
      <c r="N13" s="6" t="n">
        <v>27.1</v>
      </c>
      <c r="O13" s="6" t="n">
        <v>51.6</v>
      </c>
      <c r="P13" s="6" t="n">
        <v>74.5</v>
      </c>
      <c r="Q13" s="6" t="n">
        <v>114.1</v>
      </c>
      <c r="R13" s="6" t="n">
        <v>153.8</v>
      </c>
      <c r="S13" s="6" t="n">
        <v>204.7</v>
      </c>
      <c r="T13" s="6" t="n">
        <v>270.4</v>
      </c>
      <c r="U13" s="6" t="n">
        <v>387.2</v>
      </c>
      <c r="V13" s="6" t="n">
        <v>505.6</v>
      </c>
      <c r="W13" s="6" t="n">
        <v>658.5</v>
      </c>
      <c r="X13" s="6" t="n">
        <v>930.8</v>
      </c>
      <c r="Y13" s="6" t="n">
        <v>1207.1</v>
      </c>
    </row>
    <row r="14">
      <c r="A14" s="6" t="n">
        <v>2016</v>
      </c>
      <c r="B14" s="7" t="n">
        <v>18.2</v>
      </c>
      <c r="C14" s="7" t="n">
        <v>27.2</v>
      </c>
      <c r="D14" s="7" t="n">
        <v>27.2</v>
      </c>
      <c r="E14" s="7" t="n">
        <v>30.2</v>
      </c>
      <c r="F14" s="7" t="n">
        <v>30.8</v>
      </c>
      <c r="G14" s="7" t="n">
        <v>30.8</v>
      </c>
      <c r="H14" s="7" t="n">
        <v>30.8</v>
      </c>
      <c r="I14" s="7" t="n">
        <v>30.8</v>
      </c>
      <c r="J14" s="7" t="n">
        <v>30.8</v>
      </c>
      <c r="K14" s="7" t="n">
        <v>30.8</v>
      </c>
      <c r="M14" s="6" t="inlineStr">
        <is>
          <t>24h</t>
        </is>
      </c>
      <c r="N14" s="6" t="n">
        <v>33.1</v>
      </c>
      <c r="O14" s="6" t="n">
        <v>63.2</v>
      </c>
      <c r="P14" s="6" t="n">
        <v>90.40000000000001</v>
      </c>
      <c r="Q14" s="6" t="n">
        <v>136.1</v>
      </c>
      <c r="R14" s="6" t="n">
        <v>180.7</v>
      </c>
      <c r="S14" s="6" t="n">
        <v>236.7</v>
      </c>
      <c r="T14" s="6" t="n">
        <v>307.1</v>
      </c>
      <c r="U14" s="6" t="n">
        <v>429</v>
      </c>
      <c r="V14" s="6" t="n">
        <v>549.3</v>
      </c>
      <c r="W14" s="6" t="n">
        <v>701</v>
      </c>
      <c r="X14" s="6" t="n">
        <v>963.9</v>
      </c>
      <c r="Y14" s="6" t="n">
        <v>1223.6</v>
      </c>
    </row>
    <row r="15">
      <c r="A15" s="6" t="n">
        <v>2017</v>
      </c>
      <c r="B15" s="7" t="n">
        <v>3</v>
      </c>
      <c r="C15" s="7" t="n">
        <v>5.8</v>
      </c>
      <c r="D15" s="7" t="n">
        <v>6</v>
      </c>
      <c r="E15" s="7" t="n">
        <v>8</v>
      </c>
      <c r="F15" s="7" t="n">
        <v>11.1</v>
      </c>
      <c r="G15" s="7" t="n">
        <v>14.6</v>
      </c>
      <c r="H15" s="7" t="n">
        <v>17.4</v>
      </c>
      <c r="I15" s="7" t="n">
        <v>17.5</v>
      </c>
      <c r="J15" s="7" t="n">
        <v>17.6</v>
      </c>
      <c r="K15" s="7" t="n">
        <v>17.6</v>
      </c>
    </row>
    <row r="16">
      <c r="A16" s="6" t="n">
        <v>2018</v>
      </c>
      <c r="B16" s="7" t="n">
        <v>5.4</v>
      </c>
      <c r="C16" s="7" t="n">
        <v>7.8</v>
      </c>
      <c r="D16" s="7" t="n">
        <v>9.800000000000001</v>
      </c>
      <c r="E16" s="7" t="n">
        <v>13.2</v>
      </c>
      <c r="F16" s="7" t="n">
        <v>13.5</v>
      </c>
      <c r="G16" s="7" t="n">
        <v>13.6</v>
      </c>
      <c r="H16" s="7" t="n">
        <v>16</v>
      </c>
      <c r="I16" s="7" t="n">
        <v>18.9</v>
      </c>
      <c r="J16" s="7" t="n">
        <v>19.1</v>
      </c>
      <c r="K16" s="7" t="n">
        <v>24.8</v>
      </c>
      <c r="M16" s="3" t="inlineStr">
        <is>
          <t>IDF - intensity (mm/hr) [x=duration(min)]</t>
        </is>
      </c>
    </row>
    <row r="17">
      <c r="A17" s="6" t="n">
        <v>2019</v>
      </c>
      <c r="B17" s="7" t="n">
        <v>10.2</v>
      </c>
      <c r="C17" s="7" t="n">
        <v>16.6</v>
      </c>
      <c r="D17" s="7" t="n">
        <v>22.6</v>
      </c>
      <c r="E17" s="7" t="n">
        <v>37.4</v>
      </c>
      <c r="F17" s="7" t="n">
        <v>50.8</v>
      </c>
      <c r="G17" s="7" t="n">
        <v>51</v>
      </c>
      <c r="H17" s="7" t="n">
        <v>51.1</v>
      </c>
      <c r="I17" s="7" t="n">
        <v>51.2</v>
      </c>
      <c r="J17" s="7" t="n">
        <v>51.4</v>
      </c>
      <c r="K17" s="7" t="n">
        <v>75</v>
      </c>
      <c r="M17" t="inlineStr">
        <is>
          <t>Duration(min)</t>
        </is>
      </c>
      <c r="N17" t="inlineStr">
        <is>
          <t>2 yr</t>
        </is>
      </c>
      <c r="O17" t="inlineStr">
        <is>
          <t>5 yr</t>
        </is>
      </c>
      <c r="P17" t="inlineStr">
        <is>
          <t>10 yr</t>
        </is>
      </c>
      <c r="Q17" t="inlineStr">
        <is>
          <t>25 yr</t>
        </is>
      </c>
      <c r="R17" t="inlineStr">
        <is>
          <t>50 yr</t>
        </is>
      </c>
      <c r="S17" t="inlineStr">
        <is>
          <t>100 yr</t>
        </is>
      </c>
      <c r="T17" t="inlineStr">
        <is>
          <t>200 yr</t>
        </is>
      </c>
      <c r="U17" t="inlineStr">
        <is>
          <t>500 yr</t>
        </is>
      </c>
      <c r="V17" t="inlineStr">
        <is>
          <t>1000 yr</t>
        </is>
      </c>
      <c r="W17" t="inlineStr">
        <is>
          <t>2000 yr</t>
        </is>
      </c>
      <c r="X17" t="inlineStr">
        <is>
          <t>5000 yr</t>
        </is>
      </c>
      <c r="Y17" t="inlineStr">
        <is>
          <t>10000 yr</t>
        </is>
      </c>
    </row>
    <row r="18">
      <c r="A18" s="6" t="n">
        <v>2020</v>
      </c>
      <c r="B18" s="7" t="n"/>
      <c r="C18" s="7" t="n"/>
      <c r="D18" s="7" t="n">
        <v>11.3</v>
      </c>
      <c r="E18" s="7" t="n">
        <v>15.2</v>
      </c>
      <c r="F18" s="7" t="n">
        <v>16.4</v>
      </c>
      <c r="G18" s="7" t="n">
        <v>16.4</v>
      </c>
      <c r="H18" s="7" t="n">
        <v>16.4</v>
      </c>
      <c r="I18" s="7" t="n">
        <v>16.4</v>
      </c>
      <c r="J18" s="7" t="n">
        <v>16.4</v>
      </c>
      <c r="K18" s="7" t="n">
        <v>16.4</v>
      </c>
      <c r="M18" t="n">
        <v>5</v>
      </c>
      <c r="N18" t="n">
        <v>59</v>
      </c>
      <c r="O18" t="n">
        <v>91.90000000000001</v>
      </c>
      <c r="P18" t="n">
        <v>114.2</v>
      </c>
      <c r="Q18" t="n">
        <v>143.1</v>
      </c>
      <c r="R18" t="n">
        <v>164.9</v>
      </c>
      <c r="S18" t="n">
        <v>187</v>
      </c>
      <c r="T18" t="n">
        <v>209.4</v>
      </c>
      <c r="U18" t="n">
        <v>239.6</v>
      </c>
      <c r="V18" t="n">
        <v>262.9</v>
      </c>
      <c r="W18" t="n">
        <v>286.5</v>
      </c>
      <c r="X18" t="n">
        <v>318.5</v>
      </c>
      <c r="Y18" t="n">
        <v>343.2</v>
      </c>
    </row>
    <row r="19">
      <c r="M19" t="n">
        <v>10</v>
      </c>
      <c r="N19" t="n">
        <v>47.6</v>
      </c>
      <c r="O19" t="n">
        <v>74.59999999999999</v>
      </c>
      <c r="P19" t="n">
        <v>93.40000000000001</v>
      </c>
      <c r="Q19" t="n">
        <v>118.1</v>
      </c>
      <c r="R19" t="n">
        <v>137.2</v>
      </c>
      <c r="S19" t="n">
        <v>156.8</v>
      </c>
      <c r="T19" t="n">
        <v>177.1</v>
      </c>
      <c r="U19" t="n">
        <v>204.9</v>
      </c>
      <c r="V19" t="n">
        <v>226.8</v>
      </c>
      <c r="W19" t="n">
        <v>249.5</v>
      </c>
      <c r="X19" t="n">
        <v>280.7</v>
      </c>
      <c r="Y19" t="n">
        <v>305.2</v>
      </c>
    </row>
    <row r="20">
      <c r="M20" t="n">
        <v>15</v>
      </c>
      <c r="N20" t="n">
        <v>39.9</v>
      </c>
      <c r="O20" t="n">
        <v>63.6</v>
      </c>
      <c r="P20" t="n">
        <v>80.59999999999999</v>
      </c>
      <c r="Q20" t="n">
        <v>103.6</v>
      </c>
      <c r="R20" t="n">
        <v>121.9</v>
      </c>
      <c r="S20" t="n">
        <v>141.1</v>
      </c>
      <c r="T20" t="n">
        <v>161.4</v>
      </c>
      <c r="U20" t="n">
        <v>190</v>
      </c>
      <c r="V20" t="n">
        <v>213.1</v>
      </c>
      <c r="W20" t="n">
        <v>237.5</v>
      </c>
      <c r="X20" t="n">
        <v>272</v>
      </c>
      <c r="Y20" t="n">
        <v>299.9</v>
      </c>
    </row>
    <row r="21">
      <c r="M21" t="n">
        <v>30</v>
      </c>
      <c r="N21" t="n">
        <v>27.6</v>
      </c>
      <c r="O21" t="n">
        <v>44.7</v>
      </c>
      <c r="P21" t="n">
        <v>57.1</v>
      </c>
      <c r="Q21" t="n">
        <v>73.8</v>
      </c>
      <c r="R21" t="n">
        <v>87.2</v>
      </c>
      <c r="S21" t="n">
        <v>101.3</v>
      </c>
      <c r="T21" t="n">
        <v>116.2</v>
      </c>
      <c r="U21" t="n">
        <v>137.3</v>
      </c>
      <c r="V21" t="n">
        <v>154.4</v>
      </c>
      <c r="W21" t="n">
        <v>172.6</v>
      </c>
      <c r="X21" t="n">
        <v>198.3</v>
      </c>
      <c r="Y21" t="n">
        <v>219.2</v>
      </c>
    </row>
    <row r="22">
      <c r="M22" t="n">
        <v>60</v>
      </c>
      <c r="N22" t="n">
        <v>17.3</v>
      </c>
      <c r="O22" t="n">
        <v>28.5</v>
      </c>
      <c r="P22" t="n">
        <v>36.6</v>
      </c>
      <c r="Q22" t="n">
        <v>48</v>
      </c>
      <c r="R22" t="n">
        <v>57.1</v>
      </c>
      <c r="S22" t="n">
        <v>67</v>
      </c>
      <c r="T22" t="n">
        <v>77.59999999999999</v>
      </c>
      <c r="U22" t="n">
        <v>92.8</v>
      </c>
      <c r="V22" t="n">
        <v>105.4</v>
      </c>
      <c r="W22" t="n">
        <v>118.9</v>
      </c>
      <c r="X22" t="n">
        <v>138.4</v>
      </c>
      <c r="Y22" t="n">
        <v>154.6</v>
      </c>
    </row>
    <row r="23">
      <c r="M23" t="n">
        <v>120</v>
      </c>
      <c r="N23" t="n">
        <v>10</v>
      </c>
      <c r="O23" t="n">
        <v>17.1</v>
      </c>
      <c r="P23" t="n">
        <v>22.6</v>
      </c>
      <c r="Q23" t="n">
        <v>30.8</v>
      </c>
      <c r="R23" t="n">
        <v>37.8</v>
      </c>
      <c r="S23" t="n">
        <v>45.8</v>
      </c>
      <c r="T23" t="n">
        <v>54.7</v>
      </c>
      <c r="U23" t="n">
        <v>68.5</v>
      </c>
      <c r="V23" t="n">
        <v>80.5</v>
      </c>
      <c r="W23" t="n">
        <v>94.09999999999999</v>
      </c>
      <c r="X23" t="n">
        <v>115</v>
      </c>
      <c r="Y23" t="n">
        <v>133.2</v>
      </c>
    </row>
    <row r="24">
      <c r="M24" t="n">
        <v>180</v>
      </c>
      <c r="N24" t="n">
        <v>7.2</v>
      </c>
      <c r="O24" t="n">
        <v>12.5</v>
      </c>
      <c r="P24" t="n">
        <v>17</v>
      </c>
      <c r="Q24" t="n">
        <v>23.9</v>
      </c>
      <c r="R24" t="n">
        <v>30.3</v>
      </c>
      <c r="S24" t="n">
        <v>37.7</v>
      </c>
      <c r="T24" t="n">
        <v>46.5</v>
      </c>
      <c r="U24" t="n">
        <v>60.6</v>
      </c>
      <c r="V24" t="n">
        <v>73.59999999999999</v>
      </c>
      <c r="W24" t="n">
        <v>89</v>
      </c>
      <c r="X24" t="n">
        <v>113.8</v>
      </c>
      <c r="Y24" t="n">
        <v>136.6</v>
      </c>
    </row>
    <row r="25">
      <c r="M25" t="n">
        <v>360</v>
      </c>
      <c r="N25" t="n">
        <v>4.1</v>
      </c>
      <c r="O25" t="n">
        <v>7.5</v>
      </c>
      <c r="P25" t="n">
        <v>10.5</v>
      </c>
      <c r="Q25" t="n">
        <v>15.6</v>
      </c>
      <c r="R25" t="n">
        <v>20.5</v>
      </c>
      <c r="S25" t="n">
        <v>26.6</v>
      </c>
      <c r="T25" t="n">
        <v>34.2</v>
      </c>
      <c r="U25" t="n">
        <v>47.4</v>
      </c>
      <c r="V25" t="n">
        <v>60.2</v>
      </c>
      <c r="W25" t="n">
        <v>76.3</v>
      </c>
      <c r="X25" t="n">
        <v>104</v>
      </c>
      <c r="Y25" t="n">
        <v>131.1</v>
      </c>
    </row>
    <row r="26">
      <c r="M26" t="n">
        <v>720</v>
      </c>
      <c r="N26" t="n">
        <v>2.3</v>
      </c>
      <c r="O26" t="n">
        <v>4.3</v>
      </c>
      <c r="P26" t="n">
        <v>6.2</v>
      </c>
      <c r="Q26" t="n">
        <v>9.5</v>
      </c>
      <c r="R26" t="n">
        <v>12.8</v>
      </c>
      <c r="S26" t="n">
        <v>17.1</v>
      </c>
      <c r="T26" t="n">
        <v>22.5</v>
      </c>
      <c r="U26" t="n">
        <v>32.3</v>
      </c>
      <c r="V26" t="n">
        <v>42.1</v>
      </c>
      <c r="W26" t="n">
        <v>54.9</v>
      </c>
      <c r="X26" t="n">
        <v>77.59999999999999</v>
      </c>
      <c r="Y26" t="n">
        <v>100.6</v>
      </c>
    </row>
    <row r="27">
      <c r="M27" t="n">
        <v>1440</v>
      </c>
      <c r="N27" t="n">
        <v>1.4</v>
      </c>
      <c r="O27" t="n">
        <v>2.6</v>
      </c>
      <c r="P27" t="n">
        <v>3.8</v>
      </c>
      <c r="Q27" t="n">
        <v>5.7</v>
      </c>
      <c r="R27" t="n">
        <v>7.5</v>
      </c>
      <c r="S27" t="n">
        <v>9.9</v>
      </c>
      <c r="T27" t="n">
        <v>12.8</v>
      </c>
      <c r="U27" t="n">
        <v>17.9</v>
      </c>
      <c r="V27" t="n">
        <v>22.9</v>
      </c>
      <c r="W27" t="n">
        <v>29.2</v>
      </c>
      <c r="X27" t="n">
        <v>40.2</v>
      </c>
      <c r="Y27" t="n">
        <v>51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Y27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</cols>
  <sheetData>
    <row r="1">
      <c r="A1" s="1" t="inlineStr">
        <is>
          <t>Gauge 50  |  FM865337AF  |  Abayah near Misfah</t>
        </is>
      </c>
    </row>
    <row r="3">
      <c r="A3" s="2" t="inlineStr">
        <is>
          <t>AMS BEFORE gap filling (observed only, mm)</t>
        </is>
      </c>
      <c r="M3" s="3" t="inlineStr">
        <is>
          <t>IDF - design rainfall DEPTH (mm)</t>
        </is>
      </c>
    </row>
    <row r="4">
      <c r="A4" s="4" t="inlineStr">
        <is>
          <t>Water year</t>
        </is>
      </c>
      <c r="B4" s="5" t="inlineStr">
        <is>
          <t>5min</t>
        </is>
      </c>
      <c r="C4" s="5" t="inlineStr">
        <is>
          <t>10min</t>
        </is>
      </c>
      <c r="D4" s="5" t="inlineStr">
        <is>
          <t>15min</t>
        </is>
      </c>
      <c r="E4" s="5" t="inlineStr">
        <is>
          <t>30min</t>
        </is>
      </c>
      <c r="F4" s="5" t="inlineStr">
        <is>
          <t>1h</t>
        </is>
      </c>
      <c r="G4" s="5" t="inlineStr">
        <is>
          <t>2h</t>
        </is>
      </c>
      <c r="H4" s="5" t="inlineStr">
        <is>
          <t>3h</t>
        </is>
      </c>
      <c r="I4" s="5" t="inlineStr">
        <is>
          <t>6h</t>
        </is>
      </c>
      <c r="J4" s="5" t="inlineStr">
        <is>
          <t>12h</t>
        </is>
      </c>
      <c r="K4" s="5" t="inlineStr">
        <is>
          <t>24h</t>
        </is>
      </c>
      <c r="M4" s="4" t="inlineStr">
        <is>
          <t>Duration \ RP</t>
        </is>
      </c>
      <c r="N4" s="4" t="n">
        <v>2</v>
      </c>
      <c r="O4" s="4" t="n">
        <v>5</v>
      </c>
      <c r="P4" s="4" t="n">
        <v>10</v>
      </c>
      <c r="Q4" s="4" t="n">
        <v>25</v>
      </c>
      <c r="R4" s="4" t="n">
        <v>50</v>
      </c>
      <c r="S4" s="4" t="n">
        <v>100</v>
      </c>
      <c r="T4" s="4" t="n">
        <v>200</v>
      </c>
      <c r="U4" s="4" t="n">
        <v>500</v>
      </c>
      <c r="V4" s="4" t="n">
        <v>1000</v>
      </c>
      <c r="W4" s="4" t="n">
        <v>2000</v>
      </c>
      <c r="X4" s="4" t="n">
        <v>5000</v>
      </c>
      <c r="Y4" s="4" t="n">
        <v>10000</v>
      </c>
    </row>
    <row r="5">
      <c r="A5" s="6" t="n">
        <v>2016</v>
      </c>
      <c r="B5" s="7" t="n">
        <v>5</v>
      </c>
      <c r="C5" s="7" t="n">
        <v>7.8</v>
      </c>
      <c r="D5" s="7" t="n">
        <v>10.2</v>
      </c>
      <c r="E5" s="7" t="n">
        <v>10.2</v>
      </c>
      <c r="F5" s="7" t="n">
        <v>10.2</v>
      </c>
      <c r="G5" s="7" t="n">
        <v>10.2</v>
      </c>
      <c r="H5" s="7" t="n">
        <v>10.2</v>
      </c>
      <c r="I5" s="7" t="n">
        <v>10.2</v>
      </c>
      <c r="J5" s="7" t="n">
        <v>10.2</v>
      </c>
      <c r="K5" s="7" t="n">
        <v>10.2</v>
      </c>
      <c r="M5" s="6" t="inlineStr">
        <is>
          <t>5min</t>
        </is>
      </c>
      <c r="N5" s="6" t="n">
        <v>5.2</v>
      </c>
      <c r="O5" s="6" t="n">
        <v>7.9</v>
      </c>
      <c r="P5" s="6" t="n">
        <v>9.699999999999999</v>
      </c>
      <c r="Q5" s="6" t="n">
        <v>11.9</v>
      </c>
      <c r="R5" s="6" t="n">
        <v>13.4</v>
      </c>
      <c r="S5" s="6" t="n">
        <v>14.9</v>
      </c>
      <c r="T5" s="6" t="n">
        <v>16.3</v>
      </c>
      <c r="U5" s="6" t="n">
        <v>18.2</v>
      </c>
      <c r="V5" s="6" t="n">
        <v>19.5</v>
      </c>
      <c r="W5" s="6" t="n">
        <v>20.8</v>
      </c>
      <c r="X5" s="6" t="n">
        <v>22.5</v>
      </c>
      <c r="Y5" s="6" t="n">
        <v>23.7</v>
      </c>
    </row>
    <row r="6">
      <c r="A6" s="6" t="n">
        <v>2017</v>
      </c>
      <c r="B6" s="7" t="n">
        <v>4.2</v>
      </c>
      <c r="C6" s="7" t="n">
        <v>5.4</v>
      </c>
      <c r="D6" s="7" t="n">
        <v>5.6</v>
      </c>
      <c r="E6" s="7" t="n">
        <v>6.4</v>
      </c>
      <c r="F6" s="7" t="n">
        <v>9.6</v>
      </c>
      <c r="G6" s="7" t="n">
        <v>17.2</v>
      </c>
      <c r="H6" s="7" t="n">
        <v>18.8</v>
      </c>
      <c r="I6" s="7" t="n">
        <v>19.2</v>
      </c>
      <c r="J6" s="7" t="n">
        <v>19.2</v>
      </c>
      <c r="K6" s="7" t="n">
        <v>19.2</v>
      </c>
      <c r="M6" s="6" t="inlineStr">
        <is>
          <t>10min</t>
        </is>
      </c>
      <c r="N6" s="6" t="n">
        <v>8.4</v>
      </c>
      <c r="O6" s="6" t="n">
        <v>12.9</v>
      </c>
      <c r="P6" s="6" t="n">
        <v>15.9</v>
      </c>
      <c r="Q6" s="6" t="n">
        <v>19.6</v>
      </c>
      <c r="R6" s="6" t="n">
        <v>22.4</v>
      </c>
      <c r="S6" s="6" t="n">
        <v>25</v>
      </c>
      <c r="T6" s="6" t="n">
        <v>27.7</v>
      </c>
      <c r="U6" s="6" t="n">
        <v>31.1</v>
      </c>
      <c r="V6" s="6" t="n">
        <v>33.7</v>
      </c>
      <c r="W6" s="6" t="n">
        <v>36.3</v>
      </c>
      <c r="X6" s="6" t="n">
        <v>39.6</v>
      </c>
      <c r="Y6" s="6" t="n">
        <v>42.1</v>
      </c>
    </row>
    <row r="7">
      <c r="A7" s="6" t="n">
        <v>2018</v>
      </c>
      <c r="B7" s="7" t="n">
        <v>10.2</v>
      </c>
      <c r="C7" s="7" t="n">
        <v>18</v>
      </c>
      <c r="D7" s="7" t="n">
        <v>26.4</v>
      </c>
      <c r="E7" s="7" t="n">
        <v>44.8</v>
      </c>
      <c r="F7" s="7" t="n">
        <v>55.8</v>
      </c>
      <c r="G7" s="7" t="n">
        <v>56.6</v>
      </c>
      <c r="H7" s="7" t="n">
        <v>57</v>
      </c>
      <c r="I7" s="7" t="n">
        <v>57</v>
      </c>
      <c r="J7" s="7" t="n">
        <v>57</v>
      </c>
      <c r="K7" s="7" t="n">
        <v>73.2</v>
      </c>
      <c r="M7" s="6" t="inlineStr">
        <is>
          <t>15min</t>
        </is>
      </c>
      <c r="N7" s="6" t="n">
        <v>10.4</v>
      </c>
      <c r="O7" s="6" t="n">
        <v>16.4</v>
      </c>
      <c r="P7" s="6" t="n">
        <v>20.6</v>
      </c>
      <c r="Q7" s="6" t="n">
        <v>26</v>
      </c>
      <c r="R7" s="6" t="n">
        <v>30.1</v>
      </c>
      <c r="S7" s="6" t="n">
        <v>34.3</v>
      </c>
      <c r="T7" s="6" t="n">
        <v>38.6</v>
      </c>
      <c r="U7" s="6" t="n">
        <v>44.4</v>
      </c>
      <c r="V7" s="6" t="n">
        <v>48.9</v>
      </c>
      <c r="W7" s="6" t="n">
        <v>53.6</v>
      </c>
      <c r="X7" s="6" t="n">
        <v>59.9</v>
      </c>
      <c r="Y7" s="6" t="n">
        <v>64.8</v>
      </c>
    </row>
    <row r="8">
      <c r="A8" s="6" t="n">
        <v>2019</v>
      </c>
      <c r="B8" s="7" t="n">
        <v>19.2</v>
      </c>
      <c r="C8" s="7" t="n">
        <v>29.2</v>
      </c>
      <c r="D8" s="7" t="n">
        <v>37.6</v>
      </c>
      <c r="E8" s="7" t="n">
        <v>47</v>
      </c>
      <c r="F8" s="7" t="n">
        <v>54.6</v>
      </c>
      <c r="G8" s="7" t="n">
        <v>59.2</v>
      </c>
      <c r="H8" s="7" t="n">
        <v>59.2</v>
      </c>
      <c r="I8" s="7" t="n">
        <v>66</v>
      </c>
      <c r="J8" s="7" t="n">
        <v>73.7</v>
      </c>
      <c r="K8" s="7" t="n">
        <v>101.4</v>
      </c>
      <c r="M8" s="6" t="inlineStr">
        <is>
          <t>30min</t>
        </is>
      </c>
      <c r="N8" s="6" t="n">
        <v>14.2</v>
      </c>
      <c r="O8" s="6" t="n">
        <v>22.9</v>
      </c>
      <c r="P8" s="6" t="n">
        <v>29.1</v>
      </c>
      <c r="Q8" s="6" t="n">
        <v>37.2</v>
      </c>
      <c r="R8" s="6" t="n">
        <v>43.5</v>
      </c>
      <c r="S8" s="6" t="n">
        <v>50.1</v>
      </c>
      <c r="T8" s="6" t="n">
        <v>56.9</v>
      </c>
      <c r="U8" s="6" t="n">
        <v>66.3</v>
      </c>
      <c r="V8" s="6" t="n">
        <v>73.7</v>
      </c>
      <c r="W8" s="6" t="n">
        <v>81.5</v>
      </c>
      <c r="X8" s="6" t="n">
        <v>92.3</v>
      </c>
      <c r="Y8" s="6" t="n">
        <v>100.8</v>
      </c>
    </row>
    <row r="9">
      <c r="A9" s="6" t="n">
        <v>2020</v>
      </c>
      <c r="B9" s="7" t="n">
        <v>11.2</v>
      </c>
      <c r="C9" s="7" t="n">
        <v>16.6</v>
      </c>
      <c r="D9" s="7" t="n">
        <v>25.8</v>
      </c>
      <c r="E9" s="7" t="n">
        <v>39.2</v>
      </c>
      <c r="F9" s="7" t="n">
        <v>44.6</v>
      </c>
      <c r="G9" s="7" t="n">
        <v>44.6</v>
      </c>
      <c r="H9" s="7" t="n">
        <v>44.6</v>
      </c>
      <c r="I9" s="7" t="n">
        <v>44.6</v>
      </c>
      <c r="J9" s="7" t="n">
        <v>44.6</v>
      </c>
      <c r="K9" s="7" t="n">
        <v>44.6</v>
      </c>
      <c r="M9" s="6" t="inlineStr">
        <is>
          <t>1h</t>
        </is>
      </c>
      <c r="N9" s="6" t="n">
        <v>17.6</v>
      </c>
      <c r="O9" s="6" t="n">
        <v>28.9</v>
      </c>
      <c r="P9" s="6" t="n">
        <v>37.1</v>
      </c>
      <c r="Q9" s="6" t="n">
        <v>48.5</v>
      </c>
      <c r="R9" s="6" t="n">
        <v>57.7</v>
      </c>
      <c r="S9" s="6" t="n">
        <v>67.40000000000001</v>
      </c>
      <c r="T9" s="6" t="n">
        <v>77.90000000000001</v>
      </c>
      <c r="U9" s="6" t="n">
        <v>92.90000000000001</v>
      </c>
      <c r="V9" s="6" t="n">
        <v>105.2</v>
      </c>
      <c r="W9" s="6" t="n">
        <v>118.4</v>
      </c>
      <c r="X9" s="6" t="n">
        <v>137.3</v>
      </c>
      <c r="Y9" s="6" t="n">
        <v>152.9</v>
      </c>
    </row>
    <row r="10">
      <c r="M10" s="6" t="inlineStr">
        <is>
          <t>2h</t>
        </is>
      </c>
      <c r="N10" s="6" t="n">
        <v>20.2</v>
      </c>
      <c r="O10" s="6" t="n">
        <v>34.7</v>
      </c>
      <c r="P10" s="6" t="n">
        <v>46.2</v>
      </c>
      <c r="Q10" s="6" t="n">
        <v>63.6</v>
      </c>
      <c r="R10" s="6" t="n">
        <v>78.8</v>
      </c>
      <c r="S10" s="6" t="n">
        <v>96.09999999999999</v>
      </c>
      <c r="T10" s="6" t="n">
        <v>116</v>
      </c>
      <c r="U10" s="6" t="n">
        <v>146.9</v>
      </c>
      <c r="V10" s="6" t="n">
        <v>174.3</v>
      </c>
      <c r="W10" s="6" t="n">
        <v>205.9</v>
      </c>
      <c r="X10" s="6" t="n">
        <v>254.9</v>
      </c>
      <c r="Y10" s="6" t="n">
        <v>298.5</v>
      </c>
    </row>
    <row r="11">
      <c r="M11" s="6" t="inlineStr">
        <is>
          <t>3h</t>
        </is>
      </c>
      <c r="N11" s="6" t="n">
        <v>21.7</v>
      </c>
      <c r="O11" s="6" t="n">
        <v>38.1</v>
      </c>
      <c r="P11" s="6" t="n">
        <v>51.9</v>
      </c>
      <c r="Q11" s="6" t="n">
        <v>73.59999999999999</v>
      </c>
      <c r="R11" s="6" t="n">
        <v>93.59999999999999</v>
      </c>
      <c r="S11" s="6" t="n">
        <v>117.2</v>
      </c>
      <c r="T11" s="6" t="n">
        <v>145.5</v>
      </c>
      <c r="U11" s="6" t="n">
        <v>191.4</v>
      </c>
      <c r="V11" s="6" t="n">
        <v>234</v>
      </c>
      <c r="W11" s="6" t="n">
        <v>285</v>
      </c>
      <c r="X11" s="6" t="n">
        <v>367.9</v>
      </c>
      <c r="Y11" s="6" t="n">
        <v>445</v>
      </c>
    </row>
    <row r="12">
      <c r="A12" s="2" t="inlineStr">
        <is>
          <t>AMS AFTER gap filling (mm)  -  yellow = added or changed by gap filling</t>
        </is>
      </c>
      <c r="M12" s="6" t="inlineStr">
        <is>
          <t>6h</t>
        </is>
      </c>
      <c r="N12" s="6" t="n">
        <v>24.7</v>
      </c>
      <c r="O12" s="6" t="n">
        <v>45.9</v>
      </c>
      <c r="P12" s="6" t="n">
        <v>65.3</v>
      </c>
      <c r="Q12" s="6" t="n">
        <v>98.3</v>
      </c>
      <c r="R12" s="6" t="n">
        <v>130.9</v>
      </c>
      <c r="S12" s="6" t="n">
        <v>172.1</v>
      </c>
      <c r="T12" s="6" t="n">
        <v>224.4</v>
      </c>
      <c r="U12" s="6" t="n">
        <v>315.9</v>
      </c>
      <c r="V12" s="6" t="n">
        <v>407.3</v>
      </c>
      <c r="W12" s="6" t="n">
        <v>523.4</v>
      </c>
      <c r="X12" s="6" t="n">
        <v>726.8</v>
      </c>
      <c r="Y12" s="6" t="n">
        <v>929.8</v>
      </c>
    </row>
    <row r="13">
      <c r="A13" s="4" t="inlineStr">
        <is>
          <t>Water year</t>
        </is>
      </c>
      <c r="B13" s="5" t="inlineStr">
        <is>
          <t>5min</t>
        </is>
      </c>
      <c r="C13" s="5" t="inlineStr">
        <is>
          <t>10min</t>
        </is>
      </c>
      <c r="D13" s="5" t="inlineStr">
        <is>
          <t>15min</t>
        </is>
      </c>
      <c r="E13" s="5" t="inlineStr">
        <is>
          <t>30min</t>
        </is>
      </c>
      <c r="F13" s="5" t="inlineStr">
        <is>
          <t>1h</t>
        </is>
      </c>
      <c r="G13" s="5" t="inlineStr">
        <is>
          <t>2h</t>
        </is>
      </c>
      <c r="H13" s="5" t="inlineStr">
        <is>
          <t>3h</t>
        </is>
      </c>
      <c r="I13" s="5" t="inlineStr">
        <is>
          <t>6h</t>
        </is>
      </c>
      <c r="J13" s="5" t="inlineStr">
        <is>
          <t>12h</t>
        </is>
      </c>
      <c r="K13" s="5" t="inlineStr">
        <is>
          <t>24h</t>
        </is>
      </c>
      <c r="M13" s="6" t="inlineStr">
        <is>
          <t>12h</t>
        </is>
      </c>
      <c r="N13" s="6" t="n">
        <v>27.2</v>
      </c>
      <c r="O13" s="6" t="n">
        <v>52.8</v>
      </c>
      <c r="P13" s="6" t="n">
        <v>77.40000000000001</v>
      </c>
      <c r="Q13" s="6" t="n">
        <v>121.3</v>
      </c>
      <c r="R13" s="6" t="n">
        <v>166.7</v>
      </c>
      <c r="S13" s="6" t="n">
        <v>226.4</v>
      </c>
      <c r="T13" s="6" t="n">
        <v>305.1</v>
      </c>
      <c r="U13" s="6" t="n">
        <v>449.3</v>
      </c>
      <c r="V13" s="6" t="n">
        <v>599.7</v>
      </c>
      <c r="W13" s="6" t="n">
        <v>798.5</v>
      </c>
      <c r="X13" s="6" t="n">
        <v>1162.8</v>
      </c>
      <c r="Y13" s="6" t="n">
        <v>1543</v>
      </c>
    </row>
    <row r="14">
      <c r="A14" s="6" t="n">
        <v>2016</v>
      </c>
      <c r="B14" s="7" t="n">
        <v>5</v>
      </c>
      <c r="C14" s="7" t="n">
        <v>7.8</v>
      </c>
      <c r="D14" s="7" t="n">
        <v>10.2</v>
      </c>
      <c r="E14" s="7" t="n">
        <v>10.2</v>
      </c>
      <c r="F14" s="7" t="n">
        <v>10.2</v>
      </c>
      <c r="G14" s="7" t="n">
        <v>10.2</v>
      </c>
      <c r="H14" s="7" t="n">
        <v>10.2</v>
      </c>
      <c r="I14" s="7" t="n">
        <v>10.2</v>
      </c>
      <c r="J14" s="7" t="n">
        <v>10.2</v>
      </c>
      <c r="K14" s="7" t="n">
        <v>10.2</v>
      </c>
      <c r="M14" s="6" t="inlineStr">
        <is>
          <t>24h</t>
        </is>
      </c>
      <c r="N14" s="6" t="n">
        <v>33</v>
      </c>
      <c r="O14" s="6" t="n">
        <v>65.09999999999999</v>
      </c>
      <c r="P14" s="6" t="n">
        <v>95.5</v>
      </c>
      <c r="Q14" s="6" t="n">
        <v>148.8</v>
      </c>
      <c r="R14" s="6" t="n">
        <v>203.1</v>
      </c>
      <c r="S14" s="6" t="n">
        <v>273.6</v>
      </c>
      <c r="T14" s="6" t="n">
        <v>365.4</v>
      </c>
      <c r="U14" s="6" t="n">
        <v>531</v>
      </c>
      <c r="V14" s="6" t="n">
        <v>701.3</v>
      </c>
      <c r="W14" s="6" t="n">
        <v>923.6</v>
      </c>
      <c r="X14" s="6" t="n">
        <v>1324.9</v>
      </c>
      <c r="Y14" s="6" t="n">
        <v>1737.6</v>
      </c>
    </row>
    <row r="15">
      <c r="A15" s="6" t="n">
        <v>2017</v>
      </c>
      <c r="B15" s="7" t="n">
        <v>4.2</v>
      </c>
      <c r="C15" s="7" t="n">
        <v>5.4</v>
      </c>
      <c r="D15" s="7" t="n">
        <v>5.6</v>
      </c>
      <c r="E15" s="7" t="n">
        <v>6.4</v>
      </c>
      <c r="F15" s="7" t="n">
        <v>9.6</v>
      </c>
      <c r="G15" s="7" t="n">
        <v>17.2</v>
      </c>
      <c r="H15" s="7" t="n">
        <v>18.8</v>
      </c>
      <c r="I15" s="7" t="n">
        <v>19.2</v>
      </c>
      <c r="J15" s="7" t="n">
        <v>19.2</v>
      </c>
      <c r="K15" s="7" t="n">
        <v>19.2</v>
      </c>
    </row>
    <row r="16">
      <c r="A16" s="6" t="n">
        <v>2018</v>
      </c>
      <c r="B16" s="7" t="n">
        <v>10.2</v>
      </c>
      <c r="C16" s="7" t="n">
        <v>18</v>
      </c>
      <c r="D16" s="7" t="n">
        <v>26.4</v>
      </c>
      <c r="E16" s="7" t="n">
        <v>44.8</v>
      </c>
      <c r="F16" s="7" t="n">
        <v>55.8</v>
      </c>
      <c r="G16" s="7" t="n">
        <v>56.6</v>
      </c>
      <c r="H16" s="7" t="n">
        <v>57</v>
      </c>
      <c r="I16" s="7" t="n">
        <v>57</v>
      </c>
      <c r="J16" s="7" t="n">
        <v>57</v>
      </c>
      <c r="K16" s="7" t="n">
        <v>73.2</v>
      </c>
      <c r="M16" s="3" t="inlineStr">
        <is>
          <t>IDF - intensity (mm/hr) [x=duration(min)]</t>
        </is>
      </c>
    </row>
    <row r="17">
      <c r="A17" s="6" t="n">
        <v>2019</v>
      </c>
      <c r="B17" s="7" t="n">
        <v>19.2</v>
      </c>
      <c r="C17" s="7" t="n">
        <v>29.2</v>
      </c>
      <c r="D17" s="7" t="n">
        <v>37.6</v>
      </c>
      <c r="E17" s="7" t="n">
        <v>47</v>
      </c>
      <c r="F17" s="7" t="n">
        <v>54.6</v>
      </c>
      <c r="G17" s="7" t="n">
        <v>59.2</v>
      </c>
      <c r="H17" s="7" t="n">
        <v>59.2</v>
      </c>
      <c r="I17" s="7" t="n">
        <v>66</v>
      </c>
      <c r="J17" s="7" t="n">
        <v>73.7</v>
      </c>
      <c r="K17" s="7" t="n">
        <v>101.4</v>
      </c>
      <c r="M17" t="inlineStr">
        <is>
          <t>Duration(min)</t>
        </is>
      </c>
      <c r="N17" t="inlineStr">
        <is>
          <t>2 yr</t>
        </is>
      </c>
      <c r="O17" t="inlineStr">
        <is>
          <t>5 yr</t>
        </is>
      </c>
      <c r="P17" t="inlineStr">
        <is>
          <t>10 yr</t>
        </is>
      </c>
      <c r="Q17" t="inlineStr">
        <is>
          <t>25 yr</t>
        </is>
      </c>
      <c r="R17" t="inlineStr">
        <is>
          <t>50 yr</t>
        </is>
      </c>
      <c r="S17" t="inlineStr">
        <is>
          <t>100 yr</t>
        </is>
      </c>
      <c r="T17" t="inlineStr">
        <is>
          <t>200 yr</t>
        </is>
      </c>
      <c r="U17" t="inlineStr">
        <is>
          <t>500 yr</t>
        </is>
      </c>
      <c r="V17" t="inlineStr">
        <is>
          <t>1000 yr</t>
        </is>
      </c>
      <c r="W17" t="inlineStr">
        <is>
          <t>2000 yr</t>
        </is>
      </c>
      <c r="X17" t="inlineStr">
        <is>
          <t>5000 yr</t>
        </is>
      </c>
      <c r="Y17" t="inlineStr">
        <is>
          <t>10000 yr</t>
        </is>
      </c>
    </row>
    <row r="18">
      <c r="A18" s="6" t="n">
        <v>2020</v>
      </c>
      <c r="B18" s="7" t="n">
        <v>11.2</v>
      </c>
      <c r="C18" s="7" t="n">
        <v>16.6</v>
      </c>
      <c r="D18" s="7" t="n">
        <v>25.8</v>
      </c>
      <c r="E18" s="7" t="n">
        <v>39.2</v>
      </c>
      <c r="F18" s="7" t="n">
        <v>44.6</v>
      </c>
      <c r="G18" s="7" t="n">
        <v>44.6</v>
      </c>
      <c r="H18" s="7" t="n">
        <v>44.6</v>
      </c>
      <c r="I18" s="7" t="n">
        <v>44.6</v>
      </c>
      <c r="J18" s="7" t="n">
        <v>44.6</v>
      </c>
      <c r="K18" s="7" t="n">
        <v>44.6</v>
      </c>
      <c r="M18" t="n">
        <v>5</v>
      </c>
      <c r="N18" t="n">
        <v>62</v>
      </c>
      <c r="O18" t="n">
        <v>95.40000000000001</v>
      </c>
      <c r="P18" t="n">
        <v>116.5</v>
      </c>
      <c r="Q18" t="n">
        <v>142.4</v>
      </c>
      <c r="R18" t="n">
        <v>160.9</v>
      </c>
      <c r="S18" t="n">
        <v>178.7</v>
      </c>
      <c r="T18" t="n">
        <v>196</v>
      </c>
      <c r="U18" t="n">
        <v>217.9</v>
      </c>
      <c r="V18" t="n">
        <v>234</v>
      </c>
      <c r="W18" t="n">
        <v>249.6</v>
      </c>
      <c r="X18" t="n">
        <v>269.5</v>
      </c>
      <c r="Y18" t="n">
        <v>284.1</v>
      </c>
    </row>
    <row r="19">
      <c r="M19" t="n">
        <v>10</v>
      </c>
      <c r="N19" t="n">
        <v>50.2</v>
      </c>
      <c r="O19" t="n">
        <v>77.59999999999999</v>
      </c>
      <c r="P19" t="n">
        <v>95.5</v>
      </c>
      <c r="Q19" t="n">
        <v>117.8</v>
      </c>
      <c r="R19" t="n">
        <v>134.2</v>
      </c>
      <c r="S19" t="n">
        <v>150.3</v>
      </c>
      <c r="T19" t="n">
        <v>166.2</v>
      </c>
      <c r="U19" t="n">
        <v>186.9</v>
      </c>
      <c r="V19" t="n">
        <v>202.4</v>
      </c>
      <c r="W19" t="n">
        <v>217.7</v>
      </c>
      <c r="X19" t="n">
        <v>237.7</v>
      </c>
      <c r="Y19" t="n">
        <v>252.7</v>
      </c>
    </row>
    <row r="20">
      <c r="M20" t="n">
        <v>15</v>
      </c>
      <c r="N20" t="n">
        <v>41.6</v>
      </c>
      <c r="O20" t="n">
        <v>65.8</v>
      </c>
      <c r="P20" t="n">
        <v>82.3</v>
      </c>
      <c r="Q20" t="n">
        <v>103.9</v>
      </c>
      <c r="R20" t="n">
        <v>120.4</v>
      </c>
      <c r="S20" t="n">
        <v>137.1</v>
      </c>
      <c r="T20" t="n">
        <v>154.3</v>
      </c>
      <c r="U20" t="n">
        <v>177.6</v>
      </c>
      <c r="V20" t="n">
        <v>195.7</v>
      </c>
      <c r="W20" t="n">
        <v>214.3</v>
      </c>
      <c r="X20" t="n">
        <v>239.6</v>
      </c>
      <c r="Y20" t="n">
        <v>259.2</v>
      </c>
    </row>
    <row r="21">
      <c r="M21" t="n">
        <v>30</v>
      </c>
      <c r="N21" t="n">
        <v>28.3</v>
      </c>
      <c r="O21" t="n">
        <v>45.9</v>
      </c>
      <c r="P21" t="n">
        <v>58.1</v>
      </c>
      <c r="Q21" t="n">
        <v>74.40000000000001</v>
      </c>
      <c r="R21" t="n">
        <v>87.09999999999999</v>
      </c>
      <c r="S21" t="n">
        <v>100.2</v>
      </c>
      <c r="T21" t="n">
        <v>113.8</v>
      </c>
      <c r="U21" t="n">
        <v>132.6</v>
      </c>
      <c r="V21" t="n">
        <v>147.5</v>
      </c>
      <c r="W21" t="n">
        <v>163</v>
      </c>
      <c r="X21" t="n">
        <v>184.5</v>
      </c>
      <c r="Y21" t="n">
        <v>201.6</v>
      </c>
    </row>
    <row r="22">
      <c r="M22" t="n">
        <v>60</v>
      </c>
      <c r="N22" t="n">
        <v>17.6</v>
      </c>
      <c r="O22" t="n">
        <v>28.9</v>
      </c>
      <c r="P22" t="n">
        <v>37.1</v>
      </c>
      <c r="Q22" t="n">
        <v>48.5</v>
      </c>
      <c r="R22" t="n">
        <v>57.7</v>
      </c>
      <c r="S22" t="n">
        <v>67.40000000000001</v>
      </c>
      <c r="T22" t="n">
        <v>77.90000000000001</v>
      </c>
      <c r="U22" t="n">
        <v>92.90000000000001</v>
      </c>
      <c r="V22" t="n">
        <v>105.2</v>
      </c>
      <c r="W22" t="n">
        <v>118.4</v>
      </c>
      <c r="X22" t="n">
        <v>137.3</v>
      </c>
      <c r="Y22" t="n">
        <v>152.9</v>
      </c>
    </row>
    <row r="23">
      <c r="M23" t="n">
        <v>120</v>
      </c>
      <c r="N23" t="n">
        <v>10.1</v>
      </c>
      <c r="O23" t="n">
        <v>17.3</v>
      </c>
      <c r="P23" t="n">
        <v>23.1</v>
      </c>
      <c r="Q23" t="n">
        <v>31.8</v>
      </c>
      <c r="R23" t="n">
        <v>39.4</v>
      </c>
      <c r="S23" t="n">
        <v>48.1</v>
      </c>
      <c r="T23" t="n">
        <v>58</v>
      </c>
      <c r="U23" t="n">
        <v>73.5</v>
      </c>
      <c r="V23" t="n">
        <v>87.2</v>
      </c>
      <c r="W23" t="n">
        <v>102.9</v>
      </c>
      <c r="X23" t="n">
        <v>127.5</v>
      </c>
      <c r="Y23" t="n">
        <v>149.3</v>
      </c>
    </row>
    <row r="24">
      <c r="M24" t="n">
        <v>180</v>
      </c>
      <c r="N24" t="n">
        <v>7.2</v>
      </c>
      <c r="O24" t="n">
        <v>12.7</v>
      </c>
      <c r="P24" t="n">
        <v>17.3</v>
      </c>
      <c r="Q24" t="n">
        <v>24.5</v>
      </c>
      <c r="R24" t="n">
        <v>31.2</v>
      </c>
      <c r="S24" t="n">
        <v>39.1</v>
      </c>
      <c r="T24" t="n">
        <v>48.5</v>
      </c>
      <c r="U24" t="n">
        <v>63.8</v>
      </c>
      <c r="V24" t="n">
        <v>78</v>
      </c>
      <c r="W24" t="n">
        <v>95</v>
      </c>
      <c r="X24" t="n">
        <v>122.6</v>
      </c>
      <c r="Y24" t="n">
        <v>148.3</v>
      </c>
    </row>
    <row r="25">
      <c r="M25" t="n">
        <v>360</v>
      </c>
      <c r="N25" t="n">
        <v>4.1</v>
      </c>
      <c r="O25" t="n">
        <v>7.7</v>
      </c>
      <c r="P25" t="n">
        <v>10.9</v>
      </c>
      <c r="Q25" t="n">
        <v>16.4</v>
      </c>
      <c r="R25" t="n">
        <v>21.8</v>
      </c>
      <c r="S25" t="n">
        <v>28.7</v>
      </c>
      <c r="T25" t="n">
        <v>37.4</v>
      </c>
      <c r="U25" t="n">
        <v>52.7</v>
      </c>
      <c r="V25" t="n">
        <v>67.90000000000001</v>
      </c>
      <c r="W25" t="n">
        <v>87.2</v>
      </c>
      <c r="X25" t="n">
        <v>121.1</v>
      </c>
      <c r="Y25" t="n">
        <v>155</v>
      </c>
    </row>
    <row r="26">
      <c r="M26" t="n">
        <v>720</v>
      </c>
      <c r="N26" t="n">
        <v>2.3</v>
      </c>
      <c r="O26" t="n">
        <v>4.4</v>
      </c>
      <c r="P26" t="n">
        <v>6.5</v>
      </c>
      <c r="Q26" t="n">
        <v>10.1</v>
      </c>
      <c r="R26" t="n">
        <v>13.9</v>
      </c>
      <c r="S26" t="n">
        <v>18.9</v>
      </c>
      <c r="T26" t="n">
        <v>25.4</v>
      </c>
      <c r="U26" t="n">
        <v>37.4</v>
      </c>
      <c r="V26" t="n">
        <v>50</v>
      </c>
      <c r="W26" t="n">
        <v>66.5</v>
      </c>
      <c r="X26" t="n">
        <v>96.90000000000001</v>
      </c>
      <c r="Y26" t="n">
        <v>128.6</v>
      </c>
    </row>
    <row r="27">
      <c r="M27" t="n">
        <v>1440</v>
      </c>
      <c r="N27" t="n">
        <v>1.4</v>
      </c>
      <c r="O27" t="n">
        <v>2.7</v>
      </c>
      <c r="P27" t="n">
        <v>4</v>
      </c>
      <c r="Q27" t="n">
        <v>6.2</v>
      </c>
      <c r="R27" t="n">
        <v>8.5</v>
      </c>
      <c r="S27" t="n">
        <v>11.4</v>
      </c>
      <c r="T27" t="n">
        <v>15.2</v>
      </c>
      <c r="U27" t="n">
        <v>22.1</v>
      </c>
      <c r="V27" t="n">
        <v>29.2</v>
      </c>
      <c r="W27" t="n">
        <v>38.5</v>
      </c>
      <c r="X27" t="n">
        <v>55.2</v>
      </c>
      <c r="Y27" t="n">
        <v>72.40000000000001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Y88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</cols>
  <sheetData>
    <row r="1">
      <c r="A1" s="1" t="inlineStr">
        <is>
          <t>Gauge 54  |  FL157691BF  |  Upper Wadi Andam (wadi Al Uqq)</t>
        </is>
      </c>
    </row>
    <row r="3">
      <c r="A3" s="2" t="inlineStr">
        <is>
          <t>AMS BEFORE gap filling (observed only, mm)</t>
        </is>
      </c>
      <c r="M3" s="3" t="inlineStr">
        <is>
          <t>IDF - design rainfall DEPTH (mm)</t>
        </is>
      </c>
    </row>
    <row r="4">
      <c r="A4" s="4" t="inlineStr">
        <is>
          <t>Water year</t>
        </is>
      </c>
      <c r="B4" s="5" t="inlineStr">
        <is>
          <t>5min</t>
        </is>
      </c>
      <c r="C4" s="5" t="inlineStr">
        <is>
          <t>10min</t>
        </is>
      </c>
      <c r="D4" s="5" t="inlineStr">
        <is>
          <t>15min</t>
        </is>
      </c>
      <c r="E4" s="5" t="inlineStr">
        <is>
          <t>30min</t>
        </is>
      </c>
      <c r="F4" s="5" t="inlineStr">
        <is>
          <t>1h</t>
        </is>
      </c>
      <c r="G4" s="5" t="inlineStr">
        <is>
          <t>2h</t>
        </is>
      </c>
      <c r="H4" s="5" t="inlineStr">
        <is>
          <t>3h</t>
        </is>
      </c>
      <c r="I4" s="5" t="inlineStr">
        <is>
          <t>6h</t>
        </is>
      </c>
      <c r="J4" s="5" t="inlineStr">
        <is>
          <t>12h</t>
        </is>
      </c>
      <c r="K4" s="5" t="inlineStr">
        <is>
          <t>24h</t>
        </is>
      </c>
      <c r="M4" s="4" t="inlineStr">
        <is>
          <t>Duration \ RP</t>
        </is>
      </c>
      <c r="N4" s="4" t="n">
        <v>2</v>
      </c>
      <c r="O4" s="4" t="n">
        <v>5</v>
      </c>
      <c r="P4" s="4" t="n">
        <v>10</v>
      </c>
      <c r="Q4" s="4" t="n">
        <v>25</v>
      </c>
      <c r="R4" s="4" t="n">
        <v>50</v>
      </c>
      <c r="S4" s="4" t="n">
        <v>100</v>
      </c>
      <c r="T4" s="4" t="n">
        <v>200</v>
      </c>
      <c r="U4" s="4" t="n">
        <v>500</v>
      </c>
      <c r="V4" s="4" t="n">
        <v>1000</v>
      </c>
      <c r="W4" s="4" t="n">
        <v>2000</v>
      </c>
      <c r="X4" s="4" t="n">
        <v>5000</v>
      </c>
      <c r="Y4" s="4" t="n">
        <v>10000</v>
      </c>
    </row>
    <row r="5">
      <c r="A5" s="6" t="n">
        <v>1980</v>
      </c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>
        <v>31</v>
      </c>
      <c r="M5" s="6" t="inlineStr">
        <is>
          <t>5min</t>
        </is>
      </c>
      <c r="N5" s="6" t="n">
        <v>5.5</v>
      </c>
      <c r="O5" s="6" t="n">
        <v>8.1</v>
      </c>
      <c r="P5" s="6" t="n">
        <v>10</v>
      </c>
      <c r="Q5" s="6" t="n">
        <v>12.5</v>
      </c>
      <c r="R5" s="6" t="n">
        <v>14.4</v>
      </c>
      <c r="S5" s="6" t="n">
        <v>16.5</v>
      </c>
      <c r="T5" s="6" t="n">
        <v>18.6</v>
      </c>
      <c r="U5" s="6" t="n">
        <v>21.6</v>
      </c>
      <c r="V5" s="6" t="n">
        <v>24</v>
      </c>
      <c r="W5" s="6" t="n">
        <v>26.5</v>
      </c>
      <c r="X5" s="6" t="n">
        <v>30.1</v>
      </c>
      <c r="Y5" s="6" t="n">
        <v>32.9</v>
      </c>
    </row>
    <row r="6">
      <c r="A6" s="6" t="n">
        <v>1981</v>
      </c>
      <c r="B6" s="7" t="n"/>
      <c r="C6" s="7" t="n"/>
      <c r="D6" s="7" t="n"/>
      <c r="E6" s="7" t="n"/>
      <c r="F6" s="7" t="n"/>
      <c r="G6" s="7" t="n"/>
      <c r="H6" s="7" t="n"/>
      <c r="I6" s="7" t="n"/>
      <c r="J6" s="7" t="n"/>
      <c r="K6" s="7" t="n">
        <v>31.8</v>
      </c>
      <c r="M6" s="6" t="inlineStr">
        <is>
          <t>10min</t>
        </is>
      </c>
      <c r="N6" s="6" t="n">
        <v>8.9</v>
      </c>
      <c r="O6" s="6" t="n">
        <v>13.5</v>
      </c>
      <c r="P6" s="6" t="n">
        <v>16.8</v>
      </c>
      <c r="Q6" s="6" t="n">
        <v>21.3</v>
      </c>
      <c r="R6" s="6" t="n">
        <v>24.8</v>
      </c>
      <c r="S6" s="6" t="n">
        <v>28.6</v>
      </c>
      <c r="T6" s="6" t="n">
        <v>32.5</v>
      </c>
      <c r="U6" s="6" t="n">
        <v>38.1</v>
      </c>
      <c r="V6" s="6" t="n">
        <v>42.6</v>
      </c>
      <c r="W6" s="6" t="n">
        <v>47.4</v>
      </c>
      <c r="X6" s="6" t="n">
        <v>54.2</v>
      </c>
      <c r="Y6" s="6" t="n">
        <v>59.7</v>
      </c>
    </row>
    <row r="7">
      <c r="A7" s="6" t="n">
        <v>1982</v>
      </c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>
        <v>136.8</v>
      </c>
      <c r="M7" s="6" t="inlineStr">
        <is>
          <t>15min</t>
        </is>
      </c>
      <c r="N7" s="6" t="n">
        <v>11.4</v>
      </c>
      <c r="O7" s="6" t="n">
        <v>17.3</v>
      </c>
      <c r="P7" s="6" t="n">
        <v>21.6</v>
      </c>
      <c r="Q7" s="6" t="n">
        <v>27.4</v>
      </c>
      <c r="R7" s="6" t="n">
        <v>32</v>
      </c>
      <c r="S7" s="6" t="n">
        <v>36.9</v>
      </c>
      <c r="T7" s="6" t="n">
        <v>42</v>
      </c>
      <c r="U7" s="6" t="n">
        <v>49.3</v>
      </c>
      <c r="V7" s="6" t="n">
        <v>55.1</v>
      </c>
      <c r="W7" s="6" t="n">
        <v>61.4</v>
      </c>
      <c r="X7" s="6" t="n">
        <v>70.2</v>
      </c>
      <c r="Y7" s="6" t="n">
        <v>77.3</v>
      </c>
    </row>
    <row r="8">
      <c r="A8" s="6" t="n">
        <v>1984</v>
      </c>
      <c r="B8" s="7" t="n"/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M8" s="6" t="inlineStr">
        <is>
          <t>30min</t>
        </is>
      </c>
      <c r="N8" s="6" t="n">
        <v>15.9</v>
      </c>
      <c r="O8" s="6" t="n">
        <v>24.4</v>
      </c>
      <c r="P8" s="6" t="n">
        <v>30.3</v>
      </c>
      <c r="Q8" s="6" t="n">
        <v>38.1</v>
      </c>
      <c r="R8" s="6" t="n">
        <v>44.1</v>
      </c>
      <c r="S8" s="6" t="n">
        <v>50.3</v>
      </c>
      <c r="T8" s="6" t="n">
        <v>56.7</v>
      </c>
      <c r="U8" s="6" t="n">
        <v>65.40000000000001</v>
      </c>
      <c r="V8" s="6" t="n">
        <v>72.3</v>
      </c>
      <c r="W8" s="6" t="n">
        <v>79.5</v>
      </c>
      <c r="X8" s="6" t="n">
        <v>89.3</v>
      </c>
      <c r="Y8" s="6" t="n">
        <v>97</v>
      </c>
    </row>
    <row r="9">
      <c r="A9" s="6" t="n">
        <v>1985</v>
      </c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>
        <v>2.6</v>
      </c>
      <c r="M9" s="6" t="inlineStr">
        <is>
          <t>1h</t>
        </is>
      </c>
      <c r="N9" s="6" t="n">
        <v>19.5</v>
      </c>
      <c r="O9" s="6" t="n">
        <v>29.9</v>
      </c>
      <c r="P9" s="6" t="n">
        <v>37</v>
      </c>
      <c r="Q9" s="6" t="n">
        <v>46.5</v>
      </c>
      <c r="R9" s="6" t="n">
        <v>53.7</v>
      </c>
      <c r="S9" s="6" t="n">
        <v>61.1</v>
      </c>
      <c r="T9" s="6" t="n">
        <v>68.7</v>
      </c>
      <c r="U9" s="6" t="n">
        <v>79.2</v>
      </c>
      <c r="V9" s="6" t="n">
        <v>87.40000000000001</v>
      </c>
      <c r="W9" s="6" t="n">
        <v>95.8</v>
      </c>
      <c r="X9" s="6" t="n">
        <v>107.4</v>
      </c>
      <c r="Y9" s="6" t="n">
        <v>116.4</v>
      </c>
    </row>
    <row r="10">
      <c r="A10" s="6" t="n">
        <v>1986</v>
      </c>
      <c r="B10" s="7" t="n"/>
      <c r="C10" s="7" t="n"/>
      <c r="D10" s="7" t="n"/>
      <c r="E10" s="7" t="n"/>
      <c r="F10" s="7" t="n"/>
      <c r="G10" s="7" t="n"/>
      <c r="H10" s="7" t="n"/>
      <c r="I10" s="7" t="n"/>
      <c r="J10" s="7" t="n"/>
      <c r="K10" s="7" t="n">
        <v>39.2</v>
      </c>
      <c r="M10" s="6" t="inlineStr">
        <is>
          <t>2h</t>
        </is>
      </c>
      <c r="N10" s="6" t="n">
        <v>23</v>
      </c>
      <c r="O10" s="6" t="n">
        <v>36</v>
      </c>
      <c r="P10" s="6" t="n">
        <v>45.3</v>
      </c>
      <c r="Q10" s="6" t="n">
        <v>57.8</v>
      </c>
      <c r="R10" s="6" t="n">
        <v>67.8</v>
      </c>
      <c r="S10" s="6" t="n">
        <v>78.2</v>
      </c>
      <c r="T10" s="6" t="n">
        <v>89.2</v>
      </c>
      <c r="U10" s="6" t="n">
        <v>104.7</v>
      </c>
      <c r="V10" s="6" t="n">
        <v>117.2</v>
      </c>
      <c r="W10" s="6" t="n">
        <v>130.4</v>
      </c>
      <c r="X10" s="6" t="n">
        <v>149</v>
      </c>
      <c r="Y10" s="6" t="n">
        <v>164</v>
      </c>
    </row>
    <row r="11">
      <c r="A11" s="6" t="n">
        <v>1987</v>
      </c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>
        <v>54.6</v>
      </c>
      <c r="M11" s="6" t="inlineStr">
        <is>
          <t>3h</t>
        </is>
      </c>
      <c r="N11" s="6" t="n">
        <v>24.5</v>
      </c>
      <c r="O11" s="6" t="n">
        <v>39.4</v>
      </c>
      <c r="P11" s="6" t="n">
        <v>50.5</v>
      </c>
      <c r="Q11" s="6" t="n">
        <v>66.09999999999999</v>
      </c>
      <c r="R11" s="6" t="n">
        <v>79</v>
      </c>
      <c r="S11" s="6" t="n">
        <v>93</v>
      </c>
      <c r="T11" s="6" t="n">
        <v>108.2</v>
      </c>
      <c r="U11" s="6" t="n">
        <v>130.5</v>
      </c>
      <c r="V11" s="6" t="n">
        <v>149.2</v>
      </c>
      <c r="W11" s="6" t="n">
        <v>169.6</v>
      </c>
      <c r="X11" s="6" t="n">
        <v>199.5</v>
      </c>
      <c r="Y11" s="6" t="n">
        <v>224.6</v>
      </c>
    </row>
    <row r="12">
      <c r="A12" s="6" t="n">
        <v>1988</v>
      </c>
      <c r="B12" s="7" t="n"/>
      <c r="C12" s="7" t="n"/>
      <c r="D12" s="7" t="n"/>
      <c r="E12" s="7" t="n"/>
      <c r="F12" s="7" t="n"/>
      <c r="G12" s="7" t="n"/>
      <c r="H12" s="7" t="n"/>
      <c r="I12" s="7" t="n"/>
      <c r="J12" s="7" t="n"/>
      <c r="K12" s="7" t="n">
        <v>7</v>
      </c>
      <c r="M12" s="6" t="inlineStr">
        <is>
          <t>6h</t>
        </is>
      </c>
      <c r="N12" s="6" t="n">
        <v>27.4</v>
      </c>
      <c r="O12" s="6" t="n">
        <v>45.1</v>
      </c>
      <c r="P12" s="6" t="n">
        <v>58.5</v>
      </c>
      <c r="Q12" s="6" t="n">
        <v>77.7</v>
      </c>
      <c r="R12" s="6" t="n">
        <v>93.8</v>
      </c>
      <c r="S12" s="6" t="n">
        <v>111.5</v>
      </c>
      <c r="T12" s="6" t="n">
        <v>131</v>
      </c>
      <c r="U12" s="6" t="n">
        <v>160</v>
      </c>
      <c r="V12" s="6" t="n">
        <v>184.7</v>
      </c>
      <c r="W12" s="6" t="n">
        <v>212</v>
      </c>
      <c r="X12" s="6" t="n">
        <v>252.6</v>
      </c>
      <c r="Y12" s="6" t="n">
        <v>287.2</v>
      </c>
    </row>
    <row r="13">
      <c r="A13" s="6" t="n">
        <v>1990</v>
      </c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>
        <v>47</v>
      </c>
      <c r="M13" s="6" t="inlineStr">
        <is>
          <t>12h</t>
        </is>
      </c>
      <c r="N13" s="6" t="n">
        <v>30.7</v>
      </c>
      <c r="O13" s="6" t="n">
        <v>51.9</v>
      </c>
      <c r="P13" s="6" t="n">
        <v>68.3</v>
      </c>
      <c r="Q13" s="6" t="n">
        <v>92.40000000000001</v>
      </c>
      <c r="R13" s="6" t="n">
        <v>113</v>
      </c>
      <c r="S13" s="6" t="n">
        <v>136.2</v>
      </c>
      <c r="T13" s="6" t="n">
        <v>162.1</v>
      </c>
      <c r="U13" s="6" t="n">
        <v>201.6</v>
      </c>
      <c r="V13" s="6" t="n">
        <v>235.8</v>
      </c>
      <c r="W13" s="6" t="n">
        <v>274.5</v>
      </c>
      <c r="X13" s="6" t="n">
        <v>333.2</v>
      </c>
      <c r="Y13" s="6" t="n">
        <v>384.2</v>
      </c>
    </row>
    <row r="14">
      <c r="A14" s="6" t="n">
        <v>1991</v>
      </c>
      <c r="B14" s="7" t="n"/>
      <c r="C14" s="7" t="n"/>
      <c r="D14" s="7" t="n"/>
      <c r="E14" s="7" t="n"/>
      <c r="F14" s="7" t="n"/>
      <c r="G14" s="7" t="n"/>
      <c r="H14" s="7" t="n"/>
      <c r="I14" s="7" t="n"/>
      <c r="J14" s="7" t="n"/>
      <c r="K14" s="7" t="n">
        <v>15.6</v>
      </c>
      <c r="M14" s="6" t="inlineStr">
        <is>
          <t>24h</t>
        </is>
      </c>
      <c r="N14" s="6" t="n">
        <v>35</v>
      </c>
      <c r="O14" s="6" t="n">
        <v>58.8</v>
      </c>
      <c r="P14" s="6" t="n">
        <v>76.90000000000001</v>
      </c>
      <c r="Q14" s="6" t="n">
        <v>102.8</v>
      </c>
      <c r="R14" s="6" t="n">
        <v>124.6</v>
      </c>
      <c r="S14" s="6" t="n">
        <v>148.6</v>
      </c>
      <c r="T14" s="6" t="n">
        <v>175.1</v>
      </c>
      <c r="U14" s="6" t="n">
        <v>214.5</v>
      </c>
      <c r="V14" s="6" t="n">
        <v>248.1</v>
      </c>
      <c r="W14" s="6" t="n">
        <v>285.4</v>
      </c>
      <c r="X14" s="6" t="n">
        <v>340.9</v>
      </c>
      <c r="Y14" s="6" t="n">
        <v>388.2</v>
      </c>
    </row>
    <row r="15">
      <c r="A15" s="6" t="n">
        <v>1992</v>
      </c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>
        <v>9</v>
      </c>
    </row>
    <row r="16">
      <c r="A16" s="6" t="n">
        <v>1993</v>
      </c>
      <c r="B16" s="7" t="n"/>
      <c r="C16" s="7" t="n"/>
      <c r="D16" s="7" t="n"/>
      <c r="E16" s="7" t="n"/>
      <c r="F16" s="7" t="n"/>
      <c r="G16" s="7" t="n"/>
      <c r="H16" s="7" t="n"/>
      <c r="I16" s="7" t="n"/>
      <c r="J16" s="7" t="n"/>
      <c r="K16" s="7" t="n">
        <v>12.6</v>
      </c>
      <c r="M16" s="3" t="inlineStr">
        <is>
          <t>IDF - intensity (mm/hr) [x=duration(min)]</t>
        </is>
      </c>
    </row>
    <row r="17">
      <c r="A17" s="6" t="n">
        <v>1994</v>
      </c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>
        <v>10.6</v>
      </c>
      <c r="M17" t="inlineStr">
        <is>
          <t>Duration(min)</t>
        </is>
      </c>
      <c r="N17" t="inlineStr">
        <is>
          <t>2 yr</t>
        </is>
      </c>
      <c r="O17" t="inlineStr">
        <is>
          <t>5 yr</t>
        </is>
      </c>
      <c r="P17" t="inlineStr">
        <is>
          <t>10 yr</t>
        </is>
      </c>
      <c r="Q17" t="inlineStr">
        <is>
          <t>25 yr</t>
        </is>
      </c>
      <c r="R17" t="inlineStr">
        <is>
          <t>50 yr</t>
        </is>
      </c>
      <c r="S17" t="inlineStr">
        <is>
          <t>100 yr</t>
        </is>
      </c>
      <c r="T17" t="inlineStr">
        <is>
          <t>200 yr</t>
        </is>
      </c>
      <c r="U17" t="inlineStr">
        <is>
          <t>500 yr</t>
        </is>
      </c>
      <c r="V17" t="inlineStr">
        <is>
          <t>1000 yr</t>
        </is>
      </c>
      <c r="W17" t="inlineStr">
        <is>
          <t>2000 yr</t>
        </is>
      </c>
      <c r="X17" t="inlineStr">
        <is>
          <t>5000 yr</t>
        </is>
      </c>
      <c r="Y17" t="inlineStr">
        <is>
          <t>10000 yr</t>
        </is>
      </c>
    </row>
    <row r="18">
      <c r="A18" s="6" t="n">
        <v>1995</v>
      </c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  <c r="K18" s="7" t="n">
        <v>11.4</v>
      </c>
      <c r="M18" t="n">
        <v>5</v>
      </c>
      <c r="N18" t="n">
        <v>65.90000000000001</v>
      </c>
      <c r="O18" t="n">
        <v>97.40000000000001</v>
      </c>
      <c r="P18" t="n">
        <v>119.8</v>
      </c>
      <c r="Q18" t="n">
        <v>149.7</v>
      </c>
      <c r="R18" t="n">
        <v>173.3</v>
      </c>
      <c r="S18" t="n">
        <v>197.9</v>
      </c>
      <c r="T18" t="n">
        <v>223.6</v>
      </c>
      <c r="U18" t="n">
        <v>259.6</v>
      </c>
      <c r="V18" t="n">
        <v>288.4</v>
      </c>
      <c r="W18" t="n">
        <v>318.6</v>
      </c>
      <c r="X18" t="n">
        <v>360.9</v>
      </c>
      <c r="Y18" t="n">
        <v>394.8</v>
      </c>
    </row>
    <row r="19">
      <c r="A19" s="6" t="n">
        <v>1996</v>
      </c>
      <c r="B19" s="7" t="n"/>
      <c r="C19" s="7" t="n"/>
      <c r="D19" s="7" t="n"/>
      <c r="E19" s="7" t="n"/>
      <c r="F19" s="7" t="n">
        <v>17.2</v>
      </c>
      <c r="G19" s="7" t="n">
        <v>17.2</v>
      </c>
      <c r="H19" s="7" t="n">
        <v>17.2</v>
      </c>
      <c r="I19" s="7" t="n">
        <v>19.1</v>
      </c>
      <c r="J19" s="7" t="n">
        <v>38.2</v>
      </c>
      <c r="K19" s="7" t="n">
        <v>76.40000000000001</v>
      </c>
      <c r="M19" t="n">
        <v>10</v>
      </c>
      <c r="N19" t="n">
        <v>53.6</v>
      </c>
      <c r="O19" t="n">
        <v>81.09999999999999</v>
      </c>
      <c r="P19" t="n">
        <v>100.8</v>
      </c>
      <c r="Q19" t="n">
        <v>127.6</v>
      </c>
      <c r="R19" t="n">
        <v>148.9</v>
      </c>
      <c r="S19" t="n">
        <v>171.3</v>
      </c>
      <c r="T19" t="n">
        <v>195</v>
      </c>
      <c r="U19" t="n">
        <v>228.5</v>
      </c>
      <c r="V19" t="n">
        <v>255.6</v>
      </c>
      <c r="W19" t="n">
        <v>284.4</v>
      </c>
      <c r="X19" t="n">
        <v>325</v>
      </c>
      <c r="Y19" t="n">
        <v>358</v>
      </c>
    </row>
    <row r="20">
      <c r="A20" s="6" t="n">
        <v>1997</v>
      </c>
      <c r="B20" s="7" t="n">
        <v>9.6</v>
      </c>
      <c r="C20" s="7" t="n">
        <v>16.8</v>
      </c>
      <c r="D20" s="7" t="n">
        <v>22</v>
      </c>
      <c r="E20" s="7" t="n">
        <v>27.6</v>
      </c>
      <c r="F20" s="7" t="n">
        <v>37.6</v>
      </c>
      <c r="G20" s="7" t="n">
        <v>57.2</v>
      </c>
      <c r="H20" s="7" t="n">
        <v>75.59999999999999</v>
      </c>
      <c r="I20" s="7" t="n">
        <v>78.2</v>
      </c>
      <c r="J20" s="7" t="n">
        <v>110.4</v>
      </c>
      <c r="K20" s="7" t="n">
        <v>114</v>
      </c>
      <c r="M20" t="n">
        <v>15</v>
      </c>
      <c r="N20" t="n">
        <v>45.5</v>
      </c>
      <c r="O20" t="n">
        <v>69.3</v>
      </c>
      <c r="P20" t="n">
        <v>86.40000000000001</v>
      </c>
      <c r="Q20" t="n">
        <v>109.6</v>
      </c>
      <c r="R20" t="n">
        <v>128</v>
      </c>
      <c r="S20" t="n">
        <v>147.5</v>
      </c>
      <c r="T20" t="n">
        <v>168</v>
      </c>
      <c r="U20" t="n">
        <v>197.1</v>
      </c>
      <c r="V20" t="n">
        <v>220.6</v>
      </c>
      <c r="W20" t="n">
        <v>245.5</v>
      </c>
      <c r="X20" t="n">
        <v>280.8</v>
      </c>
      <c r="Y20" t="n">
        <v>309.3</v>
      </c>
    </row>
    <row r="21">
      <c r="A21" s="6" t="n">
        <v>1998</v>
      </c>
      <c r="B21" s="7" t="n">
        <v>18.8</v>
      </c>
      <c r="C21" s="7" t="n">
        <v>31.2</v>
      </c>
      <c r="D21" s="7" t="n">
        <v>38.4</v>
      </c>
      <c r="E21" s="7" t="n">
        <v>42.8</v>
      </c>
      <c r="F21" s="7" t="n">
        <v>60</v>
      </c>
      <c r="G21" s="7" t="n">
        <v>73.59999999999999</v>
      </c>
      <c r="H21" s="7" t="n">
        <v>78.40000000000001</v>
      </c>
      <c r="I21" s="7" t="n">
        <v>78.59999999999999</v>
      </c>
      <c r="J21" s="7" t="n">
        <v>78.90000000000001</v>
      </c>
      <c r="K21" s="7" t="n">
        <v>79.59999999999999</v>
      </c>
      <c r="M21" t="n">
        <v>30</v>
      </c>
      <c r="N21" t="n">
        <v>31.7</v>
      </c>
      <c r="O21" t="n">
        <v>48.8</v>
      </c>
      <c r="P21" t="n">
        <v>60.6</v>
      </c>
      <c r="Q21" t="n">
        <v>76.2</v>
      </c>
      <c r="R21" t="n">
        <v>88.2</v>
      </c>
      <c r="S21" t="n">
        <v>100.6</v>
      </c>
      <c r="T21" t="n">
        <v>113.3</v>
      </c>
      <c r="U21" t="n">
        <v>130.9</v>
      </c>
      <c r="V21" t="n">
        <v>144.6</v>
      </c>
      <c r="W21" t="n">
        <v>158.9</v>
      </c>
      <c r="X21" t="n">
        <v>178.5</v>
      </c>
      <c r="Y21" t="n">
        <v>194</v>
      </c>
    </row>
    <row r="22">
      <c r="A22" s="6" t="n">
        <v>1999</v>
      </c>
      <c r="B22" s="7" t="n">
        <v>11</v>
      </c>
      <c r="C22" s="7" t="n">
        <v>13.4</v>
      </c>
      <c r="D22" s="7" t="n">
        <v>14.2</v>
      </c>
      <c r="E22" s="7" t="n">
        <v>14.8</v>
      </c>
      <c r="F22" s="7" t="n">
        <v>16.1</v>
      </c>
      <c r="G22" s="7" t="n">
        <v>18.6</v>
      </c>
      <c r="H22" s="7" t="n">
        <v>21.2</v>
      </c>
      <c r="I22" s="7" t="n">
        <v>30.7</v>
      </c>
      <c r="J22" s="7" t="n">
        <v>38.4</v>
      </c>
      <c r="K22" s="7" t="n">
        <v>38.6</v>
      </c>
      <c r="M22" t="n">
        <v>60</v>
      </c>
      <c r="N22" t="n">
        <v>19.5</v>
      </c>
      <c r="O22" t="n">
        <v>29.9</v>
      </c>
      <c r="P22" t="n">
        <v>37</v>
      </c>
      <c r="Q22" t="n">
        <v>46.5</v>
      </c>
      <c r="R22" t="n">
        <v>53.7</v>
      </c>
      <c r="S22" t="n">
        <v>61.1</v>
      </c>
      <c r="T22" t="n">
        <v>68.7</v>
      </c>
      <c r="U22" t="n">
        <v>79.2</v>
      </c>
      <c r="V22" t="n">
        <v>87.40000000000001</v>
      </c>
      <c r="W22" t="n">
        <v>95.8</v>
      </c>
      <c r="X22" t="n">
        <v>107.4</v>
      </c>
      <c r="Y22" t="n">
        <v>116.4</v>
      </c>
    </row>
    <row r="23">
      <c r="A23" s="6" t="n">
        <v>2000</v>
      </c>
      <c r="B23" s="7" t="n">
        <v>4.4</v>
      </c>
      <c r="C23" s="7" t="n">
        <v>7.2</v>
      </c>
      <c r="D23" s="7" t="n">
        <v>8.4</v>
      </c>
      <c r="E23" s="7" t="n">
        <v>12.4</v>
      </c>
      <c r="F23" s="7" t="n">
        <v>12.4</v>
      </c>
      <c r="G23" s="7" t="n">
        <v>12.4</v>
      </c>
      <c r="H23" s="7" t="n">
        <v>12.4</v>
      </c>
      <c r="I23" s="7" t="n">
        <v>12.5</v>
      </c>
      <c r="J23" s="7" t="n">
        <v>12.6</v>
      </c>
      <c r="K23" s="7" t="n">
        <v>12.8</v>
      </c>
      <c r="M23" t="n">
        <v>120</v>
      </c>
      <c r="N23" t="n">
        <v>11.5</v>
      </c>
      <c r="O23" t="n">
        <v>18</v>
      </c>
      <c r="P23" t="n">
        <v>22.6</v>
      </c>
      <c r="Q23" t="n">
        <v>28.9</v>
      </c>
      <c r="R23" t="n">
        <v>33.9</v>
      </c>
      <c r="S23" t="n">
        <v>39.1</v>
      </c>
      <c r="T23" t="n">
        <v>44.6</v>
      </c>
      <c r="U23" t="n">
        <v>52.4</v>
      </c>
      <c r="V23" t="n">
        <v>58.6</v>
      </c>
      <c r="W23" t="n">
        <v>65.2</v>
      </c>
      <c r="X23" t="n">
        <v>74.5</v>
      </c>
      <c r="Y23" t="n">
        <v>82</v>
      </c>
    </row>
    <row r="24">
      <c r="A24" s="6" t="n">
        <v>2001</v>
      </c>
      <c r="B24" s="7" t="n">
        <v>3.4</v>
      </c>
      <c r="C24" s="7" t="n">
        <v>6.6</v>
      </c>
      <c r="D24" s="7" t="n">
        <v>8</v>
      </c>
      <c r="E24" s="7" t="n">
        <v>13.8</v>
      </c>
      <c r="F24" s="7" t="n">
        <v>21.4</v>
      </c>
      <c r="G24" s="7" t="n">
        <v>35.8</v>
      </c>
      <c r="H24" s="7" t="n">
        <v>40.3</v>
      </c>
      <c r="I24" s="7" t="n">
        <v>44.8</v>
      </c>
      <c r="J24" s="7" t="n">
        <v>44.9</v>
      </c>
      <c r="K24" s="7" t="n">
        <v>45.3</v>
      </c>
      <c r="M24" t="n">
        <v>180</v>
      </c>
      <c r="N24" t="n">
        <v>8.199999999999999</v>
      </c>
      <c r="O24" t="n">
        <v>13.1</v>
      </c>
      <c r="P24" t="n">
        <v>16.8</v>
      </c>
      <c r="Q24" t="n">
        <v>22</v>
      </c>
      <c r="R24" t="n">
        <v>26.3</v>
      </c>
      <c r="S24" t="n">
        <v>31</v>
      </c>
      <c r="T24" t="n">
        <v>36.1</v>
      </c>
      <c r="U24" t="n">
        <v>43.5</v>
      </c>
      <c r="V24" t="n">
        <v>49.7</v>
      </c>
      <c r="W24" t="n">
        <v>56.5</v>
      </c>
      <c r="X24" t="n">
        <v>66.5</v>
      </c>
      <c r="Y24" t="n">
        <v>74.90000000000001</v>
      </c>
    </row>
    <row r="25">
      <c r="A25" s="6" t="n">
        <v>2002</v>
      </c>
      <c r="B25" s="7" t="n">
        <v>5.4</v>
      </c>
      <c r="C25" s="7" t="n">
        <v>8.4</v>
      </c>
      <c r="D25" s="7" t="n">
        <v>12</v>
      </c>
      <c r="E25" s="7" t="n">
        <v>19.2</v>
      </c>
      <c r="F25" s="7" t="n">
        <v>21.7</v>
      </c>
      <c r="G25" s="7" t="n">
        <v>21.8</v>
      </c>
      <c r="H25" s="7" t="n">
        <v>21.8</v>
      </c>
      <c r="I25" s="7" t="n">
        <v>21.8</v>
      </c>
      <c r="J25" s="7" t="n">
        <v>21.9</v>
      </c>
      <c r="K25" s="7" t="n">
        <v>22</v>
      </c>
      <c r="M25" t="n">
        <v>360</v>
      </c>
      <c r="N25" t="n">
        <v>4.6</v>
      </c>
      <c r="O25" t="n">
        <v>7.5</v>
      </c>
      <c r="P25" t="n">
        <v>9.800000000000001</v>
      </c>
      <c r="Q25" t="n">
        <v>13</v>
      </c>
      <c r="R25" t="n">
        <v>15.6</v>
      </c>
      <c r="S25" t="n">
        <v>18.6</v>
      </c>
      <c r="T25" t="n">
        <v>21.8</v>
      </c>
      <c r="U25" t="n">
        <v>26.7</v>
      </c>
      <c r="V25" t="n">
        <v>30.8</v>
      </c>
      <c r="W25" t="n">
        <v>35.3</v>
      </c>
      <c r="X25" t="n">
        <v>42.1</v>
      </c>
      <c r="Y25" t="n">
        <v>47.9</v>
      </c>
    </row>
    <row r="26">
      <c r="A26" s="6" t="n">
        <v>2003</v>
      </c>
      <c r="B26" s="7" t="n">
        <v>13.8</v>
      </c>
      <c r="C26" s="7" t="n">
        <v>24.6</v>
      </c>
      <c r="D26" s="7" t="n">
        <v>29.8</v>
      </c>
      <c r="E26" s="7" t="n">
        <v>42.2</v>
      </c>
      <c r="F26" s="7" t="n">
        <v>51.8</v>
      </c>
      <c r="G26" s="7" t="n">
        <v>67</v>
      </c>
      <c r="H26" s="7" t="n">
        <v>82.8</v>
      </c>
      <c r="I26" s="7" t="n">
        <v>89.09999999999999</v>
      </c>
      <c r="J26" s="7" t="n">
        <v>89.90000000000001</v>
      </c>
      <c r="K26" s="7" t="n">
        <v>90.5</v>
      </c>
      <c r="M26" t="n">
        <v>720</v>
      </c>
      <c r="N26" t="n">
        <v>2.6</v>
      </c>
      <c r="O26" t="n">
        <v>4.3</v>
      </c>
      <c r="P26" t="n">
        <v>5.7</v>
      </c>
      <c r="Q26" t="n">
        <v>7.7</v>
      </c>
      <c r="R26" t="n">
        <v>9.4</v>
      </c>
      <c r="S26" t="n">
        <v>11.3</v>
      </c>
      <c r="T26" t="n">
        <v>13.5</v>
      </c>
      <c r="U26" t="n">
        <v>16.8</v>
      </c>
      <c r="V26" t="n">
        <v>19.7</v>
      </c>
      <c r="W26" t="n">
        <v>22.9</v>
      </c>
      <c r="X26" t="n">
        <v>27.8</v>
      </c>
      <c r="Y26" t="n">
        <v>32</v>
      </c>
    </row>
    <row r="27">
      <c r="A27" s="6" t="n">
        <v>2004</v>
      </c>
      <c r="B27" s="7" t="n">
        <v>1.6</v>
      </c>
      <c r="C27" s="7" t="n">
        <v>2.6</v>
      </c>
      <c r="D27" s="7" t="n">
        <v>2.6</v>
      </c>
      <c r="E27" s="7" t="n">
        <v>2.7</v>
      </c>
      <c r="F27" s="7" t="n">
        <v>3.8</v>
      </c>
      <c r="G27" s="7" t="n">
        <v>3.8</v>
      </c>
      <c r="H27" s="7" t="n">
        <v>3.8</v>
      </c>
      <c r="I27" s="7" t="n">
        <v>3.8</v>
      </c>
      <c r="J27" s="7" t="n">
        <v>3.9</v>
      </c>
      <c r="K27" s="7" t="n">
        <v>6.7</v>
      </c>
      <c r="M27" t="n">
        <v>1440</v>
      </c>
      <c r="N27" t="n">
        <v>1.5</v>
      </c>
      <c r="O27" t="n">
        <v>2.4</v>
      </c>
      <c r="P27" t="n">
        <v>3.2</v>
      </c>
      <c r="Q27" t="n">
        <v>4.3</v>
      </c>
      <c r="R27" t="n">
        <v>5.2</v>
      </c>
      <c r="S27" t="n">
        <v>6.2</v>
      </c>
      <c r="T27" t="n">
        <v>7.3</v>
      </c>
      <c r="U27" t="n">
        <v>8.9</v>
      </c>
      <c r="V27" t="n">
        <v>10.3</v>
      </c>
      <c r="W27" t="n">
        <v>11.9</v>
      </c>
      <c r="X27" t="n">
        <v>14.2</v>
      </c>
      <c r="Y27" t="n">
        <v>16.2</v>
      </c>
    </row>
    <row r="28">
      <c r="A28" s="6" t="n">
        <v>2005</v>
      </c>
      <c r="B28" s="7" t="n">
        <v>2.2</v>
      </c>
      <c r="C28" s="7" t="n">
        <v>4</v>
      </c>
      <c r="D28" s="7" t="n">
        <v>4.2</v>
      </c>
      <c r="E28" s="7" t="n">
        <v>4.4</v>
      </c>
      <c r="F28" s="7" t="n">
        <v>7.7</v>
      </c>
      <c r="G28" s="7" t="n">
        <v>11.6</v>
      </c>
      <c r="H28" s="7" t="n">
        <v>14.7</v>
      </c>
      <c r="I28" s="7" t="n">
        <v>21.5</v>
      </c>
      <c r="J28" s="7" t="n">
        <v>26.7</v>
      </c>
      <c r="K28" s="7" t="n">
        <v>28</v>
      </c>
    </row>
    <row r="29">
      <c r="A29" s="6" t="n">
        <v>2006</v>
      </c>
      <c r="B29" s="7" t="n">
        <v>5</v>
      </c>
      <c r="C29" s="7" t="n">
        <v>8.199999999999999</v>
      </c>
      <c r="D29" s="7" t="n">
        <v>12</v>
      </c>
      <c r="E29" s="7" t="n">
        <v>20</v>
      </c>
      <c r="F29" s="7" t="n">
        <v>25.2</v>
      </c>
      <c r="G29" s="7" t="n">
        <v>25.2</v>
      </c>
      <c r="H29" s="7" t="n">
        <v>25.2</v>
      </c>
      <c r="I29" s="7" t="n">
        <v>25.2</v>
      </c>
      <c r="J29" s="7" t="n">
        <v>25.3</v>
      </c>
      <c r="K29" s="7" t="n">
        <v>25.4</v>
      </c>
    </row>
    <row r="30">
      <c r="A30" s="6" t="n">
        <v>2007</v>
      </c>
      <c r="B30" s="7" t="n">
        <v>5</v>
      </c>
      <c r="C30" s="7" t="n">
        <v>9.800000000000001</v>
      </c>
      <c r="D30" s="7" t="n">
        <v>14</v>
      </c>
      <c r="E30" s="7" t="n">
        <v>19.8</v>
      </c>
      <c r="F30" s="7" t="n">
        <v>29.6</v>
      </c>
      <c r="G30" s="7" t="n">
        <v>32.2</v>
      </c>
      <c r="H30" s="7" t="n">
        <v>32.2</v>
      </c>
      <c r="I30" s="7" t="n">
        <v>32.2</v>
      </c>
      <c r="J30" s="7" t="n">
        <v>32.3</v>
      </c>
      <c r="K30" s="7" t="n">
        <v>32.4</v>
      </c>
    </row>
    <row r="31">
      <c r="A31" s="6" t="n">
        <v>2008</v>
      </c>
      <c r="B31" s="7" t="n">
        <v>4.8</v>
      </c>
      <c r="C31" s="7" t="n">
        <v>9</v>
      </c>
      <c r="D31" s="7" t="n">
        <v>11.4</v>
      </c>
      <c r="E31" s="7" t="n">
        <v>16.2</v>
      </c>
      <c r="F31" s="7" t="n">
        <v>16.7</v>
      </c>
      <c r="G31" s="7" t="n">
        <v>16.8</v>
      </c>
      <c r="H31" s="7" t="n">
        <v>16.8</v>
      </c>
      <c r="I31" s="7" t="n">
        <v>16.9</v>
      </c>
      <c r="J31" s="7" t="n">
        <v>17.1</v>
      </c>
      <c r="K31" s="7" t="n">
        <v>17.4</v>
      </c>
    </row>
    <row r="32">
      <c r="A32" s="6" t="n">
        <v>2009</v>
      </c>
      <c r="B32" s="7" t="n">
        <v>1.4</v>
      </c>
      <c r="C32" s="7" t="n">
        <v>1.8</v>
      </c>
      <c r="D32" s="7" t="n">
        <v>2.2</v>
      </c>
      <c r="E32" s="7" t="n">
        <v>2.8</v>
      </c>
      <c r="F32" s="7" t="n">
        <v>2.8</v>
      </c>
      <c r="G32" s="7" t="n">
        <v>2.8</v>
      </c>
      <c r="H32" s="7" t="n">
        <v>2.8</v>
      </c>
      <c r="I32" s="7" t="n">
        <v>3.8</v>
      </c>
      <c r="J32" s="7" t="n">
        <v>3.9</v>
      </c>
      <c r="K32" s="7" t="n">
        <v>4</v>
      </c>
    </row>
    <row r="33">
      <c r="A33" s="6" t="n">
        <v>2010</v>
      </c>
      <c r="B33" s="7" t="n"/>
      <c r="C33" s="7" t="n"/>
      <c r="D33" s="7" t="n"/>
      <c r="E33" s="7" t="n"/>
      <c r="F33" s="7" t="n"/>
      <c r="G33" s="7" t="n"/>
      <c r="H33" s="7" t="n"/>
      <c r="I33" s="7" t="n"/>
      <c r="J33" s="7" t="n"/>
      <c r="K33" s="7" t="n"/>
    </row>
    <row r="34">
      <c r="A34" s="6" t="n">
        <v>2011</v>
      </c>
      <c r="B34" s="7" t="n"/>
      <c r="C34" s="7" t="n"/>
      <c r="D34" s="7" t="n"/>
      <c r="E34" s="7" t="n"/>
      <c r="F34" s="7" t="n"/>
      <c r="G34" s="7" t="n"/>
      <c r="H34" s="7" t="n"/>
      <c r="I34" s="7" t="n"/>
      <c r="J34" s="7" t="n"/>
      <c r="K34" s="7" t="n"/>
    </row>
    <row r="35">
      <c r="A35" s="6" t="n">
        <v>2012</v>
      </c>
      <c r="B35" s="7" t="n"/>
      <c r="C35" s="7" t="n"/>
      <c r="D35" s="7" t="n"/>
      <c r="E35" s="7" t="n"/>
      <c r="F35" s="7" t="n"/>
      <c r="G35" s="7" t="n"/>
      <c r="H35" s="7" t="n"/>
      <c r="I35" s="7" t="n"/>
      <c r="J35" s="7" t="n"/>
      <c r="K35" s="7" t="n"/>
    </row>
    <row r="36">
      <c r="A36" s="6" t="n">
        <v>2013</v>
      </c>
      <c r="B36" s="7" t="n"/>
      <c r="C36" s="7" t="n"/>
      <c r="D36" s="7" t="n"/>
      <c r="E36" s="7" t="n"/>
      <c r="F36" s="7" t="n"/>
      <c r="G36" s="7" t="n"/>
      <c r="H36" s="7" t="n"/>
      <c r="I36" s="7" t="n"/>
      <c r="J36" s="7" t="n"/>
      <c r="K36" s="7" t="n"/>
    </row>
    <row r="37">
      <c r="A37" s="6" t="n">
        <v>2014</v>
      </c>
      <c r="B37" s="7" t="n"/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</row>
    <row r="38">
      <c r="A38" s="6" t="n">
        <v>2015</v>
      </c>
      <c r="B38" s="7" t="n"/>
      <c r="C38" s="7" t="n"/>
      <c r="D38" s="7" t="n"/>
      <c r="E38" s="7" t="n"/>
      <c r="F38" s="7" t="n"/>
      <c r="G38" s="7" t="n"/>
      <c r="H38" s="7" t="n"/>
      <c r="I38" s="7" t="n"/>
      <c r="J38" s="7" t="n"/>
      <c r="K38" s="7" t="n"/>
    </row>
    <row r="39">
      <c r="A39" s="6" t="n">
        <v>2016</v>
      </c>
      <c r="B39" s="7" t="n"/>
      <c r="C39" s="7" t="n"/>
      <c r="D39" s="7" t="n"/>
      <c r="E39" s="7" t="n"/>
      <c r="F39" s="7" t="n"/>
      <c r="G39" s="7" t="n"/>
      <c r="H39" s="7" t="n"/>
      <c r="I39" s="7" t="n"/>
      <c r="J39" s="7" t="n"/>
      <c r="K39" s="7" t="n"/>
    </row>
    <row r="40">
      <c r="A40" s="6" t="n">
        <v>2017</v>
      </c>
      <c r="B40" s="7" t="n">
        <v>4</v>
      </c>
      <c r="C40" s="7" t="n">
        <v>6.2</v>
      </c>
      <c r="D40" s="7" t="n">
        <v>7.4</v>
      </c>
      <c r="E40" s="7" t="n">
        <v>10.2</v>
      </c>
      <c r="F40" s="7" t="n">
        <v>10.6</v>
      </c>
      <c r="G40" s="7" t="n">
        <v>10.6</v>
      </c>
      <c r="H40" s="7" t="n">
        <v>10.6</v>
      </c>
      <c r="I40" s="7" t="n">
        <v>10.6</v>
      </c>
      <c r="J40" s="7" t="n">
        <v>10.7</v>
      </c>
      <c r="K40" s="7" t="n">
        <v>10.8</v>
      </c>
    </row>
    <row r="41">
      <c r="A41" s="6" t="n">
        <v>2018</v>
      </c>
      <c r="B41" s="7" t="n">
        <v>4.8</v>
      </c>
      <c r="C41" s="7" t="n">
        <v>8.6</v>
      </c>
      <c r="D41" s="7" t="n">
        <v>12</v>
      </c>
      <c r="E41" s="7" t="n">
        <v>19.6</v>
      </c>
      <c r="F41" s="7" t="n">
        <v>31.2</v>
      </c>
      <c r="G41" s="7" t="n">
        <v>35.7</v>
      </c>
      <c r="H41" s="7" t="n">
        <v>37.1</v>
      </c>
      <c r="I41" s="7" t="n">
        <v>41.3</v>
      </c>
      <c r="J41" s="7" t="n">
        <v>50.4</v>
      </c>
      <c r="K41" s="7" t="n">
        <v>50.7</v>
      </c>
    </row>
    <row r="42">
      <c r="A42" s="6" t="n">
        <v>2019</v>
      </c>
      <c r="B42" s="7" t="n">
        <v>10.6</v>
      </c>
      <c r="C42" s="7" t="n">
        <v>20.6</v>
      </c>
      <c r="D42" s="7" t="n">
        <v>28.4</v>
      </c>
      <c r="E42" s="7" t="n">
        <v>41.2</v>
      </c>
      <c r="F42" s="7" t="n">
        <v>50</v>
      </c>
      <c r="G42" s="7" t="n">
        <v>53</v>
      </c>
      <c r="H42" s="7" t="n">
        <v>53.6</v>
      </c>
      <c r="I42" s="7" t="n">
        <v>56.8</v>
      </c>
      <c r="J42" s="7" t="n">
        <v>57.1</v>
      </c>
      <c r="K42" s="7" t="n">
        <v>58.1</v>
      </c>
    </row>
    <row r="43">
      <c r="A43" s="6" t="n">
        <v>2020</v>
      </c>
      <c r="B43" s="7" t="n">
        <v>9</v>
      </c>
      <c r="C43" s="7" t="n">
        <v>17</v>
      </c>
      <c r="D43" s="7" t="n">
        <v>19.2</v>
      </c>
      <c r="E43" s="7" t="n">
        <v>24.2</v>
      </c>
      <c r="F43" s="7" t="n">
        <v>32.4</v>
      </c>
      <c r="G43" s="7" t="n">
        <v>33.4</v>
      </c>
      <c r="H43" s="7" t="n">
        <v>33.4</v>
      </c>
      <c r="I43" s="7" t="n">
        <v>33.5</v>
      </c>
      <c r="J43" s="7" t="n">
        <v>34.6</v>
      </c>
      <c r="K43" s="7" t="n">
        <v>34.9</v>
      </c>
    </row>
    <row r="44">
      <c r="A44" s="6" t="n">
        <v>2022</v>
      </c>
      <c r="B44" s="7" t="n">
        <v>5.2</v>
      </c>
      <c r="C44" s="7" t="n">
        <v>9.800000000000001</v>
      </c>
      <c r="D44" s="7" t="n">
        <v>13.4</v>
      </c>
      <c r="E44" s="7" t="n">
        <v>16</v>
      </c>
      <c r="F44" s="7" t="n">
        <v>16.3</v>
      </c>
      <c r="G44" s="7" t="n">
        <v>16.4</v>
      </c>
      <c r="H44" s="7" t="n">
        <v>16.4</v>
      </c>
      <c r="I44" s="7" t="n">
        <v>16.4</v>
      </c>
      <c r="J44" s="7" t="n">
        <v>16.4</v>
      </c>
      <c r="K44" s="7" t="n">
        <v>16.4</v>
      </c>
    </row>
    <row r="47">
      <c r="A47" s="2" t="inlineStr">
        <is>
          <t>AMS AFTER gap filling (mm)  -  yellow = added or changed by gap filling</t>
        </is>
      </c>
    </row>
    <row r="48">
      <c r="A48" s="4" t="inlineStr">
        <is>
          <t>Water year</t>
        </is>
      </c>
      <c r="B48" s="5" t="inlineStr">
        <is>
          <t>5min</t>
        </is>
      </c>
      <c r="C48" s="5" t="inlineStr">
        <is>
          <t>10min</t>
        </is>
      </c>
      <c r="D48" s="5" t="inlineStr">
        <is>
          <t>15min</t>
        </is>
      </c>
      <c r="E48" s="5" t="inlineStr">
        <is>
          <t>30min</t>
        </is>
      </c>
      <c r="F48" s="5" t="inlineStr">
        <is>
          <t>1h</t>
        </is>
      </c>
      <c r="G48" s="5" t="inlineStr">
        <is>
          <t>2h</t>
        </is>
      </c>
      <c r="H48" s="5" t="inlineStr">
        <is>
          <t>3h</t>
        </is>
      </c>
      <c r="I48" s="5" t="inlineStr">
        <is>
          <t>6h</t>
        </is>
      </c>
      <c r="J48" s="5" t="inlineStr">
        <is>
          <t>12h</t>
        </is>
      </c>
      <c r="K48" s="5" t="inlineStr">
        <is>
          <t>24h</t>
        </is>
      </c>
    </row>
    <row r="49">
      <c r="A49" s="6" t="n">
        <v>1980</v>
      </c>
      <c r="B49" s="7" t="n"/>
      <c r="C49" s="7" t="n"/>
      <c r="D49" s="7" t="n"/>
      <c r="E49" s="7" t="n"/>
      <c r="F49" s="7" t="n"/>
      <c r="G49" s="7" t="n"/>
      <c r="H49" s="7" t="n"/>
      <c r="I49" s="7" t="n"/>
      <c r="J49" s="7" t="n"/>
      <c r="K49" s="7" t="n">
        <v>31</v>
      </c>
    </row>
    <row r="50">
      <c r="A50" s="6" t="n">
        <v>1981</v>
      </c>
      <c r="B50" s="7" t="n"/>
      <c r="C50" s="7" t="n"/>
      <c r="D50" s="7" t="n"/>
      <c r="E50" s="7" t="n"/>
      <c r="F50" s="7" t="n"/>
      <c r="G50" s="7" t="n"/>
      <c r="H50" s="7" t="n"/>
      <c r="I50" s="7" t="n"/>
      <c r="J50" s="7" t="n"/>
      <c r="K50" s="8" t="n">
        <v>50.7</v>
      </c>
    </row>
    <row r="51">
      <c r="A51" s="6" t="n">
        <v>1982</v>
      </c>
      <c r="B51" s="7" t="n"/>
      <c r="C51" s="7" t="n"/>
      <c r="D51" s="7" t="n"/>
      <c r="E51" s="7" t="n"/>
      <c r="F51" s="7" t="n"/>
      <c r="G51" s="7" t="n"/>
      <c r="H51" s="7" t="n"/>
      <c r="I51" s="7" t="n"/>
      <c r="J51" s="7" t="n"/>
      <c r="K51" s="7" t="n">
        <v>136.8</v>
      </c>
    </row>
    <row r="52">
      <c r="A52" s="6" t="n">
        <v>1984</v>
      </c>
      <c r="B52" s="7" t="n"/>
      <c r="C52" s="7" t="n"/>
      <c r="D52" s="7" t="n"/>
      <c r="E52" s="7" t="n"/>
      <c r="F52" s="7" t="n"/>
      <c r="G52" s="7" t="n"/>
      <c r="H52" s="7" t="n"/>
      <c r="I52" s="8" t="n">
        <v>1</v>
      </c>
      <c r="J52" s="8" t="n">
        <v>2</v>
      </c>
      <c r="K52" s="8" t="n">
        <v>3.9</v>
      </c>
    </row>
    <row r="53">
      <c r="A53" s="6" t="n">
        <v>1985</v>
      </c>
      <c r="B53" s="7" t="n"/>
      <c r="C53" s="7" t="n"/>
      <c r="D53" s="7" t="n"/>
      <c r="E53" s="7" t="n"/>
      <c r="F53" s="7" t="n"/>
      <c r="G53" s="7" t="n"/>
      <c r="H53" s="7" t="n"/>
      <c r="I53" s="7" t="n"/>
      <c r="J53" s="7" t="n"/>
      <c r="K53" s="7" t="n">
        <v>2.6</v>
      </c>
    </row>
    <row r="54">
      <c r="A54" s="6" t="n">
        <v>1986</v>
      </c>
      <c r="B54" s="7" t="n"/>
      <c r="C54" s="7" t="n"/>
      <c r="D54" s="7" t="n"/>
      <c r="E54" s="7" t="n"/>
      <c r="F54" s="7" t="n"/>
      <c r="G54" s="7" t="n"/>
      <c r="H54" s="7" t="n"/>
      <c r="I54" s="7" t="n"/>
      <c r="J54" s="7" t="n"/>
      <c r="K54" s="7" t="n">
        <v>39.2</v>
      </c>
    </row>
    <row r="55">
      <c r="A55" s="6" t="n">
        <v>1987</v>
      </c>
      <c r="B55" s="7" t="n"/>
      <c r="C55" s="7" t="n"/>
      <c r="D55" s="7" t="n"/>
      <c r="E55" s="7" t="n"/>
      <c r="F55" s="7" t="n"/>
      <c r="G55" s="7" t="n"/>
      <c r="H55" s="7" t="n"/>
      <c r="I55" s="7" t="n"/>
      <c r="J55" s="7" t="n"/>
      <c r="K55" s="7" t="n">
        <v>54.6</v>
      </c>
    </row>
    <row r="56">
      <c r="A56" s="6" t="n">
        <v>1988</v>
      </c>
      <c r="B56" s="7" t="n"/>
      <c r="C56" s="7" t="n"/>
      <c r="D56" s="7" t="n"/>
      <c r="E56" s="7" t="n"/>
      <c r="F56" s="7" t="n"/>
      <c r="G56" s="7" t="n"/>
      <c r="H56" s="7" t="n"/>
      <c r="I56" s="7" t="n"/>
      <c r="J56" s="7" t="n"/>
      <c r="K56" s="8" t="n">
        <v>11.4</v>
      </c>
    </row>
    <row r="57">
      <c r="A57" s="6" t="n">
        <v>1990</v>
      </c>
      <c r="B57" s="7" t="n"/>
      <c r="C57" s="7" t="n"/>
      <c r="D57" s="7" t="n"/>
      <c r="E57" s="7" t="n"/>
      <c r="F57" s="7" t="n"/>
      <c r="G57" s="7" t="n"/>
      <c r="H57" s="7" t="n"/>
      <c r="I57" s="7" t="n"/>
      <c r="J57" s="7" t="n"/>
      <c r="K57" s="7" t="n">
        <v>47</v>
      </c>
    </row>
    <row r="58">
      <c r="A58" s="6" t="n">
        <v>1991</v>
      </c>
      <c r="B58" s="7" t="n"/>
      <c r="C58" s="7" t="n"/>
      <c r="D58" s="7" t="n"/>
      <c r="E58" s="7" t="n"/>
      <c r="F58" s="7" t="n"/>
      <c r="G58" s="7" t="n"/>
      <c r="H58" s="7" t="n"/>
      <c r="I58" s="7" t="n"/>
      <c r="J58" s="7" t="n"/>
      <c r="K58" s="7" t="n">
        <v>15.6</v>
      </c>
    </row>
    <row r="59">
      <c r="A59" s="6" t="n">
        <v>1992</v>
      </c>
      <c r="B59" s="7" t="n"/>
      <c r="C59" s="7" t="n"/>
      <c r="D59" s="7" t="n"/>
      <c r="E59" s="7" t="n"/>
      <c r="F59" s="7" t="n"/>
      <c r="G59" s="7" t="n"/>
      <c r="H59" s="7" t="n"/>
      <c r="I59" s="7" t="n"/>
      <c r="J59" s="7" t="n"/>
      <c r="K59" s="8" t="n">
        <v>50</v>
      </c>
    </row>
    <row r="60">
      <c r="A60" s="6" t="n">
        <v>1993</v>
      </c>
      <c r="B60" s="7" t="n"/>
      <c r="C60" s="7" t="n"/>
      <c r="D60" s="7" t="n"/>
      <c r="E60" s="7" t="n"/>
      <c r="F60" s="7" t="n"/>
      <c r="G60" s="7" t="n"/>
      <c r="H60" s="7" t="n"/>
      <c r="I60" s="7" t="n"/>
      <c r="J60" s="7" t="n"/>
      <c r="K60" s="8" t="n">
        <v>16.4</v>
      </c>
    </row>
    <row r="61">
      <c r="A61" s="6" t="n">
        <v>1994</v>
      </c>
      <c r="B61" s="7" t="n"/>
      <c r="C61" s="7" t="n"/>
      <c r="D61" s="7" t="n"/>
      <c r="E61" s="7" t="n"/>
      <c r="F61" s="7" t="n"/>
      <c r="G61" s="7" t="n"/>
      <c r="H61" s="7" t="n"/>
      <c r="I61" s="7" t="n"/>
      <c r="J61" s="7" t="n"/>
      <c r="K61" s="8" t="n">
        <v>50</v>
      </c>
    </row>
    <row r="62">
      <c r="A62" s="6" t="n">
        <v>1995</v>
      </c>
      <c r="B62" s="7" t="n"/>
      <c r="C62" s="7" t="n"/>
      <c r="D62" s="7" t="n"/>
      <c r="E62" s="7" t="n"/>
      <c r="F62" s="7" t="n"/>
      <c r="G62" s="7" t="n"/>
      <c r="H62" s="7" t="n"/>
      <c r="I62" s="7" t="n"/>
      <c r="J62" s="7" t="n"/>
      <c r="K62" s="8" t="n">
        <v>30.4</v>
      </c>
    </row>
    <row r="63">
      <c r="A63" s="6" t="n">
        <v>1996</v>
      </c>
      <c r="B63" s="7" t="n"/>
      <c r="C63" s="7" t="n"/>
      <c r="D63" s="7" t="n"/>
      <c r="E63" s="7" t="n"/>
      <c r="F63" s="7" t="n">
        <v>17.2</v>
      </c>
      <c r="G63" s="7" t="n">
        <v>17.2</v>
      </c>
      <c r="H63" s="7" t="n">
        <v>17.2</v>
      </c>
      <c r="I63" s="7" t="n">
        <v>19.1</v>
      </c>
      <c r="J63" s="7" t="n">
        <v>38.2</v>
      </c>
      <c r="K63" s="7" t="n">
        <v>76.40000000000001</v>
      </c>
    </row>
    <row r="64">
      <c r="A64" s="6" t="n">
        <v>1997</v>
      </c>
      <c r="B64" s="7" t="n">
        <v>9.6</v>
      </c>
      <c r="C64" s="7" t="n">
        <v>16.8</v>
      </c>
      <c r="D64" s="7" t="n">
        <v>22</v>
      </c>
      <c r="E64" s="7" t="n">
        <v>27.6</v>
      </c>
      <c r="F64" s="7" t="n">
        <v>37.6</v>
      </c>
      <c r="G64" s="7" t="n">
        <v>57.2</v>
      </c>
      <c r="H64" s="7" t="n">
        <v>75.59999999999999</v>
      </c>
      <c r="I64" s="7" t="n">
        <v>78.2</v>
      </c>
      <c r="J64" s="7" t="n">
        <v>110.4</v>
      </c>
      <c r="K64" s="7" t="n">
        <v>114</v>
      </c>
    </row>
    <row r="65">
      <c r="A65" s="6" t="n">
        <v>1998</v>
      </c>
      <c r="B65" s="7" t="n">
        <v>18.8</v>
      </c>
      <c r="C65" s="7" t="n">
        <v>31.2</v>
      </c>
      <c r="D65" s="7" t="n">
        <v>38.4</v>
      </c>
      <c r="E65" s="7" t="n">
        <v>42.8</v>
      </c>
      <c r="F65" s="7" t="n">
        <v>60</v>
      </c>
      <c r="G65" s="7" t="n">
        <v>73.59999999999999</v>
      </c>
      <c r="H65" s="7" t="n">
        <v>78.40000000000001</v>
      </c>
      <c r="I65" s="7" t="n">
        <v>78.59999999999999</v>
      </c>
      <c r="J65" s="7" t="n">
        <v>78.90000000000001</v>
      </c>
      <c r="K65" s="7" t="n">
        <v>79.59999999999999</v>
      </c>
    </row>
    <row r="66">
      <c r="A66" s="6" t="n">
        <v>1999</v>
      </c>
      <c r="B66" s="7" t="n">
        <v>11</v>
      </c>
      <c r="C66" s="7" t="n">
        <v>13.4</v>
      </c>
      <c r="D66" s="7" t="n">
        <v>14.2</v>
      </c>
      <c r="E66" s="7" t="n">
        <v>14.8</v>
      </c>
      <c r="F66" s="7" t="n">
        <v>16.1</v>
      </c>
      <c r="G66" s="7" t="n">
        <v>18.6</v>
      </c>
      <c r="H66" s="7" t="n">
        <v>21.2</v>
      </c>
      <c r="I66" s="7" t="n">
        <v>30.7</v>
      </c>
      <c r="J66" s="8" t="n">
        <v>42.3</v>
      </c>
      <c r="K66" s="8" t="n">
        <v>44.8</v>
      </c>
    </row>
    <row r="67">
      <c r="A67" s="6" t="n">
        <v>2000</v>
      </c>
      <c r="B67" s="7" t="n">
        <v>4.4</v>
      </c>
      <c r="C67" s="7" t="n">
        <v>7.2</v>
      </c>
      <c r="D67" s="7" t="n">
        <v>8.4</v>
      </c>
      <c r="E67" s="7" t="n">
        <v>12.4</v>
      </c>
      <c r="F67" s="7" t="n">
        <v>12.4</v>
      </c>
      <c r="G67" s="7" t="n">
        <v>12.4</v>
      </c>
      <c r="H67" s="7" t="n">
        <v>12.4</v>
      </c>
      <c r="I67" s="7" t="n">
        <v>12.5</v>
      </c>
      <c r="J67" s="7" t="n">
        <v>12.6</v>
      </c>
      <c r="K67" s="7" t="n">
        <v>12.8</v>
      </c>
    </row>
    <row r="68">
      <c r="A68" s="6" t="n">
        <v>2001</v>
      </c>
      <c r="B68" s="7" t="n">
        <v>3.4</v>
      </c>
      <c r="C68" s="7" t="n">
        <v>6.6</v>
      </c>
      <c r="D68" s="7" t="n">
        <v>8</v>
      </c>
      <c r="E68" s="7" t="n">
        <v>13.8</v>
      </c>
      <c r="F68" s="7" t="n">
        <v>21.4</v>
      </c>
      <c r="G68" s="7" t="n">
        <v>35.8</v>
      </c>
      <c r="H68" s="7" t="n">
        <v>40.3</v>
      </c>
      <c r="I68" s="7" t="n">
        <v>44.8</v>
      </c>
      <c r="J68" s="7" t="n">
        <v>44.9</v>
      </c>
      <c r="K68" s="7" t="n">
        <v>45.3</v>
      </c>
    </row>
    <row r="69">
      <c r="A69" s="6" t="n">
        <v>2002</v>
      </c>
      <c r="B69" s="7" t="n">
        <v>5.4</v>
      </c>
      <c r="C69" s="7" t="n">
        <v>8.4</v>
      </c>
      <c r="D69" s="7" t="n">
        <v>12</v>
      </c>
      <c r="E69" s="7" t="n">
        <v>19.2</v>
      </c>
      <c r="F69" s="7" t="n">
        <v>21.7</v>
      </c>
      <c r="G69" s="7" t="n">
        <v>21.8</v>
      </c>
      <c r="H69" s="7" t="n">
        <v>21.8</v>
      </c>
      <c r="I69" s="7" t="n">
        <v>21.8</v>
      </c>
      <c r="J69" s="7" t="n">
        <v>21.9</v>
      </c>
      <c r="K69" s="7" t="n">
        <v>22</v>
      </c>
    </row>
    <row r="70">
      <c r="A70" s="6" t="n">
        <v>2003</v>
      </c>
      <c r="B70" s="7" t="n">
        <v>13.8</v>
      </c>
      <c r="C70" s="7" t="n">
        <v>24.6</v>
      </c>
      <c r="D70" s="7" t="n">
        <v>29.8</v>
      </c>
      <c r="E70" s="7" t="n">
        <v>42.2</v>
      </c>
      <c r="F70" s="7" t="n">
        <v>51.8</v>
      </c>
      <c r="G70" s="7" t="n">
        <v>67</v>
      </c>
      <c r="H70" s="7" t="n">
        <v>82.8</v>
      </c>
      <c r="I70" s="7" t="n">
        <v>89.09999999999999</v>
      </c>
      <c r="J70" s="7" t="n">
        <v>89.90000000000001</v>
      </c>
      <c r="K70" s="7" t="n">
        <v>90.5</v>
      </c>
    </row>
    <row r="71">
      <c r="A71" s="6" t="n">
        <v>2004</v>
      </c>
      <c r="B71" s="8" t="n">
        <v>1.9</v>
      </c>
      <c r="C71" s="8" t="n">
        <v>2.7</v>
      </c>
      <c r="D71" s="8" t="n">
        <v>3.5</v>
      </c>
      <c r="E71" s="8" t="n">
        <v>4</v>
      </c>
      <c r="F71" s="8" t="n">
        <v>4</v>
      </c>
      <c r="G71" s="8" t="n">
        <v>4</v>
      </c>
      <c r="H71" s="8" t="n">
        <v>4</v>
      </c>
      <c r="I71" s="8" t="n">
        <v>4</v>
      </c>
      <c r="J71" s="8" t="n">
        <v>5.6</v>
      </c>
      <c r="K71" s="8" t="n">
        <v>10.6</v>
      </c>
    </row>
    <row r="72">
      <c r="A72" s="6" t="n">
        <v>2005</v>
      </c>
      <c r="B72" s="7" t="n">
        <v>2.2</v>
      </c>
      <c r="C72" s="7" t="n">
        <v>4</v>
      </c>
      <c r="D72" s="8" t="n">
        <v>5</v>
      </c>
      <c r="E72" s="8" t="n">
        <v>8.199999999999999</v>
      </c>
      <c r="F72" s="8" t="n">
        <v>14.4</v>
      </c>
      <c r="G72" s="8" t="n">
        <v>22.3</v>
      </c>
      <c r="H72" s="8" t="n">
        <v>28.5</v>
      </c>
      <c r="I72" s="8" t="n">
        <v>43.9</v>
      </c>
      <c r="J72" s="8" t="n">
        <v>63.5</v>
      </c>
      <c r="K72" s="8" t="n">
        <v>83.09999999999999</v>
      </c>
    </row>
    <row r="73">
      <c r="A73" s="6" t="n">
        <v>2006</v>
      </c>
      <c r="B73" s="7" t="n">
        <v>5</v>
      </c>
      <c r="C73" s="7" t="n">
        <v>8.199999999999999</v>
      </c>
      <c r="D73" s="7" t="n">
        <v>12</v>
      </c>
      <c r="E73" s="7" t="n">
        <v>20</v>
      </c>
      <c r="F73" s="7" t="n">
        <v>25.2</v>
      </c>
      <c r="G73" s="7" t="n">
        <v>25.2</v>
      </c>
      <c r="H73" s="7" t="n">
        <v>25.2</v>
      </c>
      <c r="I73" s="7" t="n">
        <v>25.2</v>
      </c>
      <c r="J73" s="7" t="n">
        <v>25.3</v>
      </c>
      <c r="K73" s="7" t="n">
        <v>25.4</v>
      </c>
    </row>
    <row r="74">
      <c r="A74" s="6" t="n">
        <v>2007</v>
      </c>
      <c r="B74" s="7" t="n">
        <v>5</v>
      </c>
      <c r="C74" s="7" t="n">
        <v>9.800000000000001</v>
      </c>
      <c r="D74" s="7" t="n">
        <v>14</v>
      </c>
      <c r="E74" s="7" t="n">
        <v>19.8</v>
      </c>
      <c r="F74" s="7" t="n">
        <v>29.6</v>
      </c>
      <c r="G74" s="7" t="n">
        <v>32.2</v>
      </c>
      <c r="H74" s="7" t="n">
        <v>32.2</v>
      </c>
      <c r="I74" s="7" t="n">
        <v>32.2</v>
      </c>
      <c r="J74" s="7" t="n">
        <v>32.3</v>
      </c>
      <c r="K74" s="7" t="n">
        <v>32.4</v>
      </c>
    </row>
    <row r="75">
      <c r="A75" s="6" t="n">
        <v>2008</v>
      </c>
      <c r="B75" s="7" t="n">
        <v>4.8</v>
      </c>
      <c r="C75" s="7" t="n">
        <v>9</v>
      </c>
      <c r="D75" s="7" t="n">
        <v>11.4</v>
      </c>
      <c r="E75" s="7" t="n">
        <v>16.2</v>
      </c>
      <c r="F75" s="7" t="n">
        <v>16.7</v>
      </c>
      <c r="G75" s="7" t="n">
        <v>16.8</v>
      </c>
      <c r="H75" s="7" t="n">
        <v>16.8</v>
      </c>
      <c r="I75" s="7" t="n">
        <v>16.9</v>
      </c>
      <c r="J75" s="7" t="n">
        <v>17.1</v>
      </c>
      <c r="K75" s="7" t="n">
        <v>17.4</v>
      </c>
    </row>
    <row r="76">
      <c r="A76" s="6" t="n">
        <v>2009</v>
      </c>
      <c r="B76" s="8" t="n">
        <v>3.2</v>
      </c>
      <c r="C76" s="8" t="n">
        <v>4.3</v>
      </c>
      <c r="D76" s="8" t="n">
        <v>4.3</v>
      </c>
      <c r="E76" s="8" t="n">
        <v>7.5</v>
      </c>
      <c r="F76" s="8" t="n">
        <v>10.1</v>
      </c>
      <c r="G76" s="8" t="n">
        <v>10.1</v>
      </c>
      <c r="H76" s="8" t="n">
        <v>10.1</v>
      </c>
      <c r="I76" s="8" t="n">
        <v>10.1</v>
      </c>
      <c r="J76" s="8" t="n">
        <v>10.2</v>
      </c>
      <c r="K76" s="8" t="n">
        <v>10.2</v>
      </c>
    </row>
    <row r="77">
      <c r="A77" s="6" t="n">
        <v>2010</v>
      </c>
      <c r="B77" s="8" t="n">
        <v>5.6</v>
      </c>
      <c r="C77" s="8" t="n">
        <v>10.4</v>
      </c>
      <c r="D77" s="8" t="n">
        <v>14.3</v>
      </c>
      <c r="E77" s="8" t="n">
        <v>19.7</v>
      </c>
      <c r="F77" s="8" t="n">
        <v>24.9</v>
      </c>
      <c r="G77" s="8" t="n">
        <v>28.2</v>
      </c>
      <c r="H77" s="8" t="n">
        <v>28.3</v>
      </c>
      <c r="I77" s="8" t="n">
        <v>33.9</v>
      </c>
      <c r="J77" s="8" t="n">
        <v>39.4</v>
      </c>
      <c r="K77" s="8" t="n">
        <v>42.5</v>
      </c>
    </row>
    <row r="78">
      <c r="A78" s="6" t="n">
        <v>2011</v>
      </c>
      <c r="B78" s="8" t="n">
        <v>1.8</v>
      </c>
      <c r="C78" s="8" t="n">
        <v>2.4</v>
      </c>
      <c r="D78" s="8" t="n">
        <v>2.8</v>
      </c>
      <c r="E78" s="8" t="n">
        <v>3.7</v>
      </c>
      <c r="F78" s="8" t="n">
        <v>6.6</v>
      </c>
      <c r="G78" s="8" t="n">
        <v>8.199999999999999</v>
      </c>
      <c r="H78" s="8" t="n">
        <v>8.9</v>
      </c>
      <c r="I78" s="8" t="n">
        <v>11.2</v>
      </c>
      <c r="J78" s="8" t="n">
        <v>13.1</v>
      </c>
      <c r="K78" s="8" t="n">
        <v>13.6</v>
      </c>
    </row>
    <row r="79">
      <c r="A79" s="6" t="n">
        <v>2012</v>
      </c>
      <c r="B79" s="8" t="n">
        <v>3.7</v>
      </c>
      <c r="C79" s="8" t="n">
        <v>5.8</v>
      </c>
      <c r="D79" s="8" t="n">
        <v>7.4</v>
      </c>
      <c r="E79" s="8" t="n">
        <v>11.8</v>
      </c>
      <c r="F79" s="8" t="n">
        <v>15.2</v>
      </c>
      <c r="G79" s="8" t="n">
        <v>25.3</v>
      </c>
      <c r="H79" s="8" t="n">
        <v>29.3</v>
      </c>
      <c r="I79" s="8" t="n">
        <v>36.7</v>
      </c>
      <c r="J79" s="8" t="n">
        <v>44.9</v>
      </c>
      <c r="K79" s="8" t="n">
        <v>46.7</v>
      </c>
    </row>
    <row r="80">
      <c r="A80" s="6" t="n">
        <v>2013</v>
      </c>
      <c r="B80" s="8" t="n">
        <v>3.4</v>
      </c>
      <c r="C80" s="8" t="n">
        <v>5.2</v>
      </c>
      <c r="D80" s="8" t="n">
        <v>7</v>
      </c>
      <c r="E80" s="8" t="n">
        <v>9.6</v>
      </c>
      <c r="F80" s="8" t="n">
        <v>11.6</v>
      </c>
      <c r="G80" s="8" t="n">
        <v>15.1</v>
      </c>
      <c r="H80" s="8" t="n">
        <v>16.7</v>
      </c>
      <c r="I80" s="8" t="n">
        <v>22</v>
      </c>
      <c r="J80" s="8" t="n">
        <v>22.3</v>
      </c>
      <c r="K80" s="8" t="n">
        <v>28.2</v>
      </c>
    </row>
    <row r="81">
      <c r="A81" s="6" t="n">
        <v>2014</v>
      </c>
      <c r="B81" s="8" t="n">
        <v>3.4</v>
      </c>
      <c r="C81" s="8" t="n">
        <v>4.7</v>
      </c>
      <c r="D81" s="8" t="n">
        <v>6.6</v>
      </c>
      <c r="E81" s="8" t="n">
        <v>9.300000000000001</v>
      </c>
      <c r="F81" s="8" t="n">
        <v>10.8</v>
      </c>
      <c r="G81" s="8" t="n">
        <v>14.7</v>
      </c>
      <c r="H81" s="8" t="n">
        <v>21</v>
      </c>
      <c r="I81" s="8" t="n">
        <v>30.1</v>
      </c>
      <c r="J81" s="8" t="n">
        <v>46.1</v>
      </c>
      <c r="K81" s="8" t="n">
        <v>54.8</v>
      </c>
    </row>
    <row r="82">
      <c r="A82" s="6" t="n">
        <v>2015</v>
      </c>
      <c r="B82" s="8" t="n">
        <v>1.3</v>
      </c>
      <c r="C82" s="8" t="n">
        <v>2.1</v>
      </c>
      <c r="D82" s="8" t="n">
        <v>2.7</v>
      </c>
      <c r="E82" s="8" t="n">
        <v>3.6</v>
      </c>
      <c r="F82" s="8" t="n">
        <v>4.1</v>
      </c>
      <c r="G82" s="8" t="n">
        <v>7</v>
      </c>
      <c r="H82" s="8" t="n">
        <v>8.199999999999999</v>
      </c>
      <c r="I82" s="8" t="n">
        <v>10.3</v>
      </c>
      <c r="J82" s="8" t="n">
        <v>11.2</v>
      </c>
      <c r="K82" s="8" t="n">
        <v>15.8</v>
      </c>
    </row>
    <row r="83">
      <c r="A83" s="6" t="n">
        <v>2016</v>
      </c>
      <c r="B83" s="8" t="n">
        <v>4.7</v>
      </c>
      <c r="C83" s="8" t="n">
        <v>7.5</v>
      </c>
      <c r="D83" s="8" t="n">
        <v>10.9</v>
      </c>
      <c r="E83" s="8" t="n">
        <v>17.6</v>
      </c>
      <c r="F83" s="8" t="n">
        <v>25.1</v>
      </c>
      <c r="G83" s="8" t="n">
        <v>26.4</v>
      </c>
      <c r="H83" s="8" t="n">
        <v>28.2</v>
      </c>
      <c r="I83" s="8" t="n">
        <v>29</v>
      </c>
      <c r="J83" s="8" t="n">
        <v>29</v>
      </c>
      <c r="K83" s="8" t="n">
        <v>41.7</v>
      </c>
    </row>
    <row r="84">
      <c r="A84" s="6" t="n">
        <v>2017</v>
      </c>
      <c r="B84" s="7" t="n">
        <v>4</v>
      </c>
      <c r="C84" s="8" t="n">
        <v>6.6</v>
      </c>
      <c r="D84" s="8" t="n">
        <v>9.4</v>
      </c>
      <c r="E84" s="8" t="n">
        <v>14.1</v>
      </c>
      <c r="F84" s="8" t="n">
        <v>17.4</v>
      </c>
      <c r="G84" s="8" t="n">
        <v>17.7</v>
      </c>
      <c r="H84" s="8" t="n">
        <v>17.7</v>
      </c>
      <c r="I84" s="8" t="n">
        <v>17.7</v>
      </c>
      <c r="J84" s="8" t="n">
        <v>17.7</v>
      </c>
      <c r="K84" s="8" t="n">
        <v>17.7</v>
      </c>
    </row>
    <row r="85">
      <c r="A85" s="6" t="n">
        <v>2018</v>
      </c>
      <c r="B85" s="7" t="n">
        <v>4.8</v>
      </c>
      <c r="C85" s="7" t="n">
        <v>8.6</v>
      </c>
      <c r="D85" s="7" t="n">
        <v>12</v>
      </c>
      <c r="E85" s="7" t="n">
        <v>19.6</v>
      </c>
      <c r="F85" s="7" t="n">
        <v>31.2</v>
      </c>
      <c r="G85" s="7" t="n">
        <v>35.7</v>
      </c>
      <c r="H85" s="7" t="n">
        <v>37.1</v>
      </c>
      <c r="I85" s="7" t="n">
        <v>41.3</v>
      </c>
      <c r="J85" s="7" t="n">
        <v>50.4</v>
      </c>
      <c r="K85" s="7" t="n">
        <v>50.7</v>
      </c>
    </row>
    <row r="86">
      <c r="A86" s="6" t="n">
        <v>2019</v>
      </c>
      <c r="B86" s="7" t="n">
        <v>10.6</v>
      </c>
      <c r="C86" s="7" t="n">
        <v>20.6</v>
      </c>
      <c r="D86" s="7" t="n">
        <v>28.4</v>
      </c>
      <c r="E86" s="7" t="n">
        <v>41.2</v>
      </c>
      <c r="F86" s="7" t="n">
        <v>50</v>
      </c>
      <c r="G86" s="7" t="n">
        <v>53</v>
      </c>
      <c r="H86" s="7" t="n">
        <v>53.6</v>
      </c>
      <c r="I86" s="7" t="n">
        <v>56.8</v>
      </c>
      <c r="J86" s="7" t="n">
        <v>57.1</v>
      </c>
      <c r="K86" s="7" t="n">
        <v>58.1</v>
      </c>
    </row>
    <row r="87">
      <c r="A87" s="6" t="n">
        <v>2020</v>
      </c>
      <c r="B87" s="7" t="n">
        <v>9</v>
      </c>
      <c r="C87" s="7" t="n">
        <v>17</v>
      </c>
      <c r="D87" s="7" t="n">
        <v>19.2</v>
      </c>
      <c r="E87" s="7" t="n">
        <v>24.2</v>
      </c>
      <c r="F87" s="7" t="n">
        <v>32.4</v>
      </c>
      <c r="G87" s="7" t="n">
        <v>33.4</v>
      </c>
      <c r="H87" s="7" t="n">
        <v>33.4</v>
      </c>
      <c r="I87" s="7" t="n">
        <v>33.5</v>
      </c>
      <c r="J87" s="7" t="n">
        <v>34.6</v>
      </c>
      <c r="K87" s="7" t="n">
        <v>34.9</v>
      </c>
    </row>
    <row r="88">
      <c r="A88" s="6" t="n">
        <v>2022</v>
      </c>
      <c r="B88" s="7" t="n">
        <v>5.2</v>
      </c>
      <c r="C88" s="7" t="n">
        <v>9.800000000000001</v>
      </c>
      <c r="D88" s="7" t="n">
        <v>13.4</v>
      </c>
      <c r="E88" s="7" t="n">
        <v>16</v>
      </c>
      <c r="F88" s="7" t="n">
        <v>16.3</v>
      </c>
      <c r="G88" s="7" t="n">
        <v>16.4</v>
      </c>
      <c r="H88" s="7" t="n">
        <v>16.4</v>
      </c>
      <c r="I88" s="7" t="n">
        <v>16.4</v>
      </c>
      <c r="J88" s="7" t="n">
        <v>16.4</v>
      </c>
      <c r="K88" s="7" t="n">
        <v>16.4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Y8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</cols>
  <sheetData>
    <row r="1">
      <c r="A1" s="1" t="inlineStr">
        <is>
          <t>Gauge 55  |  FL358553BF  |  BA'AD 2 AT BA'AD</t>
        </is>
      </c>
    </row>
    <row r="3">
      <c r="A3" s="2" t="inlineStr">
        <is>
          <t>AMS BEFORE gap filling (observed only, mm)</t>
        </is>
      </c>
      <c r="M3" s="3" t="inlineStr">
        <is>
          <t>IDF - design rainfall DEPTH (mm)</t>
        </is>
      </c>
    </row>
    <row r="4">
      <c r="A4" s="4" t="inlineStr">
        <is>
          <t>Water year</t>
        </is>
      </c>
      <c r="B4" s="5" t="inlineStr">
        <is>
          <t>5min</t>
        </is>
      </c>
      <c r="C4" s="5" t="inlineStr">
        <is>
          <t>10min</t>
        </is>
      </c>
      <c r="D4" s="5" t="inlineStr">
        <is>
          <t>15min</t>
        </is>
      </c>
      <c r="E4" s="5" t="inlineStr">
        <is>
          <t>30min</t>
        </is>
      </c>
      <c r="F4" s="5" t="inlineStr">
        <is>
          <t>1h</t>
        </is>
      </c>
      <c r="G4" s="5" t="inlineStr">
        <is>
          <t>2h</t>
        </is>
      </c>
      <c r="H4" s="5" t="inlineStr">
        <is>
          <t>3h</t>
        </is>
      </c>
      <c r="I4" s="5" t="inlineStr">
        <is>
          <t>6h</t>
        </is>
      </c>
      <c r="J4" s="5" t="inlineStr">
        <is>
          <t>12h</t>
        </is>
      </c>
      <c r="K4" s="5" t="inlineStr">
        <is>
          <t>24h</t>
        </is>
      </c>
      <c r="M4" s="4" t="inlineStr">
        <is>
          <t>Duration \ RP</t>
        </is>
      </c>
      <c r="N4" s="4" t="n">
        <v>2</v>
      </c>
      <c r="O4" s="4" t="n">
        <v>5</v>
      </c>
      <c r="P4" s="4" t="n">
        <v>10</v>
      </c>
      <c r="Q4" s="4" t="n">
        <v>25</v>
      </c>
      <c r="R4" s="4" t="n">
        <v>50</v>
      </c>
      <c r="S4" s="4" t="n">
        <v>100</v>
      </c>
      <c r="T4" s="4" t="n">
        <v>200</v>
      </c>
      <c r="U4" s="4" t="n">
        <v>500</v>
      </c>
      <c r="V4" s="4" t="n">
        <v>1000</v>
      </c>
      <c r="W4" s="4" t="n">
        <v>2000</v>
      </c>
      <c r="X4" s="4" t="n">
        <v>5000</v>
      </c>
      <c r="Y4" s="4" t="n">
        <v>10000</v>
      </c>
    </row>
    <row r="5">
      <c r="A5" s="6" t="n">
        <v>1984</v>
      </c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>
        <v>17</v>
      </c>
      <c r="M5" s="6" t="inlineStr">
        <is>
          <t>5min</t>
        </is>
      </c>
      <c r="N5" s="6" t="n">
        <v>5.3</v>
      </c>
      <c r="O5" s="6" t="n">
        <v>8</v>
      </c>
      <c r="P5" s="6" t="n">
        <v>9.9</v>
      </c>
      <c r="Q5" s="6" t="n">
        <v>12.5</v>
      </c>
      <c r="R5" s="6" t="n">
        <v>14.4</v>
      </c>
      <c r="S5" s="6" t="n">
        <v>16.5</v>
      </c>
      <c r="T5" s="6" t="n">
        <v>18.6</v>
      </c>
      <c r="U5" s="6" t="n">
        <v>21.6</v>
      </c>
      <c r="V5" s="6" t="n">
        <v>23.9</v>
      </c>
      <c r="W5" s="6" t="n">
        <v>26.3</v>
      </c>
      <c r="X5" s="6" t="n">
        <v>29.7</v>
      </c>
      <c r="Y5" s="6" t="n">
        <v>32.4</v>
      </c>
    </row>
    <row r="6">
      <c r="A6" s="6" t="n">
        <v>1985</v>
      </c>
      <c r="B6" s="7" t="n"/>
      <c r="C6" s="7" t="n"/>
      <c r="D6" s="7" t="n"/>
      <c r="E6" s="7" t="n"/>
      <c r="F6" s="7" t="n"/>
      <c r="G6" s="7" t="n"/>
      <c r="H6" s="7" t="n"/>
      <c r="I6" s="7" t="n"/>
      <c r="J6" s="7" t="n"/>
      <c r="K6" s="7" t="n">
        <v>10</v>
      </c>
      <c r="M6" s="6" t="inlineStr">
        <is>
          <t>10min</t>
        </is>
      </c>
      <c r="N6" s="6" t="n">
        <v>8.6</v>
      </c>
      <c r="O6" s="6" t="n">
        <v>13.2</v>
      </c>
      <c r="P6" s="6" t="n">
        <v>16.5</v>
      </c>
      <c r="Q6" s="6" t="n">
        <v>21</v>
      </c>
      <c r="R6" s="6" t="n">
        <v>24.6</v>
      </c>
      <c r="S6" s="6" t="n">
        <v>28.3</v>
      </c>
      <c r="T6" s="6" t="n">
        <v>32.2</v>
      </c>
      <c r="U6" s="6" t="n">
        <v>37.7</v>
      </c>
      <c r="V6" s="6" t="n">
        <v>42.2</v>
      </c>
      <c r="W6" s="6" t="n">
        <v>46.9</v>
      </c>
      <c r="X6" s="6" t="n">
        <v>53.5</v>
      </c>
      <c r="Y6" s="6" t="n">
        <v>58.8</v>
      </c>
    </row>
    <row r="7">
      <c r="A7" s="6" t="n">
        <v>1986</v>
      </c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>
        <v>24</v>
      </c>
      <c r="M7" s="6" t="inlineStr">
        <is>
          <t>15min</t>
        </is>
      </c>
      <c r="N7" s="6" t="n">
        <v>10.9</v>
      </c>
      <c r="O7" s="6" t="n">
        <v>17</v>
      </c>
      <c r="P7" s="6" t="n">
        <v>21.4</v>
      </c>
      <c r="Q7" s="6" t="n">
        <v>27.4</v>
      </c>
      <c r="R7" s="6" t="n">
        <v>32.1</v>
      </c>
      <c r="S7" s="6" t="n">
        <v>37.1</v>
      </c>
      <c r="T7" s="6" t="n">
        <v>42.4</v>
      </c>
      <c r="U7" s="6" t="n">
        <v>49.9</v>
      </c>
      <c r="V7" s="6" t="n">
        <v>55.9</v>
      </c>
      <c r="W7" s="6" t="n">
        <v>62.4</v>
      </c>
      <c r="X7" s="6" t="n">
        <v>71.5</v>
      </c>
      <c r="Y7" s="6" t="n">
        <v>78.8</v>
      </c>
    </row>
    <row r="8">
      <c r="A8" s="6" t="n">
        <v>1987</v>
      </c>
      <c r="B8" s="7" t="n"/>
      <c r="C8" s="7" t="n"/>
      <c r="D8" s="7" t="n"/>
      <c r="E8" s="7" t="n"/>
      <c r="F8" s="7" t="n"/>
      <c r="G8" s="7" t="n"/>
      <c r="H8" s="7" t="n"/>
      <c r="I8" s="7" t="n"/>
      <c r="J8" s="7" t="n"/>
      <c r="K8" s="7" t="n">
        <v>30</v>
      </c>
      <c r="M8" s="6" t="inlineStr">
        <is>
          <t>30min</t>
        </is>
      </c>
      <c r="N8" s="6" t="n">
        <v>15.2</v>
      </c>
      <c r="O8" s="6" t="n">
        <v>24</v>
      </c>
      <c r="P8" s="6" t="n">
        <v>30.1</v>
      </c>
      <c r="Q8" s="6" t="n">
        <v>38.2</v>
      </c>
      <c r="R8" s="6" t="n">
        <v>44.6</v>
      </c>
      <c r="S8" s="6" t="n">
        <v>51.2</v>
      </c>
      <c r="T8" s="6" t="n">
        <v>58</v>
      </c>
      <c r="U8" s="6" t="n">
        <v>67.40000000000001</v>
      </c>
      <c r="V8" s="6" t="n">
        <v>74.90000000000001</v>
      </c>
      <c r="W8" s="6" t="n">
        <v>82.7</v>
      </c>
      <c r="X8" s="6" t="n">
        <v>93.59999999999999</v>
      </c>
      <c r="Y8" s="6" t="n">
        <v>102.2</v>
      </c>
    </row>
    <row r="9">
      <c r="A9" s="6" t="n">
        <v>1988</v>
      </c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>
        <v>30</v>
      </c>
      <c r="M9" s="6" t="inlineStr">
        <is>
          <t>1h</t>
        </is>
      </c>
      <c r="N9" s="6" t="n">
        <v>19</v>
      </c>
      <c r="O9" s="6" t="n">
        <v>30.1</v>
      </c>
      <c r="P9" s="6" t="n">
        <v>38</v>
      </c>
      <c r="Q9" s="6" t="n">
        <v>48.7</v>
      </c>
      <c r="R9" s="6" t="n">
        <v>57.1</v>
      </c>
      <c r="S9" s="6" t="n">
        <v>65.90000000000001</v>
      </c>
      <c r="T9" s="6" t="n">
        <v>75.09999999999999</v>
      </c>
      <c r="U9" s="6" t="n">
        <v>88.09999999999999</v>
      </c>
      <c r="V9" s="6" t="n">
        <v>98.5</v>
      </c>
      <c r="W9" s="6" t="n">
        <v>109.5</v>
      </c>
      <c r="X9" s="6" t="n">
        <v>124.9</v>
      </c>
      <c r="Y9" s="6" t="n">
        <v>137.3</v>
      </c>
    </row>
    <row r="10">
      <c r="A10" s="6" t="n">
        <v>1989</v>
      </c>
      <c r="B10" s="7" t="n"/>
      <c r="C10" s="7" t="n"/>
      <c r="D10" s="7" t="n"/>
      <c r="E10" s="7" t="n"/>
      <c r="F10" s="7" t="n"/>
      <c r="G10" s="7" t="n"/>
      <c r="H10" s="7" t="n"/>
      <c r="I10" s="7" t="n"/>
      <c r="J10" s="7" t="n"/>
      <c r="K10" s="7" t="n">
        <v>10</v>
      </c>
      <c r="M10" s="6" t="inlineStr">
        <is>
          <t>2h</t>
        </is>
      </c>
      <c r="N10" s="6" t="n">
        <v>21.9</v>
      </c>
      <c r="O10" s="6" t="n">
        <v>35.7</v>
      </c>
      <c r="P10" s="6" t="n">
        <v>46.1</v>
      </c>
      <c r="Q10" s="6" t="n">
        <v>60.8</v>
      </c>
      <c r="R10" s="6" t="n">
        <v>72.90000000000001</v>
      </c>
      <c r="S10" s="6" t="n">
        <v>86.09999999999999</v>
      </c>
      <c r="T10" s="6" t="n">
        <v>100.5</v>
      </c>
      <c r="U10" s="6" t="n">
        <v>121.6</v>
      </c>
      <c r="V10" s="6" t="n">
        <v>139.2</v>
      </c>
      <c r="W10" s="6" t="n">
        <v>158.6</v>
      </c>
      <c r="X10" s="6" t="n">
        <v>187</v>
      </c>
      <c r="Y10" s="6" t="n">
        <v>210.9</v>
      </c>
    </row>
    <row r="11">
      <c r="A11" s="6" t="n">
        <v>1990</v>
      </c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>
        <v>50</v>
      </c>
      <c r="M11" s="6" t="inlineStr">
        <is>
          <t>3h</t>
        </is>
      </c>
      <c r="N11" s="6" t="n">
        <v>23.3</v>
      </c>
      <c r="O11" s="6" t="n">
        <v>39.1</v>
      </c>
      <c r="P11" s="6" t="n">
        <v>51.7</v>
      </c>
      <c r="Q11" s="6" t="n">
        <v>70.2</v>
      </c>
      <c r="R11" s="6" t="n">
        <v>86.3</v>
      </c>
      <c r="S11" s="6" t="n">
        <v>104.5</v>
      </c>
      <c r="T11" s="6" t="n">
        <v>125.2</v>
      </c>
      <c r="U11" s="6" t="n">
        <v>157</v>
      </c>
      <c r="V11" s="6" t="n">
        <v>184.9</v>
      </c>
      <c r="W11" s="6" t="n">
        <v>216.7</v>
      </c>
      <c r="X11" s="6" t="n">
        <v>265.6</v>
      </c>
      <c r="Y11" s="6" t="n">
        <v>308.7</v>
      </c>
    </row>
    <row r="12">
      <c r="A12" s="6" t="n">
        <v>1991</v>
      </c>
      <c r="B12" s="7" t="n"/>
      <c r="C12" s="7" t="n"/>
      <c r="D12" s="7" t="n"/>
      <c r="E12" s="7" t="n"/>
      <c r="F12" s="7" t="n"/>
      <c r="G12" s="7" t="n"/>
      <c r="H12" s="7" t="n"/>
      <c r="I12" s="7" t="n"/>
      <c r="J12" s="7" t="n"/>
      <c r="K12" s="7" t="n">
        <v>10</v>
      </c>
      <c r="M12" s="6" t="inlineStr">
        <is>
          <t>6h</t>
        </is>
      </c>
      <c r="N12" s="6" t="n">
        <v>26.1</v>
      </c>
      <c r="O12" s="6" t="n">
        <v>45.5</v>
      </c>
      <c r="P12" s="6" t="n">
        <v>61.3</v>
      </c>
      <c r="Q12" s="6" t="n">
        <v>85.40000000000001</v>
      </c>
      <c r="R12" s="6" t="n">
        <v>106.9</v>
      </c>
      <c r="S12" s="6" t="n">
        <v>131.9</v>
      </c>
      <c r="T12" s="6" t="n">
        <v>160.9</v>
      </c>
      <c r="U12" s="6" t="n">
        <v>206.9</v>
      </c>
      <c r="V12" s="6" t="n">
        <v>248.4</v>
      </c>
      <c r="W12" s="6" t="n">
        <v>296.9</v>
      </c>
      <c r="X12" s="6" t="n">
        <v>373.6</v>
      </c>
      <c r="Y12" s="6" t="n">
        <v>443</v>
      </c>
    </row>
    <row r="13">
      <c r="A13" s="6" t="n">
        <v>1992</v>
      </c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>
        <v>60</v>
      </c>
      <c r="M13" s="6" t="inlineStr">
        <is>
          <t>12h</t>
        </is>
      </c>
      <c r="N13" s="6" t="n">
        <v>29.1</v>
      </c>
      <c r="O13" s="6" t="n">
        <v>51.7</v>
      </c>
      <c r="P13" s="6" t="n">
        <v>70.5</v>
      </c>
      <c r="Q13" s="6" t="n">
        <v>99.5</v>
      </c>
      <c r="R13" s="6" t="n">
        <v>125.8</v>
      </c>
      <c r="S13" s="6" t="n">
        <v>156.7</v>
      </c>
      <c r="T13" s="6" t="n">
        <v>193.1</v>
      </c>
      <c r="U13" s="6" t="n">
        <v>251.4</v>
      </c>
      <c r="V13" s="6" t="n">
        <v>304.9</v>
      </c>
      <c r="W13" s="6" t="n">
        <v>368</v>
      </c>
      <c r="X13" s="6" t="n">
        <v>469.3</v>
      </c>
      <c r="Y13" s="6" t="n">
        <v>562.2</v>
      </c>
    </row>
    <row r="14">
      <c r="A14" s="6" t="n">
        <v>1993</v>
      </c>
      <c r="B14" s="7" t="n"/>
      <c r="C14" s="7" t="n"/>
      <c r="D14" s="7" t="n"/>
      <c r="E14" s="7" t="n"/>
      <c r="F14" s="7" t="n"/>
      <c r="G14" s="7" t="n"/>
      <c r="H14" s="7" t="n"/>
      <c r="I14" s="7" t="n"/>
      <c r="J14" s="7" t="n"/>
      <c r="K14" s="7" t="n">
        <v>45</v>
      </c>
      <c r="M14" s="6" t="inlineStr">
        <is>
          <t>24h</t>
        </is>
      </c>
      <c r="N14" s="6" t="n">
        <v>34.4</v>
      </c>
      <c r="O14" s="6" t="n">
        <v>61.7</v>
      </c>
      <c r="P14" s="6" t="n">
        <v>83.8</v>
      </c>
      <c r="Q14" s="6" t="n">
        <v>117.3</v>
      </c>
      <c r="R14" s="6" t="n">
        <v>147</v>
      </c>
      <c r="S14" s="6" t="n">
        <v>181.4</v>
      </c>
      <c r="T14" s="6" t="n">
        <v>221.1</v>
      </c>
      <c r="U14" s="6" t="n">
        <v>283.5</v>
      </c>
      <c r="V14" s="6" t="n">
        <v>339.6</v>
      </c>
      <c r="W14" s="6" t="n">
        <v>404.7</v>
      </c>
      <c r="X14" s="6" t="n">
        <v>507.1</v>
      </c>
      <c r="Y14" s="6" t="n">
        <v>599.1</v>
      </c>
    </row>
    <row r="15">
      <c r="A15" s="6" t="n">
        <v>1994</v>
      </c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>
        <v>25</v>
      </c>
    </row>
    <row r="16">
      <c r="A16" s="6" t="n">
        <v>1995</v>
      </c>
      <c r="B16" s="7" t="n"/>
      <c r="C16" s="7" t="n"/>
      <c r="D16" s="7" t="n"/>
      <c r="E16" s="7" t="n"/>
      <c r="F16" s="7" t="n"/>
      <c r="G16" s="7" t="n"/>
      <c r="H16" s="7" t="n"/>
      <c r="I16" s="7" t="n"/>
      <c r="J16" s="7" t="n"/>
      <c r="K16" s="7" t="n">
        <v>20</v>
      </c>
      <c r="M16" s="3" t="inlineStr">
        <is>
          <t>IDF - intensity (mm/hr) [x=duration(min)]</t>
        </is>
      </c>
    </row>
    <row r="17">
      <c r="A17" s="6" t="n">
        <v>1996</v>
      </c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>
        <v>38</v>
      </c>
      <c r="M17" t="inlineStr">
        <is>
          <t>Duration(min)</t>
        </is>
      </c>
      <c r="N17" t="inlineStr">
        <is>
          <t>2 yr</t>
        </is>
      </c>
      <c r="O17" t="inlineStr">
        <is>
          <t>5 yr</t>
        </is>
      </c>
      <c r="P17" t="inlineStr">
        <is>
          <t>10 yr</t>
        </is>
      </c>
      <c r="Q17" t="inlineStr">
        <is>
          <t>25 yr</t>
        </is>
      </c>
      <c r="R17" t="inlineStr">
        <is>
          <t>50 yr</t>
        </is>
      </c>
      <c r="S17" t="inlineStr">
        <is>
          <t>100 yr</t>
        </is>
      </c>
      <c r="T17" t="inlineStr">
        <is>
          <t>200 yr</t>
        </is>
      </c>
      <c r="U17" t="inlineStr">
        <is>
          <t>500 yr</t>
        </is>
      </c>
      <c r="V17" t="inlineStr">
        <is>
          <t>1000 yr</t>
        </is>
      </c>
      <c r="W17" t="inlineStr">
        <is>
          <t>2000 yr</t>
        </is>
      </c>
      <c r="X17" t="inlineStr">
        <is>
          <t>5000 yr</t>
        </is>
      </c>
      <c r="Y17" t="inlineStr">
        <is>
          <t>10000 yr</t>
        </is>
      </c>
    </row>
    <row r="18">
      <c r="A18" s="6" t="n">
        <v>1997</v>
      </c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  <c r="K18" s="7" t="n">
        <v>57</v>
      </c>
      <c r="M18" t="n">
        <v>5</v>
      </c>
      <c r="N18" t="n">
        <v>63.2</v>
      </c>
      <c r="O18" t="n">
        <v>96</v>
      </c>
      <c r="P18" t="n">
        <v>118.9</v>
      </c>
      <c r="Q18" t="n">
        <v>149.4</v>
      </c>
      <c r="R18" t="n">
        <v>173.2</v>
      </c>
      <c r="S18" t="n">
        <v>197.8</v>
      </c>
      <c r="T18" t="n">
        <v>223.3</v>
      </c>
      <c r="U18" t="n">
        <v>258.7</v>
      </c>
      <c r="V18" t="n">
        <v>286.7</v>
      </c>
      <c r="W18" t="n">
        <v>316</v>
      </c>
      <c r="X18" t="n">
        <v>356.5</v>
      </c>
      <c r="Y18" t="n">
        <v>388.7</v>
      </c>
    </row>
    <row r="19">
      <c r="A19" s="6" t="n">
        <v>1998</v>
      </c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>
        <v>16</v>
      </c>
      <c r="M19" t="n">
        <v>10</v>
      </c>
      <c r="N19" t="n">
        <v>51.5</v>
      </c>
      <c r="O19" t="n">
        <v>79.40000000000001</v>
      </c>
      <c r="P19" t="n">
        <v>99.3</v>
      </c>
      <c r="Q19" t="n">
        <v>126.1</v>
      </c>
      <c r="R19" t="n">
        <v>147.4</v>
      </c>
      <c r="S19" t="n">
        <v>169.8</v>
      </c>
      <c r="T19" t="n">
        <v>193.3</v>
      </c>
      <c r="U19" t="n">
        <v>226.4</v>
      </c>
      <c r="V19" t="n">
        <v>253</v>
      </c>
      <c r="W19" t="n">
        <v>281.2</v>
      </c>
      <c r="X19" t="n">
        <v>320.9</v>
      </c>
      <c r="Y19" t="n">
        <v>352.9</v>
      </c>
    </row>
    <row r="20">
      <c r="A20" s="6" t="n">
        <v>1999</v>
      </c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>
        <v>20</v>
      </c>
      <c r="M20" t="n">
        <v>15</v>
      </c>
      <c r="N20" t="n">
        <v>43.7</v>
      </c>
      <c r="O20" t="n">
        <v>68.09999999999999</v>
      </c>
      <c r="P20" t="n">
        <v>85.59999999999999</v>
      </c>
      <c r="Q20" t="n">
        <v>109.5</v>
      </c>
      <c r="R20" t="n">
        <v>128.4</v>
      </c>
      <c r="S20" t="n">
        <v>148.4</v>
      </c>
      <c r="T20" t="n">
        <v>169.6</v>
      </c>
      <c r="U20" t="n">
        <v>199.5</v>
      </c>
      <c r="V20" t="n">
        <v>223.7</v>
      </c>
      <c r="W20" t="n">
        <v>249.4</v>
      </c>
      <c r="X20" t="n">
        <v>285.8</v>
      </c>
      <c r="Y20" t="n">
        <v>315.3</v>
      </c>
    </row>
    <row r="21">
      <c r="A21" s="6" t="n">
        <v>2000</v>
      </c>
      <c r="B21" s="7" t="n">
        <v>3</v>
      </c>
      <c r="C21" s="7" t="n">
        <v>5.6</v>
      </c>
      <c r="D21" s="7" t="n">
        <v>6.6</v>
      </c>
      <c r="E21" s="7" t="n">
        <v>7.5</v>
      </c>
      <c r="F21" s="7" t="n">
        <v>11.5</v>
      </c>
      <c r="G21" s="7" t="n">
        <v>13</v>
      </c>
      <c r="H21" s="7" t="n">
        <v>13.2</v>
      </c>
      <c r="I21" s="7" t="n">
        <v>14</v>
      </c>
      <c r="J21" s="7" t="n">
        <v>23.7</v>
      </c>
      <c r="K21" s="7" t="n">
        <v>32.9</v>
      </c>
      <c r="M21" t="n">
        <v>30</v>
      </c>
      <c r="N21" t="n">
        <v>30.4</v>
      </c>
      <c r="O21" t="n">
        <v>47.9</v>
      </c>
      <c r="P21" t="n">
        <v>60.2</v>
      </c>
      <c r="Q21" t="n">
        <v>76.5</v>
      </c>
      <c r="R21" t="n">
        <v>89.2</v>
      </c>
      <c r="S21" t="n">
        <v>102.3</v>
      </c>
      <c r="T21" t="n">
        <v>116</v>
      </c>
      <c r="U21" t="n">
        <v>134.9</v>
      </c>
      <c r="V21" t="n">
        <v>149.9</v>
      </c>
      <c r="W21" t="n">
        <v>165.5</v>
      </c>
      <c r="X21" t="n">
        <v>187.1</v>
      </c>
      <c r="Y21" t="n">
        <v>204.3</v>
      </c>
    </row>
    <row r="22">
      <c r="A22" s="6" t="n">
        <v>2001</v>
      </c>
      <c r="B22" s="7" t="n"/>
      <c r="C22" s="7" t="n"/>
      <c r="D22" s="7" t="n"/>
      <c r="E22" s="7" t="n"/>
      <c r="F22" s="7" t="n"/>
      <c r="G22" s="7" t="n"/>
      <c r="H22" s="7" t="n"/>
      <c r="I22" s="7" t="n"/>
      <c r="J22" s="7" t="n"/>
      <c r="K22" s="7" t="n">
        <v>56</v>
      </c>
      <c r="M22" t="n">
        <v>60</v>
      </c>
      <c r="N22" t="n">
        <v>19</v>
      </c>
      <c r="O22" t="n">
        <v>30.1</v>
      </c>
      <c r="P22" t="n">
        <v>38</v>
      </c>
      <c r="Q22" t="n">
        <v>48.7</v>
      </c>
      <c r="R22" t="n">
        <v>57.1</v>
      </c>
      <c r="S22" t="n">
        <v>65.90000000000001</v>
      </c>
      <c r="T22" t="n">
        <v>75.09999999999999</v>
      </c>
      <c r="U22" t="n">
        <v>88.09999999999999</v>
      </c>
      <c r="V22" t="n">
        <v>98.5</v>
      </c>
      <c r="W22" t="n">
        <v>109.5</v>
      </c>
      <c r="X22" t="n">
        <v>124.9</v>
      </c>
      <c r="Y22" t="n">
        <v>137.3</v>
      </c>
    </row>
    <row r="23">
      <c r="A23" s="6" t="n">
        <v>2002</v>
      </c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  <c r="K23" s="7" t="n">
        <v>39</v>
      </c>
      <c r="M23" t="n">
        <v>120</v>
      </c>
      <c r="N23" t="n">
        <v>10.9</v>
      </c>
      <c r="O23" t="n">
        <v>17.9</v>
      </c>
      <c r="P23" t="n">
        <v>23.1</v>
      </c>
      <c r="Q23" t="n">
        <v>30.4</v>
      </c>
      <c r="R23" t="n">
        <v>36.5</v>
      </c>
      <c r="S23" t="n">
        <v>43</v>
      </c>
      <c r="T23" t="n">
        <v>50.2</v>
      </c>
      <c r="U23" t="n">
        <v>60.8</v>
      </c>
      <c r="V23" t="n">
        <v>69.59999999999999</v>
      </c>
      <c r="W23" t="n">
        <v>79.3</v>
      </c>
      <c r="X23" t="n">
        <v>93.5</v>
      </c>
      <c r="Y23" t="n">
        <v>105.5</v>
      </c>
    </row>
    <row r="24">
      <c r="A24" s="6" t="n">
        <v>2003</v>
      </c>
      <c r="B24" s="7" t="n"/>
      <c r="C24" s="7" t="n"/>
      <c r="D24" s="7" t="n"/>
      <c r="E24" s="7" t="n"/>
      <c r="F24" s="7" t="n"/>
      <c r="G24" s="7" t="n"/>
      <c r="H24" s="7" t="n"/>
      <c r="I24" s="7" t="n"/>
      <c r="J24" s="7" t="n"/>
      <c r="K24" s="7" t="n">
        <v>55</v>
      </c>
      <c r="M24" t="n">
        <v>180</v>
      </c>
      <c r="N24" t="n">
        <v>7.8</v>
      </c>
      <c r="O24" t="n">
        <v>13</v>
      </c>
      <c r="P24" t="n">
        <v>17.2</v>
      </c>
      <c r="Q24" t="n">
        <v>23.4</v>
      </c>
      <c r="R24" t="n">
        <v>28.8</v>
      </c>
      <c r="S24" t="n">
        <v>34.8</v>
      </c>
      <c r="T24" t="n">
        <v>41.7</v>
      </c>
      <c r="U24" t="n">
        <v>52.3</v>
      </c>
      <c r="V24" t="n">
        <v>61.6</v>
      </c>
      <c r="W24" t="n">
        <v>72.2</v>
      </c>
      <c r="X24" t="n">
        <v>88.5</v>
      </c>
      <c r="Y24" t="n">
        <v>102.9</v>
      </c>
    </row>
    <row r="25">
      <c r="A25" s="6" t="n">
        <v>2004</v>
      </c>
      <c r="B25" s="7" t="n"/>
      <c r="C25" s="7" t="n"/>
      <c r="D25" s="7" t="n"/>
      <c r="E25" s="7" t="n"/>
      <c r="F25" s="7" t="n"/>
      <c r="G25" s="7" t="n"/>
      <c r="H25" s="7" t="n"/>
      <c r="I25" s="7" t="n"/>
      <c r="J25" s="7" t="n"/>
      <c r="K25" s="7" t="n">
        <v>28</v>
      </c>
      <c r="M25" t="n">
        <v>360</v>
      </c>
      <c r="N25" t="n">
        <v>4.4</v>
      </c>
      <c r="O25" t="n">
        <v>7.6</v>
      </c>
      <c r="P25" t="n">
        <v>10.2</v>
      </c>
      <c r="Q25" t="n">
        <v>14.2</v>
      </c>
      <c r="R25" t="n">
        <v>17.8</v>
      </c>
      <c r="S25" t="n">
        <v>22</v>
      </c>
      <c r="T25" t="n">
        <v>26.8</v>
      </c>
      <c r="U25" t="n">
        <v>34.5</v>
      </c>
      <c r="V25" t="n">
        <v>41.4</v>
      </c>
      <c r="W25" t="n">
        <v>49.5</v>
      </c>
      <c r="X25" t="n">
        <v>62.3</v>
      </c>
      <c r="Y25" t="n">
        <v>73.8</v>
      </c>
    </row>
    <row r="26">
      <c r="A26" s="6" t="n">
        <v>2005</v>
      </c>
      <c r="B26" s="7" t="n">
        <v>7</v>
      </c>
      <c r="C26" s="7" t="n">
        <v>13.2</v>
      </c>
      <c r="D26" s="7" t="n">
        <v>17.4</v>
      </c>
      <c r="E26" s="7" t="n">
        <v>25.2</v>
      </c>
      <c r="F26" s="7" t="n">
        <v>31</v>
      </c>
      <c r="G26" s="7" t="n">
        <v>44</v>
      </c>
      <c r="H26" s="7" t="n">
        <v>49.6</v>
      </c>
      <c r="I26" s="7" t="n">
        <v>68.8</v>
      </c>
      <c r="J26" s="7" t="n">
        <v>85.59999999999999</v>
      </c>
      <c r="K26" s="7" t="n">
        <v>98.5</v>
      </c>
      <c r="M26" t="n">
        <v>720</v>
      </c>
      <c r="N26" t="n">
        <v>2.4</v>
      </c>
      <c r="O26" t="n">
        <v>4.3</v>
      </c>
      <c r="P26" t="n">
        <v>5.9</v>
      </c>
      <c r="Q26" t="n">
        <v>8.300000000000001</v>
      </c>
      <c r="R26" t="n">
        <v>10.5</v>
      </c>
      <c r="S26" t="n">
        <v>13.1</v>
      </c>
      <c r="T26" t="n">
        <v>16.1</v>
      </c>
      <c r="U26" t="n">
        <v>21</v>
      </c>
      <c r="V26" t="n">
        <v>25.4</v>
      </c>
      <c r="W26" t="n">
        <v>30.7</v>
      </c>
      <c r="X26" t="n">
        <v>39.1</v>
      </c>
      <c r="Y26" t="n">
        <v>46.9</v>
      </c>
    </row>
    <row r="27">
      <c r="A27" s="6" t="n">
        <v>2006</v>
      </c>
      <c r="B27" s="7" t="n">
        <v>3</v>
      </c>
      <c r="C27" s="7" t="n">
        <v>4.6</v>
      </c>
      <c r="D27" s="7" t="n">
        <v>5.8</v>
      </c>
      <c r="E27" s="7" t="n">
        <v>10</v>
      </c>
      <c r="F27" s="7" t="n">
        <v>10.7</v>
      </c>
      <c r="G27" s="7" t="n">
        <v>10.8</v>
      </c>
      <c r="H27" s="7" t="n">
        <v>15.4</v>
      </c>
      <c r="I27" s="7" t="n">
        <v>18</v>
      </c>
      <c r="J27" s="7" t="n">
        <v>18.1</v>
      </c>
      <c r="K27" s="7" t="n">
        <v>18.3</v>
      </c>
      <c r="M27" t="n">
        <v>1440</v>
      </c>
      <c r="N27" t="n">
        <v>1.4</v>
      </c>
      <c r="O27" t="n">
        <v>2.6</v>
      </c>
      <c r="P27" t="n">
        <v>3.5</v>
      </c>
      <c r="Q27" t="n">
        <v>4.9</v>
      </c>
      <c r="R27" t="n">
        <v>6.1</v>
      </c>
      <c r="S27" t="n">
        <v>7.6</v>
      </c>
      <c r="T27" t="n">
        <v>9.199999999999999</v>
      </c>
      <c r="U27" t="n">
        <v>11.8</v>
      </c>
      <c r="V27" t="n">
        <v>14.1</v>
      </c>
      <c r="W27" t="n">
        <v>16.9</v>
      </c>
      <c r="X27" t="n">
        <v>21.1</v>
      </c>
      <c r="Y27" t="n">
        <v>25</v>
      </c>
    </row>
    <row r="28">
      <c r="A28" s="6" t="n">
        <v>2007</v>
      </c>
      <c r="B28" s="7" t="n"/>
      <c r="C28" s="7" t="n"/>
      <c r="D28" s="7" t="n"/>
      <c r="E28" s="7" t="n"/>
      <c r="F28" s="7" t="n"/>
      <c r="G28" s="7" t="n"/>
      <c r="H28" s="7" t="n"/>
      <c r="I28" s="7" t="n"/>
      <c r="J28" s="7" t="n"/>
      <c r="K28" s="7" t="n"/>
    </row>
    <row r="29">
      <c r="A29" s="6" t="n">
        <v>2008</v>
      </c>
      <c r="B29" s="7" t="n"/>
      <c r="C29" s="7" t="n"/>
      <c r="D29" s="7" t="n"/>
      <c r="E29" s="7" t="n"/>
      <c r="F29" s="7" t="n"/>
      <c r="G29" s="7" t="n"/>
      <c r="H29" s="7" t="n"/>
      <c r="I29" s="7" t="n"/>
      <c r="J29" s="7" t="n"/>
      <c r="K29" s="7" t="n">
        <v>1.4</v>
      </c>
    </row>
    <row r="30">
      <c r="A30" s="6" t="n">
        <v>2009</v>
      </c>
      <c r="B30" s="7" t="n">
        <v>3.4</v>
      </c>
      <c r="C30" s="7" t="n">
        <v>6.5</v>
      </c>
      <c r="D30" s="7" t="n">
        <v>7.7</v>
      </c>
      <c r="E30" s="7" t="n">
        <v>10.3</v>
      </c>
      <c r="F30" s="7" t="n">
        <v>10.6</v>
      </c>
      <c r="G30" s="7" t="n">
        <v>10.6</v>
      </c>
      <c r="H30" s="7" t="n">
        <v>10.6</v>
      </c>
      <c r="I30" s="7" t="n">
        <v>10.6</v>
      </c>
      <c r="J30" s="7" t="n">
        <v>10.7</v>
      </c>
      <c r="K30" s="7" t="n">
        <v>10.8</v>
      </c>
    </row>
    <row r="31">
      <c r="A31" s="6" t="n">
        <v>2010</v>
      </c>
      <c r="B31" s="7" t="n">
        <v>4.8</v>
      </c>
      <c r="C31" s="7" t="n">
        <v>6</v>
      </c>
      <c r="D31" s="7" t="n">
        <v>6.8</v>
      </c>
      <c r="E31" s="7" t="n">
        <v>9.199999999999999</v>
      </c>
      <c r="F31" s="7" t="n">
        <v>13</v>
      </c>
      <c r="G31" s="7" t="n">
        <v>15.8</v>
      </c>
      <c r="H31" s="7" t="n">
        <v>20.4</v>
      </c>
      <c r="I31" s="7" t="n">
        <v>34.8</v>
      </c>
      <c r="J31" s="7" t="n">
        <v>56.6</v>
      </c>
      <c r="K31" s="7" t="n">
        <v>75.7</v>
      </c>
    </row>
    <row r="32">
      <c r="A32" s="6" t="n">
        <v>2011</v>
      </c>
      <c r="B32" s="7" t="n">
        <v>7.2</v>
      </c>
      <c r="C32" s="7" t="n">
        <v>9.800000000000001</v>
      </c>
      <c r="D32" s="7" t="n">
        <v>11.2</v>
      </c>
      <c r="E32" s="7" t="n">
        <v>12.2</v>
      </c>
      <c r="F32" s="7" t="n">
        <v>12.2</v>
      </c>
      <c r="G32" s="7" t="n">
        <v>12.2</v>
      </c>
      <c r="H32" s="7" t="n">
        <v>12.2</v>
      </c>
      <c r="I32" s="7" t="n">
        <v>12.3</v>
      </c>
      <c r="J32" s="7" t="n">
        <v>12.4</v>
      </c>
      <c r="K32" s="7" t="n">
        <v>12.6</v>
      </c>
    </row>
    <row r="33">
      <c r="A33" s="6" t="n">
        <v>2012</v>
      </c>
      <c r="B33" s="7" t="n">
        <v>5.6</v>
      </c>
      <c r="C33" s="7" t="n">
        <v>10</v>
      </c>
      <c r="D33" s="7" t="n">
        <v>13.6</v>
      </c>
      <c r="E33" s="7" t="n">
        <v>21.6</v>
      </c>
      <c r="F33" s="7" t="n">
        <v>32.2</v>
      </c>
      <c r="G33" s="7" t="n">
        <v>32.4</v>
      </c>
      <c r="H33" s="7" t="n">
        <v>32.4</v>
      </c>
      <c r="I33" s="7" t="n">
        <v>32.4</v>
      </c>
      <c r="J33" s="7" t="n">
        <v>32.5</v>
      </c>
      <c r="K33" s="7" t="n">
        <v>32.8</v>
      </c>
    </row>
    <row r="34">
      <c r="A34" s="6" t="n">
        <v>2013</v>
      </c>
      <c r="B34" s="7" t="n">
        <v>7.2</v>
      </c>
      <c r="C34" s="7" t="n">
        <v>13.2</v>
      </c>
      <c r="D34" s="7" t="n">
        <v>17.2</v>
      </c>
      <c r="E34" s="7" t="n">
        <v>23.2</v>
      </c>
      <c r="F34" s="7" t="n">
        <v>23.7</v>
      </c>
      <c r="G34" s="7" t="n">
        <v>32.5</v>
      </c>
      <c r="H34" s="7" t="n">
        <v>33.8</v>
      </c>
      <c r="I34" s="7" t="n">
        <v>35.5</v>
      </c>
      <c r="J34" s="7" t="n">
        <v>35.8</v>
      </c>
      <c r="K34" s="7" t="n">
        <v>41.3</v>
      </c>
    </row>
    <row r="35">
      <c r="A35" s="6" t="n">
        <v>2014</v>
      </c>
      <c r="B35" s="7" t="n"/>
      <c r="C35" s="7" t="n"/>
      <c r="D35" s="7" t="n"/>
      <c r="E35" s="7" t="n"/>
      <c r="F35" s="7" t="n"/>
      <c r="G35" s="7" t="n"/>
      <c r="H35" s="7" t="n"/>
      <c r="I35" s="7" t="n"/>
      <c r="J35" s="7" t="n"/>
      <c r="K35" s="7" t="n"/>
    </row>
    <row r="36">
      <c r="A36" s="6" t="n">
        <v>2015</v>
      </c>
      <c r="B36" s="7" t="n"/>
      <c r="C36" s="7" t="n"/>
      <c r="D36" s="7" t="n"/>
      <c r="E36" s="7" t="n"/>
      <c r="F36" s="7" t="n"/>
      <c r="G36" s="7" t="n"/>
      <c r="H36" s="7" t="n"/>
      <c r="I36" s="7" t="n"/>
      <c r="J36" s="7" t="n"/>
      <c r="K36" s="7" t="n"/>
    </row>
    <row r="37">
      <c r="A37" s="6" t="n">
        <v>2016</v>
      </c>
      <c r="B37" s="7" t="n"/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</row>
    <row r="38">
      <c r="A38" s="6" t="n">
        <v>2017</v>
      </c>
      <c r="B38" s="7" t="n">
        <v>3.6</v>
      </c>
      <c r="C38" s="7" t="n">
        <v>7</v>
      </c>
      <c r="D38" s="7" t="n">
        <v>8.199999999999999</v>
      </c>
      <c r="E38" s="7" t="n">
        <v>15.6</v>
      </c>
      <c r="F38" s="7" t="n">
        <v>16.5</v>
      </c>
      <c r="G38" s="7" t="n">
        <v>16.6</v>
      </c>
      <c r="H38" s="7" t="n">
        <v>16.6</v>
      </c>
      <c r="I38" s="7" t="n">
        <v>16.7</v>
      </c>
      <c r="J38" s="7" t="n">
        <v>16.9</v>
      </c>
      <c r="K38" s="7" t="n">
        <v>17.3</v>
      </c>
    </row>
    <row r="39">
      <c r="A39" s="6" t="n">
        <v>2018</v>
      </c>
      <c r="B39" s="7" t="n">
        <v>5.8</v>
      </c>
      <c r="C39" s="7" t="n">
        <v>10</v>
      </c>
      <c r="D39" s="7" t="n">
        <v>14</v>
      </c>
      <c r="E39" s="7" t="n">
        <v>19</v>
      </c>
      <c r="F39" s="7" t="n">
        <v>19.2</v>
      </c>
      <c r="G39" s="7" t="n">
        <v>19.2</v>
      </c>
      <c r="H39" s="7" t="n">
        <v>19.2</v>
      </c>
      <c r="I39" s="7" t="n">
        <v>21.9</v>
      </c>
      <c r="J39" s="7" t="n">
        <v>29.8</v>
      </c>
      <c r="K39" s="7" t="n">
        <v>29.9</v>
      </c>
    </row>
    <row r="40">
      <c r="A40" s="6" t="n">
        <v>2019</v>
      </c>
      <c r="B40" s="7" t="n">
        <v>5.7</v>
      </c>
      <c r="C40" s="7" t="n">
        <v>8.800000000000001</v>
      </c>
      <c r="D40" s="7" t="n">
        <v>10.4</v>
      </c>
      <c r="E40" s="7" t="n">
        <v>15.4</v>
      </c>
      <c r="F40" s="7" t="n">
        <v>17.7</v>
      </c>
      <c r="G40" s="7" t="n">
        <v>20.3</v>
      </c>
      <c r="H40" s="7" t="n">
        <v>24.4</v>
      </c>
      <c r="I40" s="7" t="n">
        <v>26.6</v>
      </c>
      <c r="J40" s="7" t="n">
        <v>26.8</v>
      </c>
      <c r="K40" s="7" t="n">
        <v>35.1</v>
      </c>
    </row>
    <row r="41">
      <c r="A41" s="6" t="n">
        <v>2020</v>
      </c>
      <c r="B41" s="7" t="n">
        <v>2.4</v>
      </c>
      <c r="C41" s="7" t="n">
        <v>4</v>
      </c>
      <c r="D41" s="7" t="n">
        <v>5</v>
      </c>
      <c r="E41" s="7" t="n">
        <v>6</v>
      </c>
      <c r="F41" s="7" t="n">
        <v>6.7</v>
      </c>
      <c r="G41" s="7" t="n">
        <v>6.8</v>
      </c>
      <c r="H41" s="7" t="n">
        <v>6.8</v>
      </c>
      <c r="I41" s="7" t="n">
        <v>6.9</v>
      </c>
      <c r="J41" s="7" t="n">
        <v>7</v>
      </c>
      <c r="K41" s="7" t="n">
        <v>13.2</v>
      </c>
    </row>
    <row r="42">
      <c r="A42" s="6" t="n">
        <v>2021</v>
      </c>
      <c r="B42" s="7" t="n"/>
      <c r="C42" s="7" t="n"/>
      <c r="D42" s="7" t="n"/>
      <c r="E42" s="7" t="n"/>
      <c r="F42" s="7" t="n"/>
      <c r="G42" s="7" t="n"/>
      <c r="H42" s="7" t="n"/>
      <c r="I42" s="7" t="n"/>
      <c r="J42" s="7" t="n"/>
      <c r="K42" s="7" t="n"/>
    </row>
    <row r="43">
      <c r="A43" s="6" t="n">
        <v>2022</v>
      </c>
      <c r="B43" s="7" t="n">
        <v>2.8</v>
      </c>
      <c r="C43" s="7" t="n">
        <v>3.4</v>
      </c>
      <c r="D43" s="7" t="n">
        <v>4.2</v>
      </c>
      <c r="E43" s="7" t="n">
        <v>5.8</v>
      </c>
      <c r="F43" s="7" t="n">
        <v>8.4</v>
      </c>
      <c r="G43" s="7" t="n">
        <v>10.5</v>
      </c>
      <c r="H43" s="7" t="n">
        <v>12.4</v>
      </c>
      <c r="I43" s="7" t="n">
        <v>12.8</v>
      </c>
      <c r="J43" s="7" t="n">
        <v>12.8</v>
      </c>
      <c r="K43" s="7" t="n">
        <v>12.8</v>
      </c>
    </row>
    <row r="46">
      <c r="A46" s="2" t="inlineStr">
        <is>
          <t>AMS AFTER gap filling (mm)  -  yellow = added or changed by gap filling</t>
        </is>
      </c>
    </row>
    <row r="47">
      <c r="A47" s="4" t="inlineStr">
        <is>
          <t>Water year</t>
        </is>
      </c>
      <c r="B47" s="5" t="inlineStr">
        <is>
          <t>5min</t>
        </is>
      </c>
      <c r="C47" s="5" t="inlineStr">
        <is>
          <t>10min</t>
        </is>
      </c>
      <c r="D47" s="5" t="inlineStr">
        <is>
          <t>15min</t>
        </is>
      </c>
      <c r="E47" s="5" t="inlineStr">
        <is>
          <t>30min</t>
        </is>
      </c>
      <c r="F47" s="5" t="inlineStr">
        <is>
          <t>1h</t>
        </is>
      </c>
      <c r="G47" s="5" t="inlineStr">
        <is>
          <t>2h</t>
        </is>
      </c>
      <c r="H47" s="5" t="inlineStr">
        <is>
          <t>3h</t>
        </is>
      </c>
      <c r="I47" s="5" t="inlineStr">
        <is>
          <t>6h</t>
        </is>
      </c>
      <c r="J47" s="5" t="inlineStr">
        <is>
          <t>12h</t>
        </is>
      </c>
      <c r="K47" s="5" t="inlineStr">
        <is>
          <t>24h</t>
        </is>
      </c>
    </row>
    <row r="48">
      <c r="A48" s="6" t="n">
        <v>1984</v>
      </c>
      <c r="B48" s="7" t="n"/>
      <c r="C48" s="7" t="n"/>
      <c r="D48" s="7" t="n"/>
      <c r="E48" s="7" t="n"/>
      <c r="F48" s="7" t="n"/>
      <c r="G48" s="7" t="n"/>
      <c r="H48" s="7" t="n"/>
      <c r="I48" s="7" t="n"/>
      <c r="J48" s="7" t="n"/>
      <c r="K48" s="7" t="n">
        <v>17</v>
      </c>
    </row>
    <row r="49">
      <c r="A49" s="6" t="n">
        <v>1985</v>
      </c>
      <c r="B49" s="7" t="n"/>
      <c r="C49" s="7" t="n"/>
      <c r="D49" s="7" t="n"/>
      <c r="E49" s="7" t="n"/>
      <c r="F49" s="7" t="n"/>
      <c r="G49" s="7" t="n"/>
      <c r="H49" s="7" t="n"/>
      <c r="I49" s="7" t="n"/>
      <c r="J49" s="7" t="n"/>
      <c r="K49" s="7" t="n">
        <v>10</v>
      </c>
    </row>
    <row r="50">
      <c r="A50" s="6" t="n">
        <v>1986</v>
      </c>
      <c r="B50" s="7" t="n"/>
      <c r="C50" s="7" t="n"/>
      <c r="D50" s="7" t="n"/>
      <c r="E50" s="7" t="n"/>
      <c r="F50" s="7" t="n"/>
      <c r="G50" s="7" t="n"/>
      <c r="H50" s="7" t="n"/>
      <c r="I50" s="7" t="n"/>
      <c r="J50" s="7" t="n"/>
      <c r="K50" s="7" t="n">
        <v>24</v>
      </c>
    </row>
    <row r="51">
      <c r="A51" s="6" t="n">
        <v>1987</v>
      </c>
      <c r="B51" s="7" t="n"/>
      <c r="C51" s="7" t="n"/>
      <c r="D51" s="7" t="n"/>
      <c r="E51" s="7" t="n"/>
      <c r="F51" s="7" t="n"/>
      <c r="G51" s="7" t="n"/>
      <c r="H51" s="7" t="n"/>
      <c r="I51" s="7" t="n"/>
      <c r="J51" s="7" t="n"/>
      <c r="K51" s="7" t="n">
        <v>30</v>
      </c>
    </row>
    <row r="52">
      <c r="A52" s="6" t="n">
        <v>1988</v>
      </c>
      <c r="B52" s="7" t="n"/>
      <c r="C52" s="7" t="n"/>
      <c r="D52" s="7" t="n"/>
      <c r="E52" s="7" t="n"/>
      <c r="F52" s="7" t="n"/>
      <c r="G52" s="7" t="n"/>
      <c r="H52" s="7" t="n"/>
      <c r="I52" s="7" t="n"/>
      <c r="J52" s="7" t="n"/>
      <c r="K52" s="7" t="n">
        <v>30</v>
      </c>
    </row>
    <row r="53">
      <c r="A53" s="6" t="n">
        <v>1989</v>
      </c>
      <c r="B53" s="7" t="n"/>
      <c r="C53" s="7" t="n"/>
      <c r="D53" s="7" t="n"/>
      <c r="E53" s="7" t="n"/>
      <c r="F53" s="7" t="n"/>
      <c r="G53" s="7" t="n"/>
      <c r="H53" s="7" t="n"/>
      <c r="I53" s="7" t="n"/>
      <c r="J53" s="7" t="n"/>
      <c r="K53" s="7" t="n">
        <v>10</v>
      </c>
    </row>
    <row r="54">
      <c r="A54" s="6" t="n">
        <v>1990</v>
      </c>
      <c r="B54" s="7" t="n"/>
      <c r="C54" s="7" t="n"/>
      <c r="D54" s="7" t="n"/>
      <c r="E54" s="7" t="n"/>
      <c r="F54" s="7" t="n"/>
      <c r="G54" s="7" t="n"/>
      <c r="H54" s="7" t="n"/>
      <c r="I54" s="7" t="n"/>
      <c r="J54" s="7" t="n"/>
      <c r="K54" s="7" t="n">
        <v>50</v>
      </c>
    </row>
    <row r="55">
      <c r="A55" s="6" t="n">
        <v>1991</v>
      </c>
      <c r="B55" s="7" t="n"/>
      <c r="C55" s="7" t="n"/>
      <c r="D55" s="7" t="n"/>
      <c r="E55" s="7" t="n"/>
      <c r="F55" s="7" t="n"/>
      <c r="G55" s="7" t="n"/>
      <c r="H55" s="7" t="n"/>
      <c r="I55" s="7" t="n"/>
      <c r="J55" s="7" t="n"/>
      <c r="K55" s="7" t="n">
        <v>10</v>
      </c>
    </row>
    <row r="56">
      <c r="A56" s="6" t="n">
        <v>1992</v>
      </c>
      <c r="B56" s="7" t="n"/>
      <c r="C56" s="7" t="n"/>
      <c r="D56" s="7" t="n"/>
      <c r="E56" s="7" t="n"/>
      <c r="F56" s="7" t="n"/>
      <c r="G56" s="7" t="n"/>
      <c r="H56" s="7" t="n"/>
      <c r="I56" s="7" t="n"/>
      <c r="J56" s="7" t="n"/>
      <c r="K56" s="7" t="n">
        <v>60</v>
      </c>
    </row>
    <row r="57">
      <c r="A57" s="6" t="n">
        <v>1993</v>
      </c>
      <c r="B57" s="7" t="n"/>
      <c r="C57" s="7" t="n"/>
      <c r="D57" s="7" t="n"/>
      <c r="E57" s="7" t="n"/>
      <c r="F57" s="7" t="n"/>
      <c r="G57" s="7" t="n"/>
      <c r="H57" s="7" t="n"/>
      <c r="I57" s="7" t="n"/>
      <c r="J57" s="7" t="n"/>
      <c r="K57" s="7" t="n">
        <v>45</v>
      </c>
    </row>
    <row r="58">
      <c r="A58" s="6" t="n">
        <v>1994</v>
      </c>
      <c r="B58" s="7" t="n"/>
      <c r="C58" s="7" t="n"/>
      <c r="D58" s="7" t="n"/>
      <c r="E58" s="7" t="n"/>
      <c r="F58" s="7" t="n"/>
      <c r="G58" s="7" t="n"/>
      <c r="H58" s="7" t="n"/>
      <c r="I58" s="7" t="n"/>
      <c r="J58" s="7" t="n"/>
      <c r="K58" s="7" t="n">
        <v>25</v>
      </c>
    </row>
    <row r="59">
      <c r="A59" s="6" t="n">
        <v>1995</v>
      </c>
      <c r="B59" s="7" t="n"/>
      <c r="C59" s="7" t="n"/>
      <c r="D59" s="7" t="n"/>
      <c r="E59" s="7" t="n"/>
      <c r="F59" s="7" t="n"/>
      <c r="G59" s="7" t="n"/>
      <c r="H59" s="7" t="n"/>
      <c r="I59" s="7" t="n"/>
      <c r="J59" s="7" t="n"/>
      <c r="K59" s="8" t="n">
        <v>21.5</v>
      </c>
    </row>
    <row r="60">
      <c r="A60" s="6" t="n">
        <v>1996</v>
      </c>
      <c r="B60" s="7" t="n"/>
      <c r="C60" s="7" t="n"/>
      <c r="D60" s="7" t="n"/>
      <c r="E60" s="7" t="n"/>
      <c r="F60" s="7" t="n"/>
      <c r="G60" s="7" t="n"/>
      <c r="H60" s="7" t="n"/>
      <c r="I60" s="7" t="n"/>
      <c r="J60" s="7" t="n"/>
      <c r="K60" s="7" t="n">
        <v>38</v>
      </c>
    </row>
    <row r="61">
      <c r="A61" s="6" t="n">
        <v>1997</v>
      </c>
      <c r="B61" s="7" t="n"/>
      <c r="C61" s="7" t="n"/>
      <c r="D61" s="7" t="n"/>
      <c r="E61" s="7" t="n"/>
      <c r="F61" s="7" t="n"/>
      <c r="G61" s="7" t="n"/>
      <c r="H61" s="7" t="n"/>
      <c r="I61" s="7" t="n"/>
      <c r="J61" s="7" t="n"/>
      <c r="K61" s="7" t="n">
        <v>57</v>
      </c>
    </row>
    <row r="62">
      <c r="A62" s="6" t="n">
        <v>1998</v>
      </c>
      <c r="B62" s="7" t="n"/>
      <c r="C62" s="7" t="n"/>
      <c r="D62" s="7" t="n"/>
      <c r="E62" s="7" t="n"/>
      <c r="F62" s="7" t="n"/>
      <c r="G62" s="7" t="n"/>
      <c r="H62" s="7" t="n"/>
      <c r="I62" s="7" t="n"/>
      <c r="J62" s="7" t="n"/>
      <c r="K62" s="8" t="n">
        <v>58.4</v>
      </c>
    </row>
    <row r="63">
      <c r="A63" s="6" t="n">
        <v>1999</v>
      </c>
      <c r="B63" s="7" t="n"/>
      <c r="C63" s="7" t="n"/>
      <c r="D63" s="7" t="n"/>
      <c r="E63" s="7" t="n"/>
      <c r="F63" s="7" t="n"/>
      <c r="G63" s="7" t="n"/>
      <c r="H63" s="7" t="n"/>
      <c r="I63" s="7" t="n"/>
      <c r="J63" s="7" t="n"/>
      <c r="K63" s="8" t="n">
        <v>26.9</v>
      </c>
    </row>
    <row r="64">
      <c r="A64" s="6" t="n">
        <v>2000</v>
      </c>
      <c r="B64" s="7" t="n">
        <v>3</v>
      </c>
      <c r="C64" s="7" t="n">
        <v>5.6</v>
      </c>
      <c r="D64" s="7" t="n">
        <v>6.6</v>
      </c>
      <c r="E64" s="8" t="n">
        <v>9.199999999999999</v>
      </c>
      <c r="F64" s="7" t="n">
        <v>11.5</v>
      </c>
      <c r="G64" s="7" t="n">
        <v>13</v>
      </c>
      <c r="H64" s="7" t="n">
        <v>13.2</v>
      </c>
      <c r="I64" s="7" t="n">
        <v>14</v>
      </c>
      <c r="J64" s="7" t="n">
        <v>23.7</v>
      </c>
      <c r="K64" s="7" t="n">
        <v>32.9</v>
      </c>
    </row>
    <row r="65">
      <c r="A65" s="6" t="n">
        <v>2001</v>
      </c>
      <c r="B65" s="7" t="n"/>
      <c r="C65" s="7" t="n"/>
      <c r="D65" s="7" t="n"/>
      <c r="E65" s="7" t="n"/>
      <c r="F65" s="7" t="n"/>
      <c r="G65" s="7" t="n"/>
      <c r="H65" s="7" t="n"/>
      <c r="I65" s="7" t="n"/>
      <c r="J65" s="7" t="n"/>
      <c r="K65" s="7" t="n">
        <v>56</v>
      </c>
    </row>
    <row r="66">
      <c r="A66" s="6" t="n">
        <v>2002</v>
      </c>
      <c r="B66" s="7" t="n"/>
      <c r="C66" s="7" t="n"/>
      <c r="D66" s="7" t="n"/>
      <c r="E66" s="7" t="n"/>
      <c r="F66" s="7" t="n"/>
      <c r="G66" s="7" t="n"/>
      <c r="H66" s="7" t="n"/>
      <c r="I66" s="7" t="n"/>
      <c r="J66" s="7" t="n"/>
      <c r="K66" s="7" t="n">
        <v>39</v>
      </c>
    </row>
    <row r="67">
      <c r="A67" s="6" t="n">
        <v>2003</v>
      </c>
      <c r="B67" s="7" t="n"/>
      <c r="C67" s="7" t="n"/>
      <c r="D67" s="7" t="n"/>
      <c r="E67" s="7" t="n"/>
      <c r="F67" s="7" t="n"/>
      <c r="G67" s="7" t="n"/>
      <c r="H67" s="7" t="n"/>
      <c r="I67" s="7" t="n"/>
      <c r="J67" s="7" t="n"/>
      <c r="K67" s="7" t="n">
        <v>55</v>
      </c>
    </row>
    <row r="68">
      <c r="A68" s="6" t="n">
        <v>2004</v>
      </c>
      <c r="B68" s="7" t="n"/>
      <c r="C68" s="7" t="n"/>
      <c r="D68" s="7" t="n"/>
      <c r="E68" s="7" t="n"/>
      <c r="F68" s="7" t="n"/>
      <c r="G68" s="7" t="n"/>
      <c r="H68" s="7" t="n"/>
      <c r="I68" s="7" t="n"/>
      <c r="J68" s="7" t="n"/>
      <c r="K68" s="7" t="n">
        <v>28</v>
      </c>
    </row>
    <row r="69">
      <c r="A69" s="6" t="n">
        <v>2005</v>
      </c>
      <c r="B69" s="7" t="n">
        <v>7</v>
      </c>
      <c r="C69" s="7" t="n">
        <v>13.2</v>
      </c>
      <c r="D69" s="7" t="n">
        <v>17.4</v>
      </c>
      <c r="E69" s="7" t="n">
        <v>25.2</v>
      </c>
      <c r="F69" s="7" t="n">
        <v>31</v>
      </c>
      <c r="G69" s="7" t="n">
        <v>44</v>
      </c>
      <c r="H69" s="7" t="n">
        <v>49.6</v>
      </c>
      <c r="I69" s="7" t="n">
        <v>68.8</v>
      </c>
      <c r="J69" s="7" t="n">
        <v>85.59999999999999</v>
      </c>
      <c r="K69" s="7" t="n">
        <v>98.5</v>
      </c>
    </row>
    <row r="70">
      <c r="A70" s="6" t="n">
        <v>2006</v>
      </c>
      <c r="B70" s="8" t="n">
        <v>5.6</v>
      </c>
      <c r="C70" s="8" t="n">
        <v>9.4</v>
      </c>
      <c r="D70" s="8" t="n">
        <v>12.5</v>
      </c>
      <c r="E70" s="8" t="n">
        <v>13</v>
      </c>
      <c r="F70" s="8" t="n">
        <v>15.2</v>
      </c>
      <c r="G70" s="8" t="n">
        <v>16</v>
      </c>
      <c r="H70" s="8" t="n">
        <v>16</v>
      </c>
      <c r="I70" s="7" t="n">
        <v>18</v>
      </c>
      <c r="J70" s="7" t="n">
        <v>18.1</v>
      </c>
      <c r="K70" s="8" t="n">
        <v>22.9</v>
      </c>
    </row>
    <row r="71">
      <c r="A71" s="6" t="n">
        <v>2007</v>
      </c>
      <c r="B71" s="8" t="n">
        <v>3</v>
      </c>
      <c r="C71" s="8" t="n">
        <v>4.4</v>
      </c>
      <c r="D71" s="8" t="n">
        <v>7.2</v>
      </c>
      <c r="E71" s="8" t="n">
        <v>12.1</v>
      </c>
      <c r="F71" s="8" t="n">
        <v>19.4</v>
      </c>
      <c r="G71" s="8" t="n">
        <v>32.2</v>
      </c>
      <c r="H71" s="8" t="n">
        <v>38.3</v>
      </c>
      <c r="I71" s="8" t="n">
        <v>48.5</v>
      </c>
      <c r="J71" s="8" t="n">
        <v>63.4</v>
      </c>
      <c r="K71" s="8" t="n">
        <v>68.09999999999999</v>
      </c>
    </row>
    <row r="72">
      <c r="A72" s="6" t="n">
        <v>2008</v>
      </c>
      <c r="B72" s="7" t="n"/>
      <c r="C72" s="7" t="n"/>
      <c r="D72" s="7" t="n"/>
      <c r="E72" s="7" t="n"/>
      <c r="F72" s="7" t="n"/>
      <c r="G72" s="7" t="n"/>
      <c r="H72" s="7" t="n"/>
      <c r="I72" s="7" t="n"/>
      <c r="J72" s="7" t="n"/>
      <c r="K72" s="8" t="n">
        <v>14.7</v>
      </c>
    </row>
    <row r="73">
      <c r="A73" s="6" t="n">
        <v>2009</v>
      </c>
      <c r="B73" s="7" t="n">
        <v>3.4</v>
      </c>
      <c r="C73" s="7" t="n">
        <v>6.5</v>
      </c>
      <c r="D73" s="7" t="n">
        <v>7.7</v>
      </c>
      <c r="E73" s="7" t="n">
        <v>10.3</v>
      </c>
      <c r="F73" s="7" t="n">
        <v>10.6</v>
      </c>
      <c r="G73" s="7" t="n">
        <v>10.6</v>
      </c>
      <c r="H73" s="7" t="n">
        <v>10.6</v>
      </c>
      <c r="I73" s="7" t="n">
        <v>10.6</v>
      </c>
      <c r="J73" s="7" t="n">
        <v>10.7</v>
      </c>
      <c r="K73" s="8" t="n">
        <v>11.9</v>
      </c>
    </row>
    <row r="74">
      <c r="A74" s="6" t="n">
        <v>2010</v>
      </c>
      <c r="B74" s="8" t="n">
        <v>7.1</v>
      </c>
      <c r="C74" s="8" t="n">
        <v>11.5</v>
      </c>
      <c r="D74" s="8" t="n">
        <v>16.5</v>
      </c>
      <c r="E74" s="8" t="n">
        <v>22.5</v>
      </c>
      <c r="F74" s="8" t="n">
        <v>37.3</v>
      </c>
      <c r="G74" s="8" t="n">
        <v>43.6</v>
      </c>
      <c r="H74" s="8" t="n">
        <v>45.1</v>
      </c>
      <c r="I74" s="8" t="n">
        <v>45.3</v>
      </c>
      <c r="J74" s="7" t="n">
        <v>56.6</v>
      </c>
      <c r="K74" s="7" t="n">
        <v>75.7</v>
      </c>
    </row>
    <row r="75">
      <c r="A75" s="6" t="n">
        <v>2011</v>
      </c>
      <c r="B75" s="8" t="n">
        <v>15</v>
      </c>
      <c r="C75" s="8" t="n">
        <v>23.6</v>
      </c>
      <c r="D75" s="8" t="n">
        <v>25.3</v>
      </c>
      <c r="E75" s="8" t="n">
        <v>38.6</v>
      </c>
      <c r="F75" s="8" t="n">
        <v>42.4</v>
      </c>
      <c r="G75" s="8" t="n">
        <v>44.1</v>
      </c>
      <c r="H75" s="8" t="n">
        <v>59</v>
      </c>
      <c r="I75" s="8" t="n">
        <v>61.8</v>
      </c>
      <c r="J75" s="8" t="n">
        <v>61.9</v>
      </c>
      <c r="K75" s="8" t="n">
        <v>62</v>
      </c>
    </row>
    <row r="76">
      <c r="A76" s="6" t="n">
        <v>2012</v>
      </c>
      <c r="B76" s="7" t="n">
        <v>5.6</v>
      </c>
      <c r="C76" s="7" t="n">
        <v>10</v>
      </c>
      <c r="D76" s="7" t="n">
        <v>13.6</v>
      </c>
      <c r="E76" s="7" t="n">
        <v>21.6</v>
      </c>
      <c r="F76" s="7" t="n">
        <v>32.2</v>
      </c>
      <c r="G76" s="7" t="n">
        <v>32.4</v>
      </c>
      <c r="H76" s="7" t="n">
        <v>32.4</v>
      </c>
      <c r="I76" s="7" t="n">
        <v>32.4</v>
      </c>
      <c r="J76" s="7" t="n">
        <v>32.5</v>
      </c>
      <c r="K76" s="7" t="n">
        <v>32.8</v>
      </c>
    </row>
    <row r="77">
      <c r="A77" s="6" t="n">
        <v>2013</v>
      </c>
      <c r="B77" s="7" t="n">
        <v>7.2</v>
      </c>
      <c r="C77" s="7" t="n">
        <v>13.2</v>
      </c>
      <c r="D77" s="7" t="n">
        <v>17.2</v>
      </c>
      <c r="E77" s="7" t="n">
        <v>23.2</v>
      </c>
      <c r="F77" s="7" t="n">
        <v>23.7</v>
      </c>
      <c r="G77" s="7" t="n">
        <v>32.5</v>
      </c>
      <c r="H77" s="7" t="n">
        <v>33.8</v>
      </c>
      <c r="I77" s="7" t="n">
        <v>35.5</v>
      </c>
      <c r="J77" s="7" t="n">
        <v>35.8</v>
      </c>
      <c r="K77" s="7" t="n">
        <v>41.3</v>
      </c>
    </row>
    <row r="78">
      <c r="A78" s="6" t="n">
        <v>2014</v>
      </c>
      <c r="B78" s="7" t="n"/>
      <c r="C78" s="7" t="n"/>
      <c r="D78" s="7" t="n"/>
      <c r="E78" s="7" t="n"/>
      <c r="F78" s="7" t="n"/>
      <c r="G78" s="7" t="n"/>
      <c r="H78" s="7" t="n"/>
      <c r="I78" s="7" t="n"/>
      <c r="J78" s="7" t="n"/>
      <c r="K78" s="8" t="n">
        <v>53.9</v>
      </c>
    </row>
    <row r="79">
      <c r="A79" s="6" t="n">
        <v>2015</v>
      </c>
      <c r="B79" s="8" t="n">
        <v>3.1</v>
      </c>
      <c r="C79" s="8" t="n">
        <v>5.2</v>
      </c>
      <c r="D79" s="8" t="n">
        <v>6.5</v>
      </c>
      <c r="E79" s="8" t="n">
        <v>7.5</v>
      </c>
      <c r="F79" s="8" t="n">
        <v>7.5</v>
      </c>
      <c r="G79" s="8" t="n">
        <v>7.8</v>
      </c>
      <c r="H79" s="8" t="n">
        <v>7.9</v>
      </c>
      <c r="I79" s="8" t="n">
        <v>10.2</v>
      </c>
      <c r="J79" s="8" t="n">
        <v>10.4</v>
      </c>
      <c r="K79" s="8" t="n">
        <v>15.9</v>
      </c>
    </row>
    <row r="80">
      <c r="A80" s="6" t="n">
        <v>2016</v>
      </c>
      <c r="B80" s="8" t="n">
        <v>7.5</v>
      </c>
      <c r="C80" s="8" t="n">
        <v>11.1</v>
      </c>
      <c r="D80" s="8" t="n">
        <v>15.8</v>
      </c>
      <c r="E80" s="8" t="n">
        <v>24.6</v>
      </c>
      <c r="F80" s="8" t="n">
        <v>32.2</v>
      </c>
      <c r="G80" s="8" t="n">
        <v>33.1</v>
      </c>
      <c r="H80" s="8" t="n">
        <v>33.2</v>
      </c>
      <c r="I80" s="8" t="n">
        <v>33.4</v>
      </c>
      <c r="J80" s="8" t="n">
        <v>33.4</v>
      </c>
      <c r="K80" s="8" t="n">
        <v>45.3</v>
      </c>
    </row>
    <row r="81">
      <c r="A81" s="6" t="n">
        <v>2017</v>
      </c>
      <c r="B81" s="7" t="n">
        <v>3.6</v>
      </c>
      <c r="C81" s="7" t="n">
        <v>7</v>
      </c>
      <c r="D81" s="7" t="n">
        <v>8.199999999999999</v>
      </c>
      <c r="E81" s="7" t="n">
        <v>15.6</v>
      </c>
      <c r="F81" s="7" t="n">
        <v>16.5</v>
      </c>
      <c r="G81" s="7" t="n">
        <v>16.6</v>
      </c>
      <c r="H81" s="7" t="n">
        <v>16.6</v>
      </c>
      <c r="I81" s="7" t="n">
        <v>16.7</v>
      </c>
      <c r="J81" s="7" t="n">
        <v>16.9</v>
      </c>
      <c r="K81" s="7" t="n">
        <v>17.3</v>
      </c>
    </row>
    <row r="82">
      <c r="A82" s="6" t="n">
        <v>2018</v>
      </c>
      <c r="B82" s="7" t="n">
        <v>5.8</v>
      </c>
      <c r="C82" s="7" t="n">
        <v>10</v>
      </c>
      <c r="D82" s="7" t="n">
        <v>14</v>
      </c>
      <c r="E82" s="7" t="n">
        <v>19</v>
      </c>
      <c r="F82" s="7" t="n">
        <v>19.2</v>
      </c>
      <c r="G82" s="7" t="n">
        <v>19.2</v>
      </c>
      <c r="H82" s="7" t="n">
        <v>19.2</v>
      </c>
      <c r="I82" s="7" t="n">
        <v>21.9</v>
      </c>
      <c r="J82" s="7" t="n">
        <v>29.8</v>
      </c>
      <c r="K82" s="7" t="n">
        <v>29.9</v>
      </c>
    </row>
    <row r="83">
      <c r="A83" s="6" t="n">
        <v>2019</v>
      </c>
      <c r="B83" s="7" t="n">
        <v>5.7</v>
      </c>
      <c r="C83" s="7" t="n">
        <v>8.800000000000001</v>
      </c>
      <c r="D83" s="7" t="n">
        <v>10.4</v>
      </c>
      <c r="E83" s="7" t="n">
        <v>15.4</v>
      </c>
      <c r="F83" s="7" t="n">
        <v>17.7</v>
      </c>
      <c r="G83" s="7" t="n">
        <v>20.3</v>
      </c>
      <c r="H83" s="7" t="n">
        <v>24.4</v>
      </c>
      <c r="I83" s="7" t="n">
        <v>26.6</v>
      </c>
      <c r="J83" s="7" t="n">
        <v>26.8</v>
      </c>
      <c r="K83" s="7" t="n">
        <v>35.1</v>
      </c>
    </row>
    <row r="84">
      <c r="A84" s="6" t="n">
        <v>2020</v>
      </c>
      <c r="B84" s="8" t="n">
        <v>4</v>
      </c>
      <c r="C84" s="8" t="n">
        <v>6.8</v>
      </c>
      <c r="D84" s="8" t="n">
        <v>9.5</v>
      </c>
      <c r="E84" s="8" t="n">
        <v>16.4</v>
      </c>
      <c r="F84" s="8" t="n">
        <v>23.9</v>
      </c>
      <c r="G84" s="8" t="n">
        <v>43.3</v>
      </c>
      <c r="H84" s="8" t="n">
        <v>66.09999999999999</v>
      </c>
      <c r="I84" s="8" t="n">
        <v>83.09999999999999</v>
      </c>
      <c r="J84" s="8" t="n">
        <v>84.5</v>
      </c>
      <c r="K84" s="8" t="n">
        <v>84.7</v>
      </c>
    </row>
    <row r="85">
      <c r="A85" s="6" t="n">
        <v>2021</v>
      </c>
      <c r="B85" s="8" t="n">
        <v>3.2</v>
      </c>
      <c r="C85" s="8" t="n">
        <v>5.3</v>
      </c>
      <c r="D85" s="8" t="n">
        <v>6.9</v>
      </c>
      <c r="E85" s="8" t="n">
        <v>10</v>
      </c>
      <c r="F85" s="8" t="n">
        <v>11</v>
      </c>
      <c r="G85" s="8" t="n">
        <v>16.8</v>
      </c>
      <c r="H85" s="8" t="n">
        <v>22.5</v>
      </c>
      <c r="I85" s="8" t="n">
        <v>25.6</v>
      </c>
      <c r="J85" s="8" t="n">
        <v>29.3</v>
      </c>
      <c r="K85" s="8" t="n">
        <v>31</v>
      </c>
    </row>
    <row r="86">
      <c r="A86" s="6" t="n">
        <v>2022</v>
      </c>
      <c r="B86" s="7" t="n">
        <v>2.8</v>
      </c>
      <c r="C86" s="7" t="n">
        <v>3.4</v>
      </c>
      <c r="D86" s="7" t="n">
        <v>4.2</v>
      </c>
      <c r="E86" s="7" t="n">
        <v>5.8</v>
      </c>
      <c r="F86" s="7" t="n">
        <v>8.4</v>
      </c>
      <c r="G86" s="7" t="n">
        <v>10.5</v>
      </c>
      <c r="H86" s="7" t="n">
        <v>12.4</v>
      </c>
      <c r="I86" s="7" t="n">
        <v>12.8</v>
      </c>
      <c r="J86" s="7" t="n">
        <v>12.8</v>
      </c>
      <c r="K86" s="7" t="n">
        <v>12.8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Y42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</cols>
  <sheetData>
    <row r="1">
      <c r="A1" s="1" t="inlineStr">
        <is>
          <t>Gauge 56  |  FL655789AF  |  JABAL ABYADH EAST</t>
        </is>
      </c>
    </row>
    <row r="3">
      <c r="A3" s="2" t="inlineStr">
        <is>
          <t>AMS BEFORE gap filling (observed only, mm)</t>
        </is>
      </c>
      <c r="M3" s="3" t="inlineStr">
        <is>
          <t>IDF - design rainfall DEPTH (mm)</t>
        </is>
      </c>
    </row>
    <row r="4">
      <c r="A4" s="4" t="inlineStr">
        <is>
          <t>Water year</t>
        </is>
      </c>
      <c r="B4" s="5" t="inlineStr">
        <is>
          <t>5min</t>
        </is>
      </c>
      <c r="C4" s="5" t="inlineStr">
        <is>
          <t>10min</t>
        </is>
      </c>
      <c r="D4" s="5" t="inlineStr">
        <is>
          <t>15min</t>
        </is>
      </c>
      <c r="E4" s="5" t="inlineStr">
        <is>
          <t>30min</t>
        </is>
      </c>
      <c r="F4" s="5" t="inlineStr">
        <is>
          <t>1h</t>
        </is>
      </c>
      <c r="G4" s="5" t="inlineStr">
        <is>
          <t>2h</t>
        </is>
      </c>
      <c r="H4" s="5" t="inlineStr">
        <is>
          <t>3h</t>
        </is>
      </c>
      <c r="I4" s="5" t="inlineStr">
        <is>
          <t>6h</t>
        </is>
      </c>
      <c r="J4" s="5" t="inlineStr">
        <is>
          <t>12h</t>
        </is>
      </c>
      <c r="K4" s="5" t="inlineStr">
        <is>
          <t>24h</t>
        </is>
      </c>
      <c r="M4" s="4" t="inlineStr">
        <is>
          <t>Duration \ RP</t>
        </is>
      </c>
      <c r="N4" s="4" t="n">
        <v>2</v>
      </c>
      <c r="O4" s="4" t="n">
        <v>5</v>
      </c>
      <c r="P4" s="4" t="n">
        <v>10</v>
      </c>
      <c r="Q4" s="4" t="n">
        <v>25</v>
      </c>
      <c r="R4" s="4" t="n">
        <v>50</v>
      </c>
      <c r="S4" s="4" t="n">
        <v>100</v>
      </c>
      <c r="T4" s="4" t="n">
        <v>200</v>
      </c>
      <c r="U4" s="4" t="n">
        <v>500</v>
      </c>
      <c r="V4" s="4" t="n">
        <v>1000</v>
      </c>
      <c r="W4" s="4" t="n">
        <v>2000</v>
      </c>
      <c r="X4" s="4" t="n">
        <v>5000</v>
      </c>
      <c r="Y4" s="4" t="n">
        <v>10000</v>
      </c>
    </row>
    <row r="5">
      <c r="A5" s="6" t="n">
        <v>1994</v>
      </c>
      <c r="B5" s="7" t="n">
        <v>4</v>
      </c>
      <c r="C5" s="7" t="n">
        <v>7.2</v>
      </c>
      <c r="D5" s="7" t="n">
        <v>10.4</v>
      </c>
      <c r="E5" s="7" t="n">
        <v>19</v>
      </c>
      <c r="F5" s="7" t="n">
        <v>27.2</v>
      </c>
      <c r="G5" s="7" t="n">
        <v>27.8</v>
      </c>
      <c r="H5" s="7" t="n">
        <v>28</v>
      </c>
      <c r="I5" s="7" t="n">
        <v>28.7</v>
      </c>
      <c r="J5" s="7" t="n">
        <v>30</v>
      </c>
      <c r="K5" s="7" t="n">
        <v>32.6</v>
      </c>
      <c r="M5" s="6" t="inlineStr">
        <is>
          <t>5min</t>
        </is>
      </c>
      <c r="N5" s="6" t="n">
        <v>5.2</v>
      </c>
      <c r="O5" s="6" t="n">
        <v>8</v>
      </c>
      <c r="P5" s="6" t="n">
        <v>9.9</v>
      </c>
      <c r="Q5" s="6" t="n">
        <v>12.4</v>
      </c>
      <c r="R5" s="6" t="n">
        <v>14.3</v>
      </c>
      <c r="S5" s="6" t="n">
        <v>16.2</v>
      </c>
      <c r="T5" s="6" t="n">
        <v>18.2</v>
      </c>
      <c r="U5" s="6" t="n">
        <v>20.8</v>
      </c>
      <c r="V5" s="6" t="n">
        <v>22.8</v>
      </c>
      <c r="W5" s="6" t="n">
        <v>24.9</v>
      </c>
      <c r="X5" s="6" t="n">
        <v>27.8</v>
      </c>
      <c r="Y5" s="6" t="n">
        <v>30</v>
      </c>
    </row>
    <row r="6">
      <c r="A6" s="6" t="n">
        <v>1995</v>
      </c>
      <c r="B6" s="7" t="n">
        <v>8.199999999999999</v>
      </c>
      <c r="C6" s="7" t="n">
        <v>14.8</v>
      </c>
      <c r="D6" s="7" t="n">
        <v>18.2</v>
      </c>
      <c r="E6" s="7" t="n">
        <v>23.4</v>
      </c>
      <c r="F6" s="7" t="n">
        <v>30.8</v>
      </c>
      <c r="G6" s="7" t="n">
        <v>31.6</v>
      </c>
      <c r="H6" s="7" t="n">
        <v>31.6</v>
      </c>
      <c r="I6" s="7" t="n">
        <v>42.4</v>
      </c>
      <c r="J6" s="7" t="n">
        <v>50.7</v>
      </c>
      <c r="K6" s="7" t="n">
        <v>90.09999999999999</v>
      </c>
      <c r="M6" s="6" t="inlineStr">
        <is>
          <t>10min</t>
        </is>
      </c>
      <c r="N6" s="6" t="n">
        <v>8.5</v>
      </c>
      <c r="O6" s="6" t="n">
        <v>13.1</v>
      </c>
      <c r="P6" s="6" t="n">
        <v>16.4</v>
      </c>
      <c r="Q6" s="6" t="n">
        <v>20.6</v>
      </c>
      <c r="R6" s="6" t="n">
        <v>23.9</v>
      </c>
      <c r="S6" s="6" t="n">
        <v>27.3</v>
      </c>
      <c r="T6" s="6" t="n">
        <v>30.7</v>
      </c>
      <c r="U6" s="6" t="n">
        <v>35.6</v>
      </c>
      <c r="V6" s="6" t="n">
        <v>39.4</v>
      </c>
      <c r="W6" s="6" t="n">
        <v>43.3</v>
      </c>
      <c r="X6" s="6" t="n">
        <v>48.7</v>
      </c>
      <c r="Y6" s="6" t="n">
        <v>53</v>
      </c>
    </row>
    <row r="7">
      <c r="A7" s="6" t="n">
        <v>1996</v>
      </c>
      <c r="B7" s="7" t="n">
        <v>11</v>
      </c>
      <c r="C7" s="7" t="n">
        <v>16.8</v>
      </c>
      <c r="D7" s="7" t="n">
        <v>22.6</v>
      </c>
      <c r="E7" s="7" t="n">
        <v>35.2</v>
      </c>
      <c r="F7" s="7" t="n">
        <v>49.6</v>
      </c>
      <c r="G7" s="7" t="n">
        <v>59.8</v>
      </c>
      <c r="H7" s="7" t="n">
        <v>63.4</v>
      </c>
      <c r="I7" s="7" t="n">
        <v>82.8</v>
      </c>
      <c r="J7" s="7" t="n">
        <v>115.8</v>
      </c>
      <c r="K7" s="7" t="n">
        <v>141.9</v>
      </c>
      <c r="M7" s="6" t="inlineStr">
        <is>
          <t>15min</t>
        </is>
      </c>
      <c r="N7" s="6" t="n">
        <v>10.8</v>
      </c>
      <c r="O7" s="6" t="n">
        <v>16.9</v>
      </c>
      <c r="P7" s="6" t="n">
        <v>21.2</v>
      </c>
      <c r="Q7" s="6" t="n">
        <v>27.1</v>
      </c>
      <c r="R7" s="6" t="n">
        <v>31.8</v>
      </c>
      <c r="S7" s="6" t="n">
        <v>36.7</v>
      </c>
      <c r="T7" s="6" t="n">
        <v>41.9</v>
      </c>
      <c r="U7" s="6" t="n">
        <v>49.1</v>
      </c>
      <c r="V7" s="6" t="n">
        <v>54.9</v>
      </c>
      <c r="W7" s="6" t="n">
        <v>61.1</v>
      </c>
      <c r="X7" s="6" t="n">
        <v>69.8</v>
      </c>
      <c r="Y7" s="6" t="n">
        <v>76.8</v>
      </c>
    </row>
    <row r="8">
      <c r="A8" s="6" t="n">
        <v>1997</v>
      </c>
      <c r="B8" s="7" t="n">
        <v>10.2</v>
      </c>
      <c r="C8" s="7" t="n">
        <v>15</v>
      </c>
      <c r="D8" s="7" t="n">
        <v>20.6</v>
      </c>
      <c r="E8" s="7" t="n">
        <v>34.6</v>
      </c>
      <c r="F8" s="7" t="n">
        <v>42.4</v>
      </c>
      <c r="G8" s="7" t="n">
        <v>42.6</v>
      </c>
      <c r="H8" s="7" t="n">
        <v>45</v>
      </c>
      <c r="I8" s="7" t="n">
        <v>74.59999999999999</v>
      </c>
      <c r="J8" s="7" t="n">
        <v>82.90000000000001</v>
      </c>
      <c r="K8" s="7" t="n">
        <v>85.59999999999999</v>
      </c>
      <c r="M8" s="6" t="inlineStr">
        <is>
          <t>30min</t>
        </is>
      </c>
      <c r="N8" s="6" t="n">
        <v>14.8</v>
      </c>
      <c r="O8" s="6" t="n">
        <v>23.7</v>
      </c>
      <c r="P8" s="6" t="n">
        <v>30.2</v>
      </c>
      <c r="Q8" s="6" t="n">
        <v>38.9</v>
      </c>
      <c r="R8" s="6" t="n">
        <v>45.9</v>
      </c>
      <c r="S8" s="6" t="n">
        <v>53.3</v>
      </c>
      <c r="T8" s="6" t="n">
        <v>61.1</v>
      </c>
      <c r="U8" s="6" t="n">
        <v>72.09999999999999</v>
      </c>
      <c r="V8" s="6" t="n">
        <v>81.09999999999999</v>
      </c>
      <c r="W8" s="6" t="n">
        <v>90.7</v>
      </c>
      <c r="X8" s="6" t="n">
        <v>104.2</v>
      </c>
      <c r="Y8" s="6" t="n">
        <v>115.2</v>
      </c>
    </row>
    <row r="9">
      <c r="A9" s="6" t="n">
        <v>1998</v>
      </c>
      <c r="B9" s="7" t="n">
        <v>6.8</v>
      </c>
      <c r="C9" s="7" t="n">
        <v>10.4</v>
      </c>
      <c r="D9" s="7" t="n">
        <v>13.4</v>
      </c>
      <c r="E9" s="7" t="n">
        <v>19.4</v>
      </c>
      <c r="F9" s="7" t="n">
        <v>22.5</v>
      </c>
      <c r="G9" s="7" t="n">
        <v>25</v>
      </c>
      <c r="H9" s="7" t="n">
        <v>27.6</v>
      </c>
      <c r="I9" s="7" t="n">
        <v>48.4</v>
      </c>
      <c r="J9" s="7" t="n">
        <v>59</v>
      </c>
      <c r="K9" s="7" t="n">
        <v>75.40000000000001</v>
      </c>
      <c r="M9" s="6" t="inlineStr">
        <is>
          <t>1h</t>
        </is>
      </c>
      <c r="N9" s="6" t="n">
        <v>18.5</v>
      </c>
      <c r="O9" s="6" t="n">
        <v>30.1</v>
      </c>
      <c r="P9" s="6" t="n">
        <v>38.6</v>
      </c>
      <c r="Q9" s="6" t="n">
        <v>50.4</v>
      </c>
      <c r="R9" s="6" t="n">
        <v>60.1</v>
      </c>
      <c r="S9" s="6" t="n">
        <v>70.40000000000001</v>
      </c>
      <c r="T9" s="6" t="n">
        <v>81.59999999999999</v>
      </c>
      <c r="U9" s="6" t="n">
        <v>97.7</v>
      </c>
      <c r="V9" s="6" t="n">
        <v>111.1</v>
      </c>
      <c r="W9" s="6" t="n">
        <v>125.5</v>
      </c>
      <c r="X9" s="6" t="n">
        <v>146.4</v>
      </c>
      <c r="Y9" s="6" t="n">
        <v>163.7</v>
      </c>
    </row>
    <row r="10">
      <c r="A10" s="6" t="n">
        <v>1999</v>
      </c>
      <c r="B10" s="7" t="n">
        <v>11.4</v>
      </c>
      <c r="C10" s="7" t="n">
        <v>17</v>
      </c>
      <c r="D10" s="7" t="n">
        <v>18.6</v>
      </c>
      <c r="E10" s="7" t="n">
        <v>20.4</v>
      </c>
      <c r="F10" s="7" t="n">
        <v>21.2</v>
      </c>
      <c r="G10" s="7" t="n">
        <v>22</v>
      </c>
      <c r="H10" s="7" t="n">
        <v>30</v>
      </c>
      <c r="I10" s="7" t="n">
        <v>31.5</v>
      </c>
      <c r="J10" s="7" t="n">
        <v>38.8</v>
      </c>
      <c r="K10" s="7" t="n">
        <v>47.5</v>
      </c>
      <c r="M10" s="6" t="inlineStr">
        <is>
          <t>2h</t>
        </is>
      </c>
      <c r="N10" s="6" t="n">
        <v>21.4</v>
      </c>
      <c r="O10" s="6" t="n">
        <v>36</v>
      </c>
      <c r="P10" s="6" t="n">
        <v>47.4</v>
      </c>
      <c r="Q10" s="6" t="n">
        <v>64.2</v>
      </c>
      <c r="R10" s="6" t="n">
        <v>78.59999999999999</v>
      </c>
      <c r="S10" s="6" t="n">
        <v>94.90000000000001</v>
      </c>
      <c r="T10" s="6" t="n">
        <v>113.3</v>
      </c>
      <c r="U10" s="6" t="n">
        <v>141.4</v>
      </c>
      <c r="V10" s="6" t="n">
        <v>165.9</v>
      </c>
      <c r="W10" s="6" t="n">
        <v>193.6</v>
      </c>
      <c r="X10" s="6" t="n">
        <v>236</v>
      </c>
      <c r="Y10" s="6" t="n">
        <v>273</v>
      </c>
    </row>
    <row r="11">
      <c r="A11" s="6" t="n">
        <v>2000</v>
      </c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M11" s="6" t="inlineStr">
        <is>
          <t>3h</t>
        </is>
      </c>
      <c r="N11" s="6" t="n">
        <v>22.8</v>
      </c>
      <c r="O11" s="6" t="n">
        <v>39.5</v>
      </c>
      <c r="P11" s="6" t="n">
        <v>53.3</v>
      </c>
      <c r="Q11" s="6" t="n">
        <v>74.7</v>
      </c>
      <c r="R11" s="6" t="n">
        <v>94</v>
      </c>
      <c r="S11" s="6" t="n">
        <v>116.7</v>
      </c>
      <c r="T11" s="6" t="n">
        <v>143.5</v>
      </c>
      <c r="U11" s="6" t="n">
        <v>186.4</v>
      </c>
      <c r="V11" s="6" t="n">
        <v>225.7</v>
      </c>
      <c r="W11" s="6" t="n">
        <v>272.1</v>
      </c>
      <c r="X11" s="6" t="n">
        <v>346.6</v>
      </c>
      <c r="Y11" s="6" t="n">
        <v>414.9</v>
      </c>
    </row>
    <row r="12">
      <c r="A12" s="6" t="n">
        <v>2001</v>
      </c>
      <c r="B12" s="7" t="n"/>
      <c r="C12" s="7" t="n"/>
      <c r="D12" s="7" t="n"/>
      <c r="E12" s="7" t="n"/>
      <c r="F12" s="7" t="n"/>
      <c r="G12" s="7" t="n"/>
      <c r="H12" s="7" t="n"/>
      <c r="I12" s="7" t="n"/>
      <c r="J12" s="7" t="n"/>
      <c r="K12" s="7" t="n"/>
      <c r="M12" s="6" t="inlineStr">
        <is>
          <t>6h</t>
        </is>
      </c>
      <c r="N12" s="6" t="n">
        <v>25.8</v>
      </c>
      <c r="O12" s="6" t="n">
        <v>46.5</v>
      </c>
      <c r="P12" s="6" t="n">
        <v>64.8</v>
      </c>
      <c r="Q12" s="6" t="n">
        <v>94.90000000000001</v>
      </c>
      <c r="R12" s="6" t="n">
        <v>123.5</v>
      </c>
      <c r="S12" s="6" t="n">
        <v>158.7</v>
      </c>
      <c r="T12" s="6" t="n">
        <v>202.1</v>
      </c>
      <c r="U12" s="6" t="n">
        <v>275.4</v>
      </c>
      <c r="V12" s="6" t="n">
        <v>346.3</v>
      </c>
      <c r="W12" s="6" t="n">
        <v>433.8</v>
      </c>
      <c r="X12" s="6" t="n">
        <v>581.9</v>
      </c>
      <c r="Y12" s="6" t="n">
        <v>725</v>
      </c>
    </row>
    <row r="13">
      <c r="A13" s="6" t="n">
        <v>2002</v>
      </c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M13" s="6" t="inlineStr">
        <is>
          <t>12h</t>
        </is>
      </c>
      <c r="N13" s="6" t="n">
        <v>28.5</v>
      </c>
      <c r="O13" s="6" t="n">
        <v>53.2</v>
      </c>
      <c r="P13" s="6" t="n">
        <v>75.59999999999999</v>
      </c>
      <c r="Q13" s="6" t="n">
        <v>113.5</v>
      </c>
      <c r="R13" s="6" t="n">
        <v>150.6</v>
      </c>
      <c r="S13" s="6" t="n">
        <v>197.4</v>
      </c>
      <c r="T13" s="6" t="n">
        <v>256.5</v>
      </c>
      <c r="U13" s="6" t="n">
        <v>359.2</v>
      </c>
      <c r="V13" s="6" t="n">
        <v>461.2</v>
      </c>
      <c r="W13" s="6" t="n">
        <v>590.3</v>
      </c>
      <c r="X13" s="6" t="n">
        <v>815</v>
      </c>
      <c r="Y13" s="6" t="n">
        <v>1038.2</v>
      </c>
    </row>
    <row r="14">
      <c r="A14" s="6" t="n">
        <v>2003</v>
      </c>
      <c r="B14" s="7" t="n"/>
      <c r="C14" s="7" t="n"/>
      <c r="D14" s="7" t="n"/>
      <c r="E14" s="7" t="n"/>
      <c r="F14" s="7" t="n"/>
      <c r="G14" s="7" t="n"/>
      <c r="H14" s="7" t="n"/>
      <c r="I14" s="7" t="n"/>
      <c r="J14" s="7" t="n"/>
      <c r="K14" s="7" t="n"/>
      <c r="M14" s="6" t="inlineStr">
        <is>
          <t>24h</t>
        </is>
      </c>
      <c r="N14" s="6" t="n">
        <v>34.3</v>
      </c>
      <c r="O14" s="6" t="n">
        <v>64.3</v>
      </c>
      <c r="P14" s="6" t="n">
        <v>90.7</v>
      </c>
      <c r="Q14" s="6" t="n">
        <v>134.3</v>
      </c>
      <c r="R14" s="6" t="n">
        <v>175.8</v>
      </c>
      <c r="S14" s="6" t="n">
        <v>227.1</v>
      </c>
      <c r="T14" s="6" t="n">
        <v>290.4</v>
      </c>
      <c r="U14" s="6" t="n">
        <v>397.7</v>
      </c>
      <c r="V14" s="6" t="n">
        <v>501.5</v>
      </c>
      <c r="W14" s="6" t="n">
        <v>630.1</v>
      </c>
      <c r="X14" s="6" t="n">
        <v>848.2</v>
      </c>
      <c r="Y14" s="6" t="n">
        <v>1059.3</v>
      </c>
    </row>
    <row r="15">
      <c r="A15" s="6" t="n">
        <v>2004</v>
      </c>
      <c r="B15" s="7" t="n">
        <v>6.2</v>
      </c>
      <c r="C15" s="7" t="n">
        <v>12</v>
      </c>
      <c r="D15" s="7" t="n">
        <v>15.4</v>
      </c>
      <c r="E15" s="7" t="n">
        <v>22.2</v>
      </c>
      <c r="F15" s="7" t="n">
        <v>29.4</v>
      </c>
      <c r="G15" s="7" t="n">
        <v>43.3</v>
      </c>
      <c r="H15" s="7" t="n">
        <v>46.9</v>
      </c>
      <c r="I15" s="7" t="n">
        <v>55.3</v>
      </c>
      <c r="J15" s="7" t="n">
        <v>59.1</v>
      </c>
      <c r="K15" s="7" t="n">
        <v>62.2</v>
      </c>
    </row>
    <row r="16">
      <c r="A16" s="6" t="n">
        <v>2005</v>
      </c>
      <c r="B16" s="7" t="n">
        <v>7.4</v>
      </c>
      <c r="C16" s="7" t="n">
        <v>11.8</v>
      </c>
      <c r="D16" s="7" t="n">
        <v>12.2</v>
      </c>
      <c r="E16" s="7" t="n">
        <v>15.6</v>
      </c>
      <c r="F16" s="7" t="n">
        <v>22.1</v>
      </c>
      <c r="G16" s="7" t="n">
        <v>22.9</v>
      </c>
      <c r="H16" s="7" t="n">
        <v>27.2</v>
      </c>
      <c r="I16" s="7" t="n">
        <v>31.2</v>
      </c>
      <c r="J16" s="7" t="n">
        <v>33.7</v>
      </c>
      <c r="K16" s="7" t="n">
        <v>41.9</v>
      </c>
      <c r="M16" s="3" t="inlineStr">
        <is>
          <t>IDF - intensity (mm/hr) [x=duration(min)]</t>
        </is>
      </c>
    </row>
    <row r="17">
      <c r="A17" s="6" t="n">
        <v>2006</v>
      </c>
      <c r="B17" s="7" t="n">
        <v>4.2</v>
      </c>
      <c r="C17" s="7" t="n">
        <v>7.4</v>
      </c>
      <c r="D17" s="7" t="n">
        <v>8.800000000000001</v>
      </c>
      <c r="E17" s="7" t="n">
        <v>9.6</v>
      </c>
      <c r="F17" s="7" t="n">
        <v>9.6</v>
      </c>
      <c r="G17" s="7" t="n">
        <v>9.800000000000001</v>
      </c>
      <c r="H17" s="7" t="n">
        <v>10</v>
      </c>
      <c r="I17" s="7" t="n">
        <v>10.2</v>
      </c>
      <c r="J17" s="7" t="n">
        <v>10.4</v>
      </c>
      <c r="K17" s="7" t="n">
        <v>10.7</v>
      </c>
      <c r="M17" t="inlineStr">
        <is>
          <t>Duration(min)</t>
        </is>
      </c>
      <c r="N17" t="inlineStr">
        <is>
          <t>2 yr</t>
        </is>
      </c>
      <c r="O17" t="inlineStr">
        <is>
          <t>5 yr</t>
        </is>
      </c>
      <c r="P17" t="inlineStr">
        <is>
          <t>10 yr</t>
        </is>
      </c>
      <c r="Q17" t="inlineStr">
        <is>
          <t>25 yr</t>
        </is>
      </c>
      <c r="R17" t="inlineStr">
        <is>
          <t>50 yr</t>
        </is>
      </c>
      <c r="S17" t="inlineStr">
        <is>
          <t>100 yr</t>
        </is>
      </c>
      <c r="T17" t="inlineStr">
        <is>
          <t>200 yr</t>
        </is>
      </c>
      <c r="U17" t="inlineStr">
        <is>
          <t>500 yr</t>
        </is>
      </c>
      <c r="V17" t="inlineStr">
        <is>
          <t>1000 yr</t>
        </is>
      </c>
      <c r="W17" t="inlineStr">
        <is>
          <t>2000 yr</t>
        </is>
      </c>
      <c r="X17" t="inlineStr">
        <is>
          <t>5000 yr</t>
        </is>
      </c>
      <c r="Y17" t="inlineStr">
        <is>
          <t>10000 yr</t>
        </is>
      </c>
    </row>
    <row r="18">
      <c r="A18" s="6" t="n">
        <v>2007</v>
      </c>
      <c r="B18" s="7" t="n">
        <v>9.4</v>
      </c>
      <c r="C18" s="7" t="n">
        <v>16</v>
      </c>
      <c r="D18" s="7" t="n">
        <v>23.2</v>
      </c>
      <c r="E18" s="7" t="n">
        <v>41.4</v>
      </c>
      <c r="F18" s="7" t="n">
        <v>74</v>
      </c>
      <c r="G18" s="7" t="n">
        <v>137.6</v>
      </c>
      <c r="H18" s="7" t="n">
        <v>192</v>
      </c>
      <c r="I18" s="7" t="n">
        <v>376</v>
      </c>
      <c r="J18" s="7" t="n">
        <v>573</v>
      </c>
      <c r="K18" s="7" t="n">
        <v>628.4</v>
      </c>
      <c r="M18" t="n">
        <v>5</v>
      </c>
      <c r="N18" t="n">
        <v>62.9</v>
      </c>
      <c r="O18" t="n">
        <v>96.40000000000001</v>
      </c>
      <c r="P18" t="n">
        <v>119.2</v>
      </c>
      <c r="Q18" t="n">
        <v>148.9</v>
      </c>
      <c r="R18" t="n">
        <v>171.5</v>
      </c>
      <c r="S18" t="n">
        <v>194.5</v>
      </c>
      <c r="T18" t="n">
        <v>217.9</v>
      </c>
      <c r="U18" t="n">
        <v>249.6</v>
      </c>
      <c r="V18" t="n">
        <v>274.2</v>
      </c>
      <c r="W18" t="n">
        <v>299.3</v>
      </c>
      <c r="X18" t="n">
        <v>333.4</v>
      </c>
      <c r="Y18" t="n">
        <v>359.8</v>
      </c>
    </row>
    <row r="19">
      <c r="A19" s="6" t="n">
        <v>2008</v>
      </c>
      <c r="B19" s="7" t="n"/>
      <c r="C19" s="7" t="n">
        <v>0.6</v>
      </c>
      <c r="D19" s="7" t="n">
        <v>0.8</v>
      </c>
      <c r="E19" s="7" t="n">
        <v>1.6</v>
      </c>
      <c r="F19" s="7" t="n">
        <v>1.8</v>
      </c>
      <c r="G19" s="7" t="n">
        <v>1.8</v>
      </c>
      <c r="H19" s="7" t="n">
        <v>1.8</v>
      </c>
      <c r="I19" s="7" t="n">
        <v>1.8</v>
      </c>
      <c r="J19" s="7" t="n">
        <v>1.9</v>
      </c>
      <c r="K19" s="7" t="n">
        <v>2</v>
      </c>
      <c r="M19" t="n">
        <v>10</v>
      </c>
      <c r="N19" t="n">
        <v>51.2</v>
      </c>
      <c r="O19" t="n">
        <v>78.8</v>
      </c>
      <c r="P19" t="n">
        <v>98.09999999999999</v>
      </c>
      <c r="Q19" t="n">
        <v>123.5</v>
      </c>
      <c r="R19" t="n">
        <v>143.2</v>
      </c>
      <c r="S19" t="n">
        <v>163.5</v>
      </c>
      <c r="T19" t="n">
        <v>184.5</v>
      </c>
      <c r="U19" t="n">
        <v>213.4</v>
      </c>
      <c r="V19" t="n">
        <v>236.1</v>
      </c>
      <c r="W19" t="n">
        <v>259.7</v>
      </c>
      <c r="X19" t="n">
        <v>292.2</v>
      </c>
      <c r="Y19" t="n">
        <v>317.8</v>
      </c>
    </row>
    <row r="20">
      <c r="A20" s="6" t="n">
        <v>2009</v>
      </c>
      <c r="B20" s="7" t="n">
        <v>6.8</v>
      </c>
      <c r="C20" s="7" t="n">
        <v>13.2</v>
      </c>
      <c r="D20" s="7" t="n">
        <v>14.2</v>
      </c>
      <c r="E20" s="7" t="n">
        <v>14.7</v>
      </c>
      <c r="F20" s="7" t="n">
        <v>19</v>
      </c>
      <c r="G20" s="7" t="n">
        <v>20.2</v>
      </c>
      <c r="H20" s="7" t="n">
        <v>20.4</v>
      </c>
      <c r="I20" s="7" t="n">
        <v>20.4</v>
      </c>
      <c r="J20" s="7" t="n">
        <v>21.4</v>
      </c>
      <c r="K20" s="7" t="n">
        <v>25</v>
      </c>
      <c r="M20" t="n">
        <v>15</v>
      </c>
      <c r="N20" t="n">
        <v>43.1</v>
      </c>
      <c r="O20" t="n">
        <v>67.5</v>
      </c>
      <c r="P20" t="n">
        <v>85</v>
      </c>
      <c r="Q20" t="n">
        <v>108.5</v>
      </c>
      <c r="R20" t="n">
        <v>127.2</v>
      </c>
      <c r="S20" t="n">
        <v>146.8</v>
      </c>
      <c r="T20" t="n">
        <v>167.4</v>
      </c>
      <c r="U20" t="n">
        <v>196.4</v>
      </c>
      <c r="V20" t="n">
        <v>219.8</v>
      </c>
      <c r="W20" t="n">
        <v>244.5</v>
      </c>
      <c r="X20" t="n">
        <v>279.2</v>
      </c>
      <c r="Y20" t="n">
        <v>307.2</v>
      </c>
    </row>
    <row r="21">
      <c r="A21" s="6" t="n">
        <v>2010</v>
      </c>
      <c r="B21" s="7" t="n">
        <v>6</v>
      </c>
      <c r="C21" s="7" t="n">
        <v>9</v>
      </c>
      <c r="D21" s="7" t="n">
        <v>10.4</v>
      </c>
      <c r="E21" s="7" t="n">
        <v>19.2</v>
      </c>
      <c r="F21" s="7" t="n">
        <v>35.6</v>
      </c>
      <c r="G21" s="7" t="n">
        <v>58.4</v>
      </c>
      <c r="H21" s="7" t="n">
        <v>78.2</v>
      </c>
      <c r="I21" s="7" t="n">
        <v>102</v>
      </c>
      <c r="J21" s="7" t="n">
        <v>117.5</v>
      </c>
      <c r="K21" s="7" t="n">
        <v>217.6</v>
      </c>
      <c r="M21" t="n">
        <v>30</v>
      </c>
      <c r="N21" t="n">
        <v>29.6</v>
      </c>
      <c r="O21" t="n">
        <v>47.5</v>
      </c>
      <c r="P21" t="n">
        <v>60.3</v>
      </c>
      <c r="Q21" t="n">
        <v>77.8</v>
      </c>
      <c r="R21" t="n">
        <v>91.8</v>
      </c>
      <c r="S21" t="n">
        <v>106.5</v>
      </c>
      <c r="T21" t="n">
        <v>122.1</v>
      </c>
      <c r="U21" t="n">
        <v>144.3</v>
      </c>
      <c r="V21" t="n">
        <v>162.2</v>
      </c>
      <c r="W21" t="n">
        <v>181.3</v>
      </c>
      <c r="X21" t="n">
        <v>208.4</v>
      </c>
      <c r="Y21" t="n">
        <v>230.4</v>
      </c>
    </row>
    <row r="22">
      <c r="M22" t="n">
        <v>60</v>
      </c>
      <c r="N22" t="n">
        <v>18.5</v>
      </c>
      <c r="O22" t="n">
        <v>30.1</v>
      </c>
      <c r="P22" t="n">
        <v>38.6</v>
      </c>
      <c r="Q22" t="n">
        <v>50.4</v>
      </c>
      <c r="R22" t="n">
        <v>60.1</v>
      </c>
      <c r="S22" t="n">
        <v>70.40000000000001</v>
      </c>
      <c r="T22" t="n">
        <v>81.59999999999999</v>
      </c>
      <c r="U22" t="n">
        <v>97.7</v>
      </c>
      <c r="V22" t="n">
        <v>111.1</v>
      </c>
      <c r="W22" t="n">
        <v>125.5</v>
      </c>
      <c r="X22" t="n">
        <v>146.4</v>
      </c>
      <c r="Y22" t="n">
        <v>163.7</v>
      </c>
    </row>
    <row r="23">
      <c r="M23" t="n">
        <v>120</v>
      </c>
      <c r="N23" t="n">
        <v>10.7</v>
      </c>
      <c r="O23" t="n">
        <v>18</v>
      </c>
      <c r="P23" t="n">
        <v>23.7</v>
      </c>
      <c r="Q23" t="n">
        <v>32.1</v>
      </c>
      <c r="R23" t="n">
        <v>39.3</v>
      </c>
      <c r="S23" t="n">
        <v>47.5</v>
      </c>
      <c r="T23" t="n">
        <v>56.7</v>
      </c>
      <c r="U23" t="n">
        <v>70.7</v>
      </c>
      <c r="V23" t="n">
        <v>82.90000000000001</v>
      </c>
      <c r="W23" t="n">
        <v>96.8</v>
      </c>
      <c r="X23" t="n">
        <v>118</v>
      </c>
      <c r="Y23" t="n">
        <v>136.5</v>
      </c>
    </row>
    <row r="24">
      <c r="A24" s="2" t="inlineStr">
        <is>
          <t>AMS AFTER gap filling (mm)  -  yellow = added or changed by gap filling</t>
        </is>
      </c>
      <c r="M24" t="n">
        <v>180</v>
      </c>
      <c r="N24" t="n">
        <v>7.6</v>
      </c>
      <c r="O24" t="n">
        <v>13.2</v>
      </c>
      <c r="P24" t="n">
        <v>17.8</v>
      </c>
      <c r="Q24" t="n">
        <v>24.9</v>
      </c>
      <c r="R24" t="n">
        <v>31.3</v>
      </c>
      <c r="S24" t="n">
        <v>38.9</v>
      </c>
      <c r="T24" t="n">
        <v>47.8</v>
      </c>
      <c r="U24" t="n">
        <v>62.1</v>
      </c>
      <c r="V24" t="n">
        <v>75.2</v>
      </c>
      <c r="W24" t="n">
        <v>90.7</v>
      </c>
      <c r="X24" t="n">
        <v>115.5</v>
      </c>
      <c r="Y24" t="n">
        <v>138.3</v>
      </c>
    </row>
    <row r="25">
      <c r="A25" s="4" t="inlineStr">
        <is>
          <t>Water year</t>
        </is>
      </c>
      <c r="B25" s="5" t="inlineStr">
        <is>
          <t>5min</t>
        </is>
      </c>
      <c r="C25" s="5" t="inlineStr">
        <is>
          <t>10min</t>
        </is>
      </c>
      <c r="D25" s="5" t="inlineStr">
        <is>
          <t>15min</t>
        </is>
      </c>
      <c r="E25" s="5" t="inlineStr">
        <is>
          <t>30min</t>
        </is>
      </c>
      <c r="F25" s="5" t="inlineStr">
        <is>
          <t>1h</t>
        </is>
      </c>
      <c r="G25" s="5" t="inlineStr">
        <is>
          <t>2h</t>
        </is>
      </c>
      <c r="H25" s="5" t="inlineStr">
        <is>
          <t>3h</t>
        </is>
      </c>
      <c r="I25" s="5" t="inlineStr">
        <is>
          <t>6h</t>
        </is>
      </c>
      <c r="J25" s="5" t="inlineStr">
        <is>
          <t>12h</t>
        </is>
      </c>
      <c r="K25" s="5" t="inlineStr">
        <is>
          <t>24h</t>
        </is>
      </c>
      <c r="M25" t="n">
        <v>360</v>
      </c>
      <c r="N25" t="n">
        <v>4.3</v>
      </c>
      <c r="O25" t="n">
        <v>7.8</v>
      </c>
      <c r="P25" t="n">
        <v>10.8</v>
      </c>
      <c r="Q25" t="n">
        <v>15.8</v>
      </c>
      <c r="R25" t="n">
        <v>20.6</v>
      </c>
      <c r="S25" t="n">
        <v>26.4</v>
      </c>
      <c r="T25" t="n">
        <v>33.7</v>
      </c>
      <c r="U25" t="n">
        <v>45.9</v>
      </c>
      <c r="V25" t="n">
        <v>57.7</v>
      </c>
      <c r="W25" t="n">
        <v>72.3</v>
      </c>
      <c r="X25" t="n">
        <v>97</v>
      </c>
      <c r="Y25" t="n">
        <v>120.8</v>
      </c>
    </row>
    <row r="26">
      <c r="A26" s="6" t="n">
        <v>1994</v>
      </c>
      <c r="B26" s="8" t="n">
        <v>4.3</v>
      </c>
      <c r="C26" s="8" t="n">
        <v>7.3</v>
      </c>
      <c r="D26" s="8" t="n">
        <v>10.6</v>
      </c>
      <c r="E26" s="7" t="n">
        <v>19</v>
      </c>
      <c r="F26" s="7" t="n">
        <v>27.2</v>
      </c>
      <c r="G26" s="7" t="n">
        <v>27.8</v>
      </c>
      <c r="H26" s="7" t="n">
        <v>28</v>
      </c>
      <c r="I26" s="7" t="n">
        <v>28.7</v>
      </c>
      <c r="J26" s="7" t="n">
        <v>30</v>
      </c>
      <c r="K26" s="7" t="n">
        <v>32.6</v>
      </c>
      <c r="M26" t="n">
        <v>720</v>
      </c>
      <c r="N26" t="n">
        <v>2.4</v>
      </c>
      <c r="O26" t="n">
        <v>4.4</v>
      </c>
      <c r="P26" t="n">
        <v>6.3</v>
      </c>
      <c r="Q26" t="n">
        <v>9.5</v>
      </c>
      <c r="R26" t="n">
        <v>12.5</v>
      </c>
      <c r="S26" t="n">
        <v>16.4</v>
      </c>
      <c r="T26" t="n">
        <v>21.4</v>
      </c>
      <c r="U26" t="n">
        <v>29.9</v>
      </c>
      <c r="V26" t="n">
        <v>38.4</v>
      </c>
      <c r="W26" t="n">
        <v>49.2</v>
      </c>
      <c r="X26" t="n">
        <v>67.90000000000001</v>
      </c>
      <c r="Y26" t="n">
        <v>86.5</v>
      </c>
    </row>
    <row r="27">
      <c r="A27" s="6" t="n">
        <v>1995</v>
      </c>
      <c r="B27" s="7" t="n">
        <v>8.199999999999999</v>
      </c>
      <c r="C27" s="7" t="n">
        <v>14.8</v>
      </c>
      <c r="D27" s="7" t="n">
        <v>18.2</v>
      </c>
      <c r="E27" s="7" t="n">
        <v>23.4</v>
      </c>
      <c r="F27" s="7" t="n">
        <v>30.8</v>
      </c>
      <c r="G27" s="7" t="n">
        <v>31.6</v>
      </c>
      <c r="H27" s="7" t="n">
        <v>31.6</v>
      </c>
      <c r="I27" s="7" t="n">
        <v>42.4</v>
      </c>
      <c r="J27" s="7" t="n">
        <v>50.7</v>
      </c>
      <c r="K27" s="7" t="n">
        <v>90.09999999999999</v>
      </c>
      <c r="M27" t="n">
        <v>1440</v>
      </c>
      <c r="N27" t="n">
        <v>1.4</v>
      </c>
      <c r="O27" t="n">
        <v>2.7</v>
      </c>
      <c r="P27" t="n">
        <v>3.8</v>
      </c>
      <c r="Q27" t="n">
        <v>5.6</v>
      </c>
      <c r="R27" t="n">
        <v>7.3</v>
      </c>
      <c r="S27" t="n">
        <v>9.5</v>
      </c>
      <c r="T27" t="n">
        <v>12.1</v>
      </c>
      <c r="U27" t="n">
        <v>16.6</v>
      </c>
      <c r="V27" t="n">
        <v>20.9</v>
      </c>
      <c r="W27" t="n">
        <v>26.3</v>
      </c>
      <c r="X27" t="n">
        <v>35.3</v>
      </c>
      <c r="Y27" t="n">
        <v>44.1</v>
      </c>
    </row>
    <row r="28">
      <c r="A28" s="6" t="n">
        <v>1996</v>
      </c>
      <c r="B28" s="7" t="n">
        <v>11</v>
      </c>
      <c r="C28" s="7" t="n">
        <v>16.8</v>
      </c>
      <c r="D28" s="7" t="n">
        <v>22.6</v>
      </c>
      <c r="E28" s="7" t="n">
        <v>35.2</v>
      </c>
      <c r="F28" s="7" t="n">
        <v>49.6</v>
      </c>
      <c r="G28" s="7" t="n">
        <v>59.8</v>
      </c>
      <c r="H28" s="7" t="n">
        <v>63.4</v>
      </c>
      <c r="I28" s="7" t="n">
        <v>82.8</v>
      </c>
      <c r="J28" s="7" t="n">
        <v>115.8</v>
      </c>
      <c r="K28" s="7" t="n">
        <v>141.9</v>
      </c>
    </row>
    <row r="29">
      <c r="A29" s="6" t="n">
        <v>1997</v>
      </c>
      <c r="B29" s="7" t="n">
        <v>10.2</v>
      </c>
      <c r="C29" s="7" t="n">
        <v>15</v>
      </c>
      <c r="D29" s="7" t="n">
        <v>20.6</v>
      </c>
      <c r="E29" s="7" t="n">
        <v>34.6</v>
      </c>
      <c r="F29" s="7" t="n">
        <v>42.4</v>
      </c>
      <c r="G29" s="7" t="n">
        <v>42.6</v>
      </c>
      <c r="H29" s="7" t="n">
        <v>45</v>
      </c>
      <c r="I29" s="7" t="n">
        <v>74.59999999999999</v>
      </c>
      <c r="J29" s="7" t="n">
        <v>82.90000000000001</v>
      </c>
      <c r="K29" s="7" t="n">
        <v>85.59999999999999</v>
      </c>
    </row>
    <row r="30">
      <c r="A30" s="6" t="n">
        <v>1998</v>
      </c>
      <c r="B30" s="7" t="n">
        <v>6.8</v>
      </c>
      <c r="C30" s="7" t="n">
        <v>10.4</v>
      </c>
      <c r="D30" s="7" t="n">
        <v>13.4</v>
      </c>
      <c r="E30" s="7" t="n">
        <v>19.4</v>
      </c>
      <c r="F30" s="7" t="n">
        <v>22.5</v>
      </c>
      <c r="G30" s="7" t="n">
        <v>25</v>
      </c>
      <c r="H30" s="7" t="n">
        <v>27.6</v>
      </c>
      <c r="I30" s="7" t="n">
        <v>48.4</v>
      </c>
      <c r="J30" s="7" t="n">
        <v>59</v>
      </c>
      <c r="K30" s="7" t="n">
        <v>75.40000000000001</v>
      </c>
    </row>
    <row r="31">
      <c r="A31" s="6" t="n">
        <v>1999</v>
      </c>
      <c r="B31" s="7" t="n">
        <v>11.4</v>
      </c>
      <c r="C31" s="7" t="n">
        <v>17</v>
      </c>
      <c r="D31" s="7" t="n">
        <v>18.6</v>
      </c>
      <c r="E31" s="7" t="n">
        <v>20.4</v>
      </c>
      <c r="F31" s="7" t="n">
        <v>21.2</v>
      </c>
      <c r="G31" s="7" t="n">
        <v>22</v>
      </c>
      <c r="H31" s="7" t="n">
        <v>30</v>
      </c>
      <c r="I31" s="7" t="n">
        <v>31.5</v>
      </c>
      <c r="J31" s="7" t="n">
        <v>38.8</v>
      </c>
      <c r="K31" s="7" t="n">
        <v>47.5</v>
      </c>
    </row>
    <row r="32">
      <c r="A32" s="6" t="n">
        <v>2000</v>
      </c>
      <c r="B32" s="8" t="n">
        <v>2</v>
      </c>
      <c r="C32" s="8" t="n">
        <v>3.8</v>
      </c>
      <c r="D32" s="8" t="n">
        <v>5.5</v>
      </c>
      <c r="E32" s="8" t="n">
        <v>8.800000000000001</v>
      </c>
      <c r="F32" s="8" t="n">
        <v>13.7</v>
      </c>
      <c r="G32" s="8" t="n">
        <v>14.7</v>
      </c>
      <c r="H32" s="8" t="n">
        <v>14.9</v>
      </c>
      <c r="I32" s="8" t="n">
        <v>14.9</v>
      </c>
      <c r="J32" s="8" t="n">
        <v>15</v>
      </c>
      <c r="K32" s="8" t="n">
        <v>25.4</v>
      </c>
    </row>
    <row r="33">
      <c r="A33" s="6" t="n">
        <v>2001</v>
      </c>
      <c r="B33" s="8" t="n">
        <v>6.5</v>
      </c>
      <c r="C33" s="8" t="n">
        <v>11.4</v>
      </c>
      <c r="D33" s="8" t="n">
        <v>14.6</v>
      </c>
      <c r="E33" s="8" t="n">
        <v>21.4</v>
      </c>
      <c r="F33" s="8" t="n">
        <v>26.8</v>
      </c>
      <c r="G33" s="8" t="n">
        <v>31.9</v>
      </c>
      <c r="H33" s="8" t="n">
        <v>41</v>
      </c>
      <c r="I33" s="8" t="n">
        <v>44.1</v>
      </c>
      <c r="J33" s="8" t="n">
        <v>44.3</v>
      </c>
      <c r="K33" s="8" t="n">
        <v>44.6</v>
      </c>
    </row>
    <row r="34">
      <c r="A34" s="6" t="n">
        <v>2002</v>
      </c>
      <c r="B34" s="8" t="n">
        <v>4.4</v>
      </c>
      <c r="C34" s="8" t="n">
        <v>7.9</v>
      </c>
      <c r="D34" s="8" t="n">
        <v>10.4</v>
      </c>
      <c r="E34" s="8" t="n">
        <v>14.6</v>
      </c>
      <c r="F34" s="8" t="n">
        <v>18.8</v>
      </c>
      <c r="G34" s="8" t="n">
        <v>20.4</v>
      </c>
      <c r="H34" s="8" t="n">
        <v>20.4</v>
      </c>
      <c r="I34" s="8" t="n">
        <v>20.5</v>
      </c>
      <c r="J34" s="8" t="n">
        <v>20.6</v>
      </c>
      <c r="K34" s="8" t="n">
        <v>25.3</v>
      </c>
    </row>
    <row r="35">
      <c r="A35" s="6" t="n">
        <v>2003</v>
      </c>
      <c r="B35" s="8" t="n">
        <v>3.4</v>
      </c>
      <c r="C35" s="8" t="n">
        <v>5.5</v>
      </c>
      <c r="D35" s="8" t="n">
        <v>7.6</v>
      </c>
      <c r="E35" s="8" t="n">
        <v>10.9</v>
      </c>
      <c r="F35" s="8" t="n">
        <v>20.7</v>
      </c>
      <c r="G35" s="8" t="n">
        <v>22.8</v>
      </c>
      <c r="H35" s="8" t="n">
        <v>22.8</v>
      </c>
      <c r="I35" s="8" t="n">
        <v>22.8</v>
      </c>
      <c r="J35" s="8" t="n">
        <v>23</v>
      </c>
      <c r="K35" s="8" t="n">
        <v>23.9</v>
      </c>
    </row>
    <row r="36">
      <c r="A36" s="6" t="n">
        <v>2004</v>
      </c>
      <c r="B36" s="7" t="n">
        <v>6.2</v>
      </c>
      <c r="C36" s="7" t="n">
        <v>12</v>
      </c>
      <c r="D36" s="7" t="n">
        <v>15.4</v>
      </c>
      <c r="E36" s="7" t="n">
        <v>22.2</v>
      </c>
      <c r="F36" s="7" t="n">
        <v>29.4</v>
      </c>
      <c r="G36" s="7" t="n">
        <v>43.3</v>
      </c>
      <c r="H36" s="7" t="n">
        <v>46.9</v>
      </c>
      <c r="I36" s="7" t="n">
        <v>55.3</v>
      </c>
      <c r="J36" s="7" t="n">
        <v>59.1</v>
      </c>
      <c r="K36" s="7" t="n">
        <v>62.2</v>
      </c>
    </row>
    <row r="37">
      <c r="A37" s="6" t="n">
        <v>2005</v>
      </c>
      <c r="B37" s="7" t="n">
        <v>7.4</v>
      </c>
      <c r="C37" s="7" t="n">
        <v>11.8</v>
      </c>
      <c r="D37" s="7" t="n">
        <v>12.2</v>
      </c>
      <c r="E37" s="7" t="n">
        <v>15.6</v>
      </c>
      <c r="F37" s="7" t="n">
        <v>22.1</v>
      </c>
      <c r="G37" s="7" t="n">
        <v>22.9</v>
      </c>
      <c r="H37" s="7" t="n">
        <v>27.2</v>
      </c>
      <c r="I37" s="7" t="n">
        <v>31.2</v>
      </c>
      <c r="J37" s="7" t="n">
        <v>33.7</v>
      </c>
      <c r="K37" s="7" t="n">
        <v>41.9</v>
      </c>
    </row>
    <row r="38">
      <c r="A38" s="6" t="n">
        <v>2006</v>
      </c>
      <c r="B38" s="7" t="n">
        <v>4.2</v>
      </c>
      <c r="C38" s="7" t="n">
        <v>7.4</v>
      </c>
      <c r="D38" s="7" t="n">
        <v>8.800000000000001</v>
      </c>
      <c r="E38" s="8" t="n">
        <v>9.800000000000001</v>
      </c>
      <c r="F38" s="8" t="n">
        <v>14.5</v>
      </c>
      <c r="G38" s="8" t="n">
        <v>19.6</v>
      </c>
      <c r="H38" s="8" t="n">
        <v>21.7</v>
      </c>
      <c r="I38" s="8" t="n">
        <v>25.5</v>
      </c>
      <c r="J38" s="8" t="n">
        <v>26.8</v>
      </c>
      <c r="K38" s="8" t="n">
        <v>32.5</v>
      </c>
    </row>
    <row r="39">
      <c r="A39" s="6" t="n">
        <v>2007</v>
      </c>
      <c r="B39" s="7" t="n">
        <v>9.4</v>
      </c>
      <c r="C39" s="7" t="n">
        <v>16</v>
      </c>
      <c r="D39" s="7" t="n">
        <v>23.2</v>
      </c>
      <c r="E39" s="7" t="n">
        <v>41.4</v>
      </c>
      <c r="F39" s="7" t="n">
        <v>74</v>
      </c>
      <c r="G39" s="7" t="n">
        <v>137.6</v>
      </c>
      <c r="H39" s="7" t="n">
        <v>192</v>
      </c>
      <c r="I39" s="7" t="n">
        <v>376</v>
      </c>
      <c r="J39" s="7" t="n">
        <v>573</v>
      </c>
      <c r="K39" s="7" t="n">
        <v>628.4</v>
      </c>
    </row>
    <row r="40">
      <c r="A40" s="6" t="n">
        <v>2008</v>
      </c>
      <c r="B40" s="8" t="n">
        <v>1</v>
      </c>
      <c r="C40" s="8" t="n">
        <v>1.8</v>
      </c>
      <c r="D40" s="8" t="n">
        <v>2.4</v>
      </c>
      <c r="E40" s="8" t="n">
        <v>3.5</v>
      </c>
      <c r="F40" s="8" t="n">
        <v>3.5</v>
      </c>
      <c r="G40" s="8" t="n">
        <v>3.5</v>
      </c>
      <c r="H40" s="8" t="n">
        <v>3.6</v>
      </c>
      <c r="I40" s="8" t="n">
        <v>3.6</v>
      </c>
      <c r="J40" s="8" t="n">
        <v>3.6</v>
      </c>
      <c r="K40" s="8" t="n">
        <v>3.6</v>
      </c>
    </row>
    <row r="41">
      <c r="A41" s="6" t="n">
        <v>2009</v>
      </c>
      <c r="B41" s="7" t="n">
        <v>6.8</v>
      </c>
      <c r="C41" s="7" t="n">
        <v>13.2</v>
      </c>
      <c r="D41" s="7" t="n">
        <v>14.2</v>
      </c>
      <c r="E41" s="7" t="n">
        <v>14.7</v>
      </c>
      <c r="F41" s="7" t="n">
        <v>19</v>
      </c>
      <c r="G41" s="7" t="n">
        <v>20.2</v>
      </c>
      <c r="H41" s="7" t="n">
        <v>20.4</v>
      </c>
      <c r="I41" s="7" t="n">
        <v>20.4</v>
      </c>
      <c r="J41" s="7" t="n">
        <v>21.4</v>
      </c>
      <c r="K41" s="7" t="n">
        <v>25</v>
      </c>
    </row>
    <row r="42">
      <c r="A42" s="6" t="n">
        <v>2010</v>
      </c>
      <c r="B42" s="7" t="n">
        <v>6</v>
      </c>
      <c r="C42" s="7" t="n">
        <v>9</v>
      </c>
      <c r="D42" s="7" t="n">
        <v>10.4</v>
      </c>
      <c r="E42" s="7" t="n">
        <v>19.2</v>
      </c>
      <c r="F42" s="7" t="n">
        <v>35.6</v>
      </c>
      <c r="G42" s="7" t="n">
        <v>58.4</v>
      </c>
      <c r="H42" s="7" t="n">
        <v>78.2</v>
      </c>
      <c r="I42" s="7" t="n">
        <v>102</v>
      </c>
      <c r="J42" s="7" t="n">
        <v>117.5</v>
      </c>
      <c r="K42" s="7" t="n">
        <v>217.6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Y7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</cols>
  <sheetData>
    <row r="1">
      <c r="A1" s="1" t="inlineStr">
        <is>
          <t>Gauge 57  |  FL740974AF  |  Wadi Tayyin near Bayyad</t>
        </is>
      </c>
    </row>
    <row r="3">
      <c r="A3" s="2" t="inlineStr">
        <is>
          <t>AMS BEFORE gap filling (observed only, mm)</t>
        </is>
      </c>
      <c r="M3" s="3" t="inlineStr">
        <is>
          <t>IDF - design rainfall DEPTH (mm)</t>
        </is>
      </c>
    </row>
    <row r="4">
      <c r="A4" s="4" t="inlineStr">
        <is>
          <t>Water year</t>
        </is>
      </c>
      <c r="B4" s="5" t="inlineStr">
        <is>
          <t>5min</t>
        </is>
      </c>
      <c r="C4" s="5" t="inlineStr">
        <is>
          <t>10min</t>
        </is>
      </c>
      <c r="D4" s="5" t="inlineStr">
        <is>
          <t>15min</t>
        </is>
      </c>
      <c r="E4" s="5" t="inlineStr">
        <is>
          <t>30min</t>
        </is>
      </c>
      <c r="F4" s="5" t="inlineStr">
        <is>
          <t>1h</t>
        </is>
      </c>
      <c r="G4" s="5" t="inlineStr">
        <is>
          <t>2h</t>
        </is>
      </c>
      <c r="H4" s="5" t="inlineStr">
        <is>
          <t>3h</t>
        </is>
      </c>
      <c r="I4" s="5" t="inlineStr">
        <is>
          <t>6h</t>
        </is>
      </c>
      <c r="J4" s="5" t="inlineStr">
        <is>
          <t>12h</t>
        </is>
      </c>
      <c r="K4" s="5" t="inlineStr">
        <is>
          <t>24h</t>
        </is>
      </c>
      <c r="M4" s="4" t="inlineStr">
        <is>
          <t>Duration \ RP</t>
        </is>
      </c>
      <c r="N4" s="4" t="n">
        <v>2</v>
      </c>
      <c r="O4" s="4" t="n">
        <v>5</v>
      </c>
      <c r="P4" s="4" t="n">
        <v>10</v>
      </c>
      <c r="Q4" s="4" t="n">
        <v>25</v>
      </c>
      <c r="R4" s="4" t="n">
        <v>50</v>
      </c>
      <c r="S4" s="4" t="n">
        <v>100</v>
      </c>
      <c r="T4" s="4" t="n">
        <v>200</v>
      </c>
      <c r="U4" s="4" t="n">
        <v>500</v>
      </c>
      <c r="V4" s="4" t="n">
        <v>1000</v>
      </c>
      <c r="W4" s="4" t="n">
        <v>2000</v>
      </c>
      <c r="X4" s="4" t="n">
        <v>5000</v>
      </c>
      <c r="Y4" s="4" t="n">
        <v>10000</v>
      </c>
    </row>
    <row r="5">
      <c r="A5" s="6" t="n">
        <v>1987</v>
      </c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>
        <v>60</v>
      </c>
      <c r="M5" s="6" t="inlineStr">
        <is>
          <t>5min</t>
        </is>
      </c>
      <c r="N5" s="6" t="n">
        <v>5.6</v>
      </c>
      <c r="O5" s="6" t="n">
        <v>8.5</v>
      </c>
      <c r="P5" s="6" t="n">
        <v>10.5</v>
      </c>
      <c r="Q5" s="6" t="n">
        <v>13.1</v>
      </c>
      <c r="R5" s="6" t="n">
        <v>15</v>
      </c>
      <c r="S5" s="6" t="n">
        <v>17.1</v>
      </c>
      <c r="T5" s="6" t="n">
        <v>19.1</v>
      </c>
      <c r="U5" s="6" t="n">
        <v>21.9</v>
      </c>
      <c r="V5" s="6" t="n">
        <v>24.1</v>
      </c>
      <c r="W5" s="6" t="n">
        <v>26.3</v>
      </c>
      <c r="X5" s="6" t="n">
        <v>29.4</v>
      </c>
      <c r="Y5" s="6" t="n">
        <v>31.7</v>
      </c>
    </row>
    <row r="6">
      <c r="A6" s="6" t="n">
        <v>1988</v>
      </c>
      <c r="B6" s="7" t="n"/>
      <c r="C6" s="7" t="n"/>
      <c r="D6" s="7" t="n"/>
      <c r="E6" s="7" t="n"/>
      <c r="F6" s="7" t="n"/>
      <c r="G6" s="7" t="n"/>
      <c r="H6" s="7" t="n"/>
      <c r="I6" s="7" t="n"/>
      <c r="J6" s="7" t="n"/>
      <c r="K6" s="7" t="n">
        <v>19.5</v>
      </c>
      <c r="M6" s="6" t="inlineStr">
        <is>
          <t>10min</t>
        </is>
      </c>
      <c r="N6" s="6" t="n">
        <v>9.1</v>
      </c>
      <c r="O6" s="6" t="n">
        <v>13.9</v>
      </c>
      <c r="P6" s="6" t="n">
        <v>17.2</v>
      </c>
      <c r="Q6" s="6" t="n">
        <v>21.5</v>
      </c>
      <c r="R6" s="6" t="n">
        <v>24.9</v>
      </c>
      <c r="S6" s="6" t="n">
        <v>28.2</v>
      </c>
      <c r="T6" s="6" t="n">
        <v>31.7</v>
      </c>
      <c r="U6" s="6" t="n">
        <v>36.4</v>
      </c>
      <c r="V6" s="6" t="n">
        <v>40.1</v>
      </c>
      <c r="W6" s="6" t="n">
        <v>43.9</v>
      </c>
      <c r="X6" s="6" t="n">
        <v>49.1</v>
      </c>
      <c r="Y6" s="6" t="n">
        <v>53.2</v>
      </c>
    </row>
    <row r="7">
      <c r="A7" s="6" t="n">
        <v>1989</v>
      </c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>
        <v>6.5</v>
      </c>
      <c r="M7" s="6" t="inlineStr">
        <is>
          <t>15min</t>
        </is>
      </c>
      <c r="N7" s="6" t="n">
        <v>11.5</v>
      </c>
      <c r="O7" s="6" t="n">
        <v>17.8</v>
      </c>
      <c r="P7" s="6" t="n">
        <v>22.2</v>
      </c>
      <c r="Q7" s="6" t="n">
        <v>27.9</v>
      </c>
      <c r="R7" s="6" t="n">
        <v>32.4</v>
      </c>
      <c r="S7" s="6" t="n">
        <v>36.9</v>
      </c>
      <c r="T7" s="6" t="n">
        <v>41.6</v>
      </c>
      <c r="U7" s="6" t="n">
        <v>48</v>
      </c>
      <c r="V7" s="6" t="n">
        <v>53.1</v>
      </c>
      <c r="W7" s="6" t="n">
        <v>58.3</v>
      </c>
      <c r="X7" s="6" t="n">
        <v>65.5</v>
      </c>
      <c r="Y7" s="6" t="n">
        <v>71.2</v>
      </c>
    </row>
    <row r="8">
      <c r="A8" s="6" t="n">
        <v>1990</v>
      </c>
      <c r="B8" s="7" t="n"/>
      <c r="C8" s="7" t="n"/>
      <c r="D8" s="7" t="n"/>
      <c r="E8" s="7" t="n"/>
      <c r="F8" s="7" t="n"/>
      <c r="G8" s="7" t="n"/>
      <c r="H8" s="7" t="n"/>
      <c r="I8" s="7" t="n"/>
      <c r="J8" s="7" t="n"/>
      <c r="K8" s="7" t="n">
        <v>39</v>
      </c>
      <c r="M8" s="6" t="inlineStr">
        <is>
          <t>30min</t>
        </is>
      </c>
      <c r="N8" s="6" t="n">
        <v>15.9</v>
      </c>
      <c r="O8" s="6" t="n">
        <v>25.1</v>
      </c>
      <c r="P8" s="6" t="n">
        <v>31.4</v>
      </c>
      <c r="Q8" s="6" t="n">
        <v>39.8</v>
      </c>
      <c r="R8" s="6" t="n">
        <v>46.3</v>
      </c>
      <c r="S8" s="6" t="n">
        <v>53</v>
      </c>
      <c r="T8" s="6" t="n">
        <v>59.8</v>
      </c>
      <c r="U8" s="6" t="n">
        <v>69.3</v>
      </c>
      <c r="V8" s="6" t="n">
        <v>76.8</v>
      </c>
      <c r="W8" s="6" t="n">
        <v>84.5</v>
      </c>
      <c r="X8" s="6" t="n">
        <v>95.09999999999999</v>
      </c>
      <c r="Y8" s="6" t="n">
        <v>103.5</v>
      </c>
    </row>
    <row r="9">
      <c r="A9" s="6" t="n">
        <v>1991</v>
      </c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>
        <v>7</v>
      </c>
      <c r="M9" s="6" t="inlineStr">
        <is>
          <t>1h</t>
        </is>
      </c>
      <c r="N9" s="6" t="n">
        <v>19.8</v>
      </c>
      <c r="O9" s="6" t="n">
        <v>31.6</v>
      </c>
      <c r="P9" s="6" t="n">
        <v>40</v>
      </c>
      <c r="Q9" s="6" t="n">
        <v>51.2</v>
      </c>
      <c r="R9" s="6" t="n">
        <v>60.1</v>
      </c>
      <c r="S9" s="6" t="n">
        <v>69.40000000000001</v>
      </c>
      <c r="T9" s="6" t="n">
        <v>79.09999999999999</v>
      </c>
      <c r="U9" s="6" t="n">
        <v>92.8</v>
      </c>
      <c r="V9" s="6" t="n">
        <v>103.7</v>
      </c>
      <c r="W9" s="6" t="n">
        <v>115.3</v>
      </c>
      <c r="X9" s="6" t="n">
        <v>131.4</v>
      </c>
      <c r="Y9" s="6" t="n">
        <v>144.4</v>
      </c>
    </row>
    <row r="10">
      <c r="A10" s="6" t="n">
        <v>1992</v>
      </c>
      <c r="B10" s="7" t="n"/>
      <c r="C10" s="7" t="n"/>
      <c r="D10" s="7" t="n"/>
      <c r="E10" s="7" t="n"/>
      <c r="F10" s="7" t="n"/>
      <c r="G10" s="7" t="n"/>
      <c r="H10" s="7" t="n"/>
      <c r="I10" s="7" t="n"/>
      <c r="J10" s="7" t="n"/>
      <c r="K10" s="7" t="n">
        <v>62</v>
      </c>
      <c r="M10" s="6" t="inlineStr">
        <is>
          <t>2h</t>
        </is>
      </c>
      <c r="N10" s="6" t="n">
        <v>22.9</v>
      </c>
      <c r="O10" s="6" t="n">
        <v>37.7</v>
      </c>
      <c r="P10" s="6" t="n">
        <v>48.8</v>
      </c>
      <c r="Q10" s="6" t="n">
        <v>64.40000000000001</v>
      </c>
      <c r="R10" s="6" t="n">
        <v>77.3</v>
      </c>
      <c r="S10" s="6" t="n">
        <v>91.40000000000001</v>
      </c>
      <c r="T10" s="6" t="n">
        <v>106.7</v>
      </c>
      <c r="U10" s="6" t="n">
        <v>129.1</v>
      </c>
      <c r="V10" s="6" t="n">
        <v>147.9</v>
      </c>
      <c r="W10" s="6" t="n">
        <v>168.5</v>
      </c>
      <c r="X10" s="6" t="n">
        <v>198.7</v>
      </c>
      <c r="Y10" s="6" t="n">
        <v>224</v>
      </c>
    </row>
    <row r="11">
      <c r="A11" s="6" t="n">
        <v>1993</v>
      </c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M11" s="6" t="inlineStr">
        <is>
          <t>3h</t>
        </is>
      </c>
      <c r="N11" s="6" t="n">
        <v>24.4</v>
      </c>
      <c r="O11" s="6" t="n">
        <v>41.3</v>
      </c>
      <c r="P11" s="6" t="n">
        <v>54.6</v>
      </c>
      <c r="Q11" s="6" t="n">
        <v>74.40000000000001</v>
      </c>
      <c r="R11" s="6" t="n">
        <v>91.59999999999999</v>
      </c>
      <c r="S11" s="6" t="n">
        <v>111.2</v>
      </c>
      <c r="T11" s="6" t="n">
        <v>133.3</v>
      </c>
      <c r="U11" s="6" t="n">
        <v>167.5</v>
      </c>
      <c r="V11" s="6" t="n">
        <v>197.5</v>
      </c>
      <c r="W11" s="6" t="n">
        <v>231.8</v>
      </c>
      <c r="X11" s="6" t="n">
        <v>284.7</v>
      </c>
      <c r="Y11" s="6" t="n">
        <v>331.2</v>
      </c>
    </row>
    <row r="12">
      <c r="A12" s="6" t="n">
        <v>1994</v>
      </c>
      <c r="B12" s="7" t="n"/>
      <c r="C12" s="7" t="n"/>
      <c r="D12" s="7" t="n"/>
      <c r="E12" s="7" t="n"/>
      <c r="F12" s="7" t="n">
        <v>3</v>
      </c>
      <c r="G12" s="7" t="n">
        <v>6</v>
      </c>
      <c r="H12" s="7" t="n">
        <v>6.5</v>
      </c>
      <c r="I12" s="7" t="n">
        <v>7.7</v>
      </c>
      <c r="J12" s="7" t="n">
        <v>9.1</v>
      </c>
      <c r="K12" s="7" t="n">
        <v>10.1</v>
      </c>
      <c r="M12" s="6" t="inlineStr">
        <is>
          <t>6h</t>
        </is>
      </c>
      <c r="N12" s="6" t="n">
        <v>27.2</v>
      </c>
      <c r="O12" s="6" t="n">
        <v>48</v>
      </c>
      <c r="P12" s="6" t="n">
        <v>65.3</v>
      </c>
      <c r="Q12" s="6" t="n">
        <v>92.40000000000001</v>
      </c>
      <c r="R12" s="6" t="n">
        <v>117.1</v>
      </c>
      <c r="S12" s="6" t="n">
        <v>146.2</v>
      </c>
      <c r="T12" s="6" t="n">
        <v>180.8</v>
      </c>
      <c r="U12" s="6" t="n">
        <v>236.6</v>
      </c>
      <c r="V12" s="6" t="n">
        <v>288.1</v>
      </c>
      <c r="W12" s="6" t="n">
        <v>349.4</v>
      </c>
      <c r="X12" s="6" t="n">
        <v>448.3</v>
      </c>
      <c r="Y12" s="6" t="n">
        <v>539.7</v>
      </c>
    </row>
    <row r="13">
      <c r="A13" s="6" t="n">
        <v>1995</v>
      </c>
      <c r="B13" s="7" t="n"/>
      <c r="C13" s="7" t="n"/>
      <c r="D13" s="7" t="n"/>
      <c r="E13" s="7" t="n"/>
      <c r="F13" s="7" t="n">
        <v>5.5</v>
      </c>
      <c r="G13" s="7" t="n">
        <v>8</v>
      </c>
      <c r="H13" s="7" t="n">
        <v>11</v>
      </c>
      <c r="I13" s="7" t="n">
        <v>14.5</v>
      </c>
      <c r="J13" s="7" t="n">
        <v>17</v>
      </c>
      <c r="K13" s="7" t="n">
        <v>28.5</v>
      </c>
      <c r="M13" s="6" t="inlineStr">
        <is>
          <t>12h</t>
        </is>
      </c>
      <c r="N13" s="6" t="n">
        <v>29.9</v>
      </c>
      <c r="O13" s="6" t="n">
        <v>54.8</v>
      </c>
      <c r="P13" s="6" t="n">
        <v>76.7</v>
      </c>
      <c r="Q13" s="6" t="n">
        <v>112.4</v>
      </c>
      <c r="R13" s="6" t="n">
        <v>146.4</v>
      </c>
      <c r="S13" s="6" t="n">
        <v>188.1</v>
      </c>
      <c r="T13" s="6" t="n">
        <v>239.4</v>
      </c>
      <c r="U13" s="6" t="n">
        <v>325.8</v>
      </c>
      <c r="V13" s="6" t="n">
        <v>409</v>
      </c>
      <c r="W13" s="6" t="n">
        <v>511.6</v>
      </c>
      <c r="X13" s="6" t="n">
        <v>684.7</v>
      </c>
      <c r="Y13" s="6" t="n">
        <v>851.5</v>
      </c>
    </row>
    <row r="14">
      <c r="A14" s="6" t="n">
        <v>1996</v>
      </c>
      <c r="B14" s="7" t="n"/>
      <c r="C14" s="7" t="n"/>
      <c r="D14" s="7" t="n"/>
      <c r="E14" s="7" t="n"/>
      <c r="F14" s="7" t="n">
        <v>7.3</v>
      </c>
      <c r="G14" s="7" t="n">
        <v>14.7</v>
      </c>
      <c r="H14" s="7" t="n">
        <v>22</v>
      </c>
      <c r="I14" s="7" t="n">
        <v>39</v>
      </c>
      <c r="J14" s="7" t="n">
        <v>70</v>
      </c>
      <c r="K14" s="7" t="n">
        <v>89.90000000000001</v>
      </c>
      <c r="M14" s="6" t="inlineStr">
        <is>
          <t>24h</t>
        </is>
      </c>
      <c r="N14" s="6" t="n">
        <v>35.3</v>
      </c>
      <c r="O14" s="6" t="n">
        <v>64.90000000000001</v>
      </c>
      <c r="P14" s="6" t="n">
        <v>90.09999999999999</v>
      </c>
      <c r="Q14" s="6" t="n">
        <v>130.1</v>
      </c>
      <c r="R14" s="6" t="n">
        <v>167.2</v>
      </c>
      <c r="S14" s="6" t="n">
        <v>211.7</v>
      </c>
      <c r="T14" s="6" t="n">
        <v>265.1</v>
      </c>
      <c r="U14" s="6" t="n">
        <v>352.7</v>
      </c>
      <c r="V14" s="6" t="n">
        <v>434.9</v>
      </c>
      <c r="W14" s="6" t="n">
        <v>534</v>
      </c>
      <c r="X14" s="6" t="n">
        <v>696.8</v>
      </c>
      <c r="Y14" s="6" t="n">
        <v>851.5</v>
      </c>
    </row>
    <row r="15">
      <c r="A15" s="6" t="n">
        <v>1997</v>
      </c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>
        <v>2</v>
      </c>
    </row>
    <row r="16">
      <c r="A16" s="6" t="n">
        <v>1998</v>
      </c>
      <c r="B16" s="7" t="n"/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  <c r="M16" s="3" t="inlineStr">
        <is>
          <t>IDF - intensity (mm/hr) [x=duration(min)]</t>
        </is>
      </c>
    </row>
    <row r="17">
      <c r="A17" s="6" t="n">
        <v>1999</v>
      </c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M17" t="inlineStr">
        <is>
          <t>Duration(min)</t>
        </is>
      </c>
      <c r="N17" t="inlineStr">
        <is>
          <t>2 yr</t>
        </is>
      </c>
      <c r="O17" t="inlineStr">
        <is>
          <t>5 yr</t>
        </is>
      </c>
      <c r="P17" t="inlineStr">
        <is>
          <t>10 yr</t>
        </is>
      </c>
      <c r="Q17" t="inlineStr">
        <is>
          <t>25 yr</t>
        </is>
      </c>
      <c r="R17" t="inlineStr">
        <is>
          <t>50 yr</t>
        </is>
      </c>
      <c r="S17" t="inlineStr">
        <is>
          <t>100 yr</t>
        </is>
      </c>
      <c r="T17" t="inlineStr">
        <is>
          <t>200 yr</t>
        </is>
      </c>
      <c r="U17" t="inlineStr">
        <is>
          <t>500 yr</t>
        </is>
      </c>
      <c r="V17" t="inlineStr">
        <is>
          <t>1000 yr</t>
        </is>
      </c>
      <c r="W17" t="inlineStr">
        <is>
          <t>2000 yr</t>
        </is>
      </c>
      <c r="X17" t="inlineStr">
        <is>
          <t>5000 yr</t>
        </is>
      </c>
      <c r="Y17" t="inlineStr">
        <is>
          <t>10000 yr</t>
        </is>
      </c>
    </row>
    <row r="18">
      <c r="A18" s="6" t="n">
        <v>2000</v>
      </c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  <c r="K18" s="7" t="n"/>
      <c r="M18" t="n">
        <v>5</v>
      </c>
      <c r="N18" t="n">
        <v>66.59999999999999</v>
      </c>
      <c r="O18" t="n">
        <v>101.6</v>
      </c>
      <c r="P18" t="n">
        <v>125.5</v>
      </c>
      <c r="Q18" t="n">
        <v>156.7</v>
      </c>
      <c r="R18" t="n">
        <v>180.5</v>
      </c>
      <c r="S18" t="n">
        <v>204.7</v>
      </c>
      <c r="T18" t="n">
        <v>229.5</v>
      </c>
      <c r="U18" t="n">
        <v>263.1</v>
      </c>
      <c r="V18" t="n">
        <v>289.2</v>
      </c>
      <c r="W18" t="n">
        <v>316</v>
      </c>
      <c r="X18" t="n">
        <v>352.5</v>
      </c>
      <c r="Y18" t="n">
        <v>380.9</v>
      </c>
    </row>
    <row r="19">
      <c r="A19" s="6" t="n">
        <v>2001</v>
      </c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M19" t="n">
        <v>10</v>
      </c>
      <c r="N19" t="n">
        <v>54.6</v>
      </c>
      <c r="O19" t="n">
        <v>83.40000000000001</v>
      </c>
      <c r="P19" t="n">
        <v>103.3</v>
      </c>
      <c r="Q19" t="n">
        <v>129.2</v>
      </c>
      <c r="R19" t="n">
        <v>149.1</v>
      </c>
      <c r="S19" t="n">
        <v>169.5</v>
      </c>
      <c r="T19" t="n">
        <v>190.3</v>
      </c>
      <c r="U19" t="n">
        <v>218.7</v>
      </c>
      <c r="V19" t="n">
        <v>240.9</v>
      </c>
      <c r="W19" t="n">
        <v>263.6</v>
      </c>
      <c r="X19" t="n">
        <v>294.8</v>
      </c>
      <c r="Y19" t="n">
        <v>319.1</v>
      </c>
    </row>
    <row r="20">
      <c r="A20" s="6" t="n">
        <v>2002</v>
      </c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M20" t="n">
        <v>15</v>
      </c>
      <c r="N20" t="n">
        <v>46.1</v>
      </c>
      <c r="O20" t="n">
        <v>71.3</v>
      </c>
      <c r="P20" t="n">
        <v>88.7</v>
      </c>
      <c r="Q20" t="n">
        <v>111.7</v>
      </c>
      <c r="R20" t="n">
        <v>129.4</v>
      </c>
      <c r="S20" t="n">
        <v>147.6</v>
      </c>
      <c r="T20" t="n">
        <v>166.4</v>
      </c>
      <c r="U20" t="n">
        <v>192.2</v>
      </c>
      <c r="V20" t="n">
        <v>212.4</v>
      </c>
      <c r="W20" t="n">
        <v>233.3</v>
      </c>
      <c r="X20" t="n">
        <v>262.1</v>
      </c>
      <c r="Y20" t="n">
        <v>284.7</v>
      </c>
    </row>
    <row r="21">
      <c r="A21" s="6" t="n">
        <v>2003</v>
      </c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M21" t="n">
        <v>30</v>
      </c>
      <c r="N21" t="n">
        <v>31.8</v>
      </c>
      <c r="O21" t="n">
        <v>50.1</v>
      </c>
      <c r="P21" t="n">
        <v>62.8</v>
      </c>
      <c r="Q21" t="n">
        <v>79.59999999999999</v>
      </c>
      <c r="R21" t="n">
        <v>92.59999999999999</v>
      </c>
      <c r="S21" t="n">
        <v>105.9</v>
      </c>
      <c r="T21" t="n">
        <v>119.7</v>
      </c>
      <c r="U21" t="n">
        <v>138.6</v>
      </c>
      <c r="V21" t="n">
        <v>153.6</v>
      </c>
      <c r="W21" t="n">
        <v>169</v>
      </c>
      <c r="X21" t="n">
        <v>190.3</v>
      </c>
      <c r="Y21" t="n">
        <v>207</v>
      </c>
    </row>
    <row r="22">
      <c r="A22" s="6" t="n">
        <v>2004</v>
      </c>
      <c r="B22" s="7" t="n"/>
      <c r="C22" s="7" t="n"/>
      <c r="D22" s="7" t="n"/>
      <c r="E22" s="7" t="n"/>
      <c r="F22" s="7" t="n"/>
      <c r="G22" s="7" t="n"/>
      <c r="H22" s="7" t="n"/>
      <c r="I22" s="7" t="n"/>
      <c r="J22" s="7" t="n"/>
      <c r="K22" s="7" t="n"/>
      <c r="M22" t="n">
        <v>60</v>
      </c>
      <c r="N22" t="n">
        <v>19.8</v>
      </c>
      <c r="O22" t="n">
        <v>31.6</v>
      </c>
      <c r="P22" t="n">
        <v>40</v>
      </c>
      <c r="Q22" t="n">
        <v>51.2</v>
      </c>
      <c r="R22" t="n">
        <v>60.1</v>
      </c>
      <c r="S22" t="n">
        <v>69.40000000000001</v>
      </c>
      <c r="T22" t="n">
        <v>79.09999999999999</v>
      </c>
      <c r="U22" t="n">
        <v>92.8</v>
      </c>
      <c r="V22" t="n">
        <v>103.7</v>
      </c>
      <c r="W22" t="n">
        <v>115.3</v>
      </c>
      <c r="X22" t="n">
        <v>131.4</v>
      </c>
      <c r="Y22" t="n">
        <v>144.4</v>
      </c>
    </row>
    <row r="23">
      <c r="A23" s="6" t="n">
        <v>2005</v>
      </c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  <c r="M23" t="n">
        <v>120</v>
      </c>
      <c r="N23" t="n">
        <v>11.5</v>
      </c>
      <c r="O23" t="n">
        <v>18.9</v>
      </c>
      <c r="P23" t="n">
        <v>24.4</v>
      </c>
      <c r="Q23" t="n">
        <v>32.2</v>
      </c>
      <c r="R23" t="n">
        <v>38.7</v>
      </c>
      <c r="S23" t="n">
        <v>45.7</v>
      </c>
      <c r="T23" t="n">
        <v>53.3</v>
      </c>
      <c r="U23" t="n">
        <v>64.5</v>
      </c>
      <c r="V23" t="n">
        <v>73.90000000000001</v>
      </c>
      <c r="W23" t="n">
        <v>84.2</v>
      </c>
      <c r="X23" t="n">
        <v>99.3</v>
      </c>
      <c r="Y23" t="n">
        <v>112</v>
      </c>
    </row>
    <row r="24">
      <c r="A24" s="6" t="n">
        <v>2006</v>
      </c>
      <c r="B24" s="7" t="n"/>
      <c r="C24" s="7" t="n"/>
      <c r="D24" s="7" t="n"/>
      <c r="E24" s="7" t="n"/>
      <c r="F24" s="7" t="n"/>
      <c r="G24" s="7" t="n"/>
      <c r="H24" s="7" t="n"/>
      <c r="I24" s="7" t="n"/>
      <c r="J24" s="7" t="n"/>
      <c r="K24" s="7" t="n"/>
      <c r="M24" t="n">
        <v>180</v>
      </c>
      <c r="N24" t="n">
        <v>8.1</v>
      </c>
      <c r="O24" t="n">
        <v>13.8</v>
      </c>
      <c r="P24" t="n">
        <v>18.2</v>
      </c>
      <c r="Q24" t="n">
        <v>24.8</v>
      </c>
      <c r="R24" t="n">
        <v>30.5</v>
      </c>
      <c r="S24" t="n">
        <v>37.1</v>
      </c>
      <c r="T24" t="n">
        <v>44.4</v>
      </c>
      <c r="U24" t="n">
        <v>55.8</v>
      </c>
      <c r="V24" t="n">
        <v>65.8</v>
      </c>
      <c r="W24" t="n">
        <v>77.3</v>
      </c>
      <c r="X24" t="n">
        <v>94.90000000000001</v>
      </c>
      <c r="Y24" t="n">
        <v>110.4</v>
      </c>
    </row>
    <row r="25">
      <c r="A25" s="6" t="n">
        <v>2007</v>
      </c>
      <c r="B25" s="7" t="n"/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  <c r="M25" t="n">
        <v>360</v>
      </c>
      <c r="N25" t="n">
        <v>4.5</v>
      </c>
      <c r="O25" t="n">
        <v>8</v>
      </c>
      <c r="P25" t="n">
        <v>10.9</v>
      </c>
      <c r="Q25" t="n">
        <v>15.4</v>
      </c>
      <c r="R25" t="n">
        <v>19.5</v>
      </c>
      <c r="S25" t="n">
        <v>24.4</v>
      </c>
      <c r="T25" t="n">
        <v>30.1</v>
      </c>
      <c r="U25" t="n">
        <v>39.4</v>
      </c>
      <c r="V25" t="n">
        <v>48</v>
      </c>
      <c r="W25" t="n">
        <v>58.2</v>
      </c>
      <c r="X25" t="n">
        <v>74.7</v>
      </c>
      <c r="Y25" t="n">
        <v>90</v>
      </c>
    </row>
    <row r="26">
      <c r="A26" s="6" t="n">
        <v>2008</v>
      </c>
      <c r="B26" s="7" t="n"/>
      <c r="C26" s="7" t="n"/>
      <c r="D26" s="7" t="n"/>
      <c r="E26" s="7" t="n"/>
      <c r="F26" s="7" t="n"/>
      <c r="G26" s="7" t="n"/>
      <c r="H26" s="7" t="n"/>
      <c r="I26" s="7" t="n"/>
      <c r="J26" s="7" t="n"/>
      <c r="K26" s="7" t="n"/>
      <c r="M26" t="n">
        <v>720</v>
      </c>
      <c r="N26" t="n">
        <v>2.5</v>
      </c>
      <c r="O26" t="n">
        <v>4.6</v>
      </c>
      <c r="P26" t="n">
        <v>6.4</v>
      </c>
      <c r="Q26" t="n">
        <v>9.4</v>
      </c>
      <c r="R26" t="n">
        <v>12.2</v>
      </c>
      <c r="S26" t="n">
        <v>15.7</v>
      </c>
      <c r="T26" t="n">
        <v>19.9</v>
      </c>
      <c r="U26" t="n">
        <v>27.2</v>
      </c>
      <c r="V26" t="n">
        <v>34.1</v>
      </c>
      <c r="W26" t="n">
        <v>42.6</v>
      </c>
      <c r="X26" t="n">
        <v>57.1</v>
      </c>
      <c r="Y26" t="n">
        <v>71</v>
      </c>
    </row>
    <row r="27">
      <c r="A27" s="6" t="n">
        <v>2009</v>
      </c>
      <c r="B27" s="7" t="n"/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  <c r="M27" t="n">
        <v>1440</v>
      </c>
      <c r="N27" t="n">
        <v>1.5</v>
      </c>
      <c r="O27" t="n">
        <v>2.7</v>
      </c>
      <c r="P27" t="n">
        <v>3.8</v>
      </c>
      <c r="Q27" t="n">
        <v>5.4</v>
      </c>
      <c r="R27" t="n">
        <v>7</v>
      </c>
      <c r="S27" t="n">
        <v>8.800000000000001</v>
      </c>
      <c r="T27" t="n">
        <v>11</v>
      </c>
      <c r="U27" t="n">
        <v>14.7</v>
      </c>
      <c r="V27" t="n">
        <v>18.1</v>
      </c>
      <c r="W27" t="n">
        <v>22.2</v>
      </c>
      <c r="X27" t="n">
        <v>29</v>
      </c>
      <c r="Y27" t="n">
        <v>35.5</v>
      </c>
    </row>
    <row r="28">
      <c r="A28" s="6" t="n">
        <v>2010</v>
      </c>
      <c r="B28" s="7" t="n"/>
      <c r="C28" s="7" t="n"/>
      <c r="D28" s="7" t="n"/>
      <c r="E28" s="7" t="n"/>
      <c r="F28" s="7" t="n"/>
      <c r="G28" s="7" t="n"/>
      <c r="H28" s="7" t="n"/>
      <c r="I28" s="7" t="n"/>
      <c r="J28" s="7" t="n"/>
      <c r="K28" s="7" t="n"/>
    </row>
    <row r="29">
      <c r="A29" s="6" t="n">
        <v>2011</v>
      </c>
      <c r="B29" s="7" t="n"/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</row>
    <row r="30">
      <c r="A30" s="6" t="n">
        <v>2012</v>
      </c>
      <c r="B30" s="7" t="n"/>
      <c r="C30" s="7" t="n"/>
      <c r="D30" s="7" t="n"/>
      <c r="E30" s="7" t="n"/>
      <c r="F30" s="7" t="n"/>
      <c r="G30" s="7" t="n"/>
      <c r="H30" s="7" t="n"/>
      <c r="I30" s="7" t="n"/>
      <c r="J30" s="7" t="n"/>
      <c r="K30" s="7" t="n"/>
    </row>
    <row r="31">
      <c r="A31" s="6" t="n">
        <v>2013</v>
      </c>
      <c r="B31" s="7" t="n"/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</row>
    <row r="32">
      <c r="A32" s="6" t="n">
        <v>2014</v>
      </c>
      <c r="B32" s="7" t="n"/>
      <c r="C32" s="7" t="n"/>
      <c r="D32" s="7" t="n"/>
      <c r="E32" s="7" t="n"/>
      <c r="F32" s="7" t="n"/>
      <c r="G32" s="7" t="n"/>
      <c r="H32" s="7" t="n"/>
      <c r="I32" s="7" t="n"/>
      <c r="J32" s="7" t="n"/>
      <c r="K32" s="7" t="n"/>
    </row>
    <row r="33">
      <c r="A33" s="6" t="n">
        <v>2015</v>
      </c>
      <c r="B33" s="7" t="n"/>
      <c r="C33" s="7" t="n"/>
      <c r="D33" s="7" t="n"/>
      <c r="E33" s="7" t="n"/>
      <c r="F33" s="7" t="n"/>
      <c r="G33" s="7" t="n"/>
      <c r="H33" s="7" t="n"/>
      <c r="I33" s="7" t="n"/>
      <c r="J33" s="7" t="n"/>
      <c r="K33" s="7" t="n"/>
    </row>
    <row r="34">
      <c r="A34" s="6" t="n">
        <v>2016</v>
      </c>
      <c r="B34" s="7" t="n"/>
      <c r="C34" s="7" t="n"/>
      <c r="D34" s="7" t="n"/>
      <c r="E34" s="7" t="n"/>
      <c r="F34" s="7" t="n"/>
      <c r="G34" s="7" t="n"/>
      <c r="H34" s="7" t="n"/>
      <c r="I34" s="7" t="n"/>
      <c r="J34" s="7" t="n"/>
      <c r="K34" s="7" t="n"/>
    </row>
    <row r="35">
      <c r="A35" s="6" t="n">
        <v>2017</v>
      </c>
      <c r="B35" s="7" t="n">
        <v>11.8</v>
      </c>
      <c r="C35" s="7" t="n">
        <v>14.2</v>
      </c>
      <c r="D35" s="7" t="n">
        <v>17</v>
      </c>
      <c r="E35" s="7" t="n">
        <v>27.2</v>
      </c>
      <c r="F35" s="7" t="n">
        <v>33.6</v>
      </c>
      <c r="G35" s="7" t="n">
        <v>34.2</v>
      </c>
      <c r="H35" s="7" t="n">
        <v>34.5</v>
      </c>
      <c r="I35" s="7" t="n">
        <v>34.6</v>
      </c>
      <c r="J35" s="7" t="n">
        <v>34.7</v>
      </c>
      <c r="K35" s="7" t="n">
        <v>34.8</v>
      </c>
    </row>
    <row r="36">
      <c r="A36" s="6" t="n">
        <v>2018</v>
      </c>
      <c r="B36" s="7" t="n">
        <v>7.2</v>
      </c>
      <c r="C36" s="7" t="n">
        <v>14</v>
      </c>
      <c r="D36" s="7" t="n">
        <v>16.4</v>
      </c>
      <c r="E36" s="7" t="n">
        <v>16.8</v>
      </c>
      <c r="F36" s="7" t="n">
        <v>16.8</v>
      </c>
      <c r="G36" s="7" t="n">
        <v>16.9</v>
      </c>
      <c r="H36" s="7" t="n">
        <v>17</v>
      </c>
      <c r="I36" s="7" t="n">
        <v>17.1</v>
      </c>
      <c r="J36" s="7" t="n">
        <v>17.5</v>
      </c>
      <c r="K36" s="7" t="n">
        <v>23.9</v>
      </c>
    </row>
    <row r="37">
      <c r="A37" s="6" t="n">
        <v>2019</v>
      </c>
      <c r="B37" s="7" t="n">
        <v>6.2</v>
      </c>
      <c r="C37" s="7" t="n">
        <v>11</v>
      </c>
      <c r="D37" s="7" t="n">
        <v>14.8</v>
      </c>
      <c r="E37" s="7" t="n">
        <v>25.7</v>
      </c>
      <c r="F37" s="7" t="n">
        <v>30.2</v>
      </c>
      <c r="G37" s="7" t="n">
        <v>30.3</v>
      </c>
      <c r="H37" s="7" t="n">
        <v>30.4</v>
      </c>
      <c r="I37" s="7" t="n">
        <v>31.2</v>
      </c>
      <c r="J37" s="7" t="n">
        <v>31.3</v>
      </c>
      <c r="K37" s="7" t="n">
        <v>41</v>
      </c>
    </row>
    <row r="38">
      <c r="A38" s="6" t="n">
        <v>2020</v>
      </c>
      <c r="B38" s="7" t="n">
        <v>5.4</v>
      </c>
      <c r="C38" s="7" t="n">
        <v>8.800000000000001</v>
      </c>
      <c r="D38" s="7" t="n">
        <v>11</v>
      </c>
      <c r="E38" s="7" t="n">
        <v>13.4</v>
      </c>
      <c r="F38" s="7" t="n">
        <v>13.9</v>
      </c>
      <c r="G38" s="7" t="n">
        <v>14</v>
      </c>
      <c r="H38" s="7" t="n">
        <v>14.5</v>
      </c>
      <c r="I38" s="7" t="n">
        <v>15.2</v>
      </c>
      <c r="J38" s="7" t="n">
        <v>15.3</v>
      </c>
      <c r="K38" s="7" t="n">
        <v>15.6</v>
      </c>
    </row>
    <row r="41">
      <c r="A41" s="2" t="inlineStr">
        <is>
          <t>AMS AFTER gap filling (mm)  -  yellow = added or changed by gap filling</t>
        </is>
      </c>
    </row>
    <row r="42">
      <c r="A42" s="4" t="inlineStr">
        <is>
          <t>Water year</t>
        </is>
      </c>
      <c r="B42" s="5" t="inlineStr">
        <is>
          <t>5min</t>
        </is>
      </c>
      <c r="C42" s="5" t="inlineStr">
        <is>
          <t>10min</t>
        </is>
      </c>
      <c r="D42" s="5" t="inlineStr">
        <is>
          <t>15min</t>
        </is>
      </c>
      <c r="E42" s="5" t="inlineStr">
        <is>
          <t>30min</t>
        </is>
      </c>
      <c r="F42" s="5" t="inlineStr">
        <is>
          <t>1h</t>
        </is>
      </c>
      <c r="G42" s="5" t="inlineStr">
        <is>
          <t>2h</t>
        </is>
      </c>
      <c r="H42" s="5" t="inlineStr">
        <is>
          <t>3h</t>
        </is>
      </c>
      <c r="I42" s="5" t="inlineStr">
        <is>
          <t>6h</t>
        </is>
      </c>
      <c r="J42" s="5" t="inlineStr">
        <is>
          <t>12h</t>
        </is>
      </c>
      <c r="K42" s="5" t="inlineStr">
        <is>
          <t>24h</t>
        </is>
      </c>
    </row>
    <row r="43">
      <c r="A43" s="6" t="n">
        <v>1987</v>
      </c>
      <c r="B43" s="7" t="n"/>
      <c r="C43" s="7" t="n"/>
      <c r="D43" s="7" t="n"/>
      <c r="E43" s="7" t="n"/>
      <c r="F43" s="7" t="n"/>
      <c r="G43" s="7" t="n"/>
      <c r="H43" s="7" t="n"/>
      <c r="I43" s="7" t="n"/>
      <c r="J43" s="7" t="n"/>
      <c r="K43" s="7" t="n">
        <v>60</v>
      </c>
    </row>
    <row r="44">
      <c r="A44" s="6" t="n">
        <v>1988</v>
      </c>
      <c r="B44" s="7" t="n"/>
      <c r="C44" s="7" t="n"/>
      <c r="D44" s="7" t="n"/>
      <c r="E44" s="7" t="n"/>
      <c r="F44" s="7" t="n"/>
      <c r="G44" s="7" t="n"/>
      <c r="H44" s="7" t="n"/>
      <c r="I44" s="7" t="n"/>
      <c r="J44" s="7" t="n"/>
      <c r="K44" s="7" t="n">
        <v>19.5</v>
      </c>
    </row>
    <row r="45">
      <c r="A45" s="6" t="n">
        <v>1989</v>
      </c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  <c r="K45" s="7" t="n">
        <v>6.5</v>
      </c>
    </row>
    <row r="46">
      <c r="A46" s="6" t="n">
        <v>1990</v>
      </c>
      <c r="B46" s="7" t="n"/>
      <c r="C46" s="7" t="n"/>
      <c r="D46" s="7" t="n"/>
      <c r="E46" s="7" t="n"/>
      <c r="F46" s="7" t="n"/>
      <c r="G46" s="7" t="n"/>
      <c r="H46" s="7" t="n"/>
      <c r="I46" s="7" t="n"/>
      <c r="J46" s="7" t="n"/>
      <c r="K46" s="7" t="n">
        <v>39</v>
      </c>
    </row>
    <row r="47">
      <c r="A47" s="6" t="n">
        <v>1991</v>
      </c>
      <c r="B47" s="7" t="n"/>
      <c r="C47" s="7" t="n"/>
      <c r="D47" s="7" t="n"/>
      <c r="E47" s="7" t="n"/>
      <c r="F47" s="7" t="n"/>
      <c r="G47" s="7" t="n"/>
      <c r="H47" s="7" t="n"/>
      <c r="I47" s="7" t="n"/>
      <c r="J47" s="7" t="n"/>
      <c r="K47" s="7" t="n">
        <v>7</v>
      </c>
    </row>
    <row r="48">
      <c r="A48" s="6" t="n">
        <v>1992</v>
      </c>
      <c r="B48" s="7" t="n"/>
      <c r="C48" s="7" t="n"/>
      <c r="D48" s="7" t="n"/>
      <c r="E48" s="7" t="n"/>
      <c r="F48" s="7" t="n"/>
      <c r="G48" s="7" t="n"/>
      <c r="H48" s="7" t="n"/>
      <c r="I48" s="7" t="n"/>
      <c r="J48" s="7" t="n"/>
      <c r="K48" s="7" t="n">
        <v>62</v>
      </c>
    </row>
    <row r="49">
      <c r="A49" s="6" t="n">
        <v>1993</v>
      </c>
      <c r="B49" s="8" t="n">
        <v>4.6</v>
      </c>
      <c r="C49" s="8" t="n">
        <v>8.9</v>
      </c>
      <c r="D49" s="8" t="n">
        <v>10.9</v>
      </c>
      <c r="E49" s="8" t="n">
        <v>12.7</v>
      </c>
      <c r="F49" s="8" t="n">
        <v>13.8</v>
      </c>
      <c r="G49" s="8" t="n">
        <v>18.2</v>
      </c>
      <c r="H49" s="8" t="n">
        <v>18.3</v>
      </c>
      <c r="I49" s="8" t="n">
        <v>18.7</v>
      </c>
      <c r="J49" s="8" t="n">
        <v>19.4</v>
      </c>
      <c r="K49" s="8" t="n">
        <v>19.9</v>
      </c>
    </row>
    <row r="50">
      <c r="A50" s="6" t="n">
        <v>1994</v>
      </c>
      <c r="B50" s="7" t="n"/>
      <c r="C50" s="7" t="n"/>
      <c r="D50" s="7" t="n"/>
      <c r="E50" s="7" t="n"/>
      <c r="F50" s="8" t="n">
        <v>17</v>
      </c>
      <c r="G50" s="8" t="n">
        <v>17.4</v>
      </c>
      <c r="H50" s="8" t="n">
        <v>17.4</v>
      </c>
      <c r="I50" s="8" t="n">
        <v>17.5</v>
      </c>
      <c r="J50" s="8" t="n">
        <v>17.7</v>
      </c>
      <c r="K50" s="8" t="n">
        <v>20.7</v>
      </c>
    </row>
    <row r="51">
      <c r="A51" s="6" t="n">
        <v>1995</v>
      </c>
      <c r="B51" s="7" t="n"/>
      <c r="C51" s="7" t="n"/>
      <c r="D51" s="7" t="n"/>
      <c r="E51" s="7" t="n"/>
      <c r="F51" s="8" t="n">
        <v>14</v>
      </c>
      <c r="G51" s="8" t="n">
        <v>14.6</v>
      </c>
      <c r="H51" s="8" t="n">
        <v>15.4</v>
      </c>
      <c r="I51" s="8" t="n">
        <v>15.8</v>
      </c>
      <c r="J51" s="7" t="n">
        <v>17</v>
      </c>
      <c r="K51" s="7" t="n">
        <v>28.5</v>
      </c>
    </row>
    <row r="52">
      <c r="A52" s="6" t="n">
        <v>1996</v>
      </c>
      <c r="B52" s="7" t="n"/>
      <c r="C52" s="7" t="n"/>
      <c r="D52" s="7" t="n"/>
      <c r="E52" s="7" t="n"/>
      <c r="F52" s="8" t="n">
        <v>14.8</v>
      </c>
      <c r="G52" s="8" t="n">
        <v>21.2</v>
      </c>
      <c r="H52" s="8" t="n">
        <v>28.4</v>
      </c>
      <c r="I52" s="8" t="n">
        <v>42.1</v>
      </c>
      <c r="J52" s="7" t="n">
        <v>70</v>
      </c>
      <c r="K52" s="7" t="n">
        <v>89.90000000000001</v>
      </c>
    </row>
    <row r="53">
      <c r="A53" s="6" t="n">
        <v>1997</v>
      </c>
      <c r="B53" s="7" t="n"/>
      <c r="C53" s="7" t="n"/>
      <c r="D53" s="7" t="n"/>
      <c r="E53" s="7" t="n"/>
      <c r="F53" s="7" t="n"/>
      <c r="G53" s="7" t="n"/>
      <c r="H53" s="7" t="n"/>
      <c r="I53" s="7" t="n"/>
      <c r="J53" s="7" t="n"/>
      <c r="K53" s="8" t="n">
        <v>71.09999999999999</v>
      </c>
    </row>
    <row r="54">
      <c r="A54" s="6" t="n">
        <v>1998</v>
      </c>
      <c r="B54" s="8" t="n">
        <v>3.2</v>
      </c>
      <c r="C54" s="8" t="n">
        <v>5.7</v>
      </c>
      <c r="D54" s="8" t="n">
        <v>8.1</v>
      </c>
      <c r="E54" s="8" t="n">
        <v>13</v>
      </c>
      <c r="F54" s="8" t="n">
        <v>18</v>
      </c>
      <c r="G54" s="8" t="n">
        <v>25.2</v>
      </c>
      <c r="H54" s="8" t="n">
        <v>27.4</v>
      </c>
      <c r="I54" s="8" t="n">
        <v>38</v>
      </c>
      <c r="J54" s="8" t="n">
        <v>43.6</v>
      </c>
      <c r="K54" s="8" t="n">
        <v>58.1</v>
      </c>
    </row>
    <row r="55">
      <c r="A55" s="6" t="n">
        <v>1999</v>
      </c>
      <c r="B55" s="8" t="n">
        <v>4.1</v>
      </c>
      <c r="C55" s="8" t="n">
        <v>6.3</v>
      </c>
      <c r="D55" s="8" t="n">
        <v>7.6</v>
      </c>
      <c r="E55" s="8" t="n">
        <v>9.1</v>
      </c>
      <c r="F55" s="8" t="n">
        <v>14</v>
      </c>
      <c r="G55" s="8" t="n">
        <v>15.8</v>
      </c>
      <c r="H55" s="8" t="n">
        <v>18.4</v>
      </c>
      <c r="I55" s="8" t="n">
        <v>23.9</v>
      </c>
      <c r="J55" s="8" t="n">
        <v>36.5</v>
      </c>
      <c r="K55" s="8" t="n">
        <v>38.3</v>
      </c>
    </row>
    <row r="56">
      <c r="A56" s="6" t="n">
        <v>2000</v>
      </c>
      <c r="B56" s="8" t="n">
        <v>2.4</v>
      </c>
      <c r="C56" s="8" t="n">
        <v>4.7</v>
      </c>
      <c r="D56" s="8" t="n">
        <v>6.5</v>
      </c>
      <c r="E56" s="8" t="n">
        <v>10.4</v>
      </c>
      <c r="F56" s="8" t="n">
        <v>15</v>
      </c>
      <c r="G56" s="8" t="n">
        <v>16.4</v>
      </c>
      <c r="H56" s="8" t="n">
        <v>17.6</v>
      </c>
      <c r="I56" s="8" t="n">
        <v>18.5</v>
      </c>
      <c r="J56" s="8" t="n">
        <v>18.6</v>
      </c>
      <c r="K56" s="8" t="n">
        <v>24.9</v>
      </c>
    </row>
    <row r="57">
      <c r="A57" s="6" t="n">
        <v>2001</v>
      </c>
      <c r="B57" s="8" t="n">
        <v>5.1</v>
      </c>
      <c r="C57" s="8" t="n">
        <v>8.9</v>
      </c>
      <c r="D57" s="8" t="n">
        <v>11.3</v>
      </c>
      <c r="E57" s="8" t="n">
        <v>16.7</v>
      </c>
      <c r="F57" s="8" t="n">
        <v>20.8</v>
      </c>
      <c r="G57" s="8" t="n">
        <v>27.4</v>
      </c>
      <c r="H57" s="8" t="n">
        <v>32.3</v>
      </c>
      <c r="I57" s="8" t="n">
        <v>37.1</v>
      </c>
      <c r="J57" s="8" t="n">
        <v>37.4</v>
      </c>
      <c r="K57" s="8" t="n">
        <v>37.6</v>
      </c>
    </row>
    <row r="58">
      <c r="A58" s="6" t="n">
        <v>2002</v>
      </c>
      <c r="B58" s="8" t="n">
        <v>3.3</v>
      </c>
      <c r="C58" s="8" t="n">
        <v>6.1</v>
      </c>
      <c r="D58" s="8" t="n">
        <v>8.199999999999999</v>
      </c>
      <c r="E58" s="8" t="n">
        <v>11.7</v>
      </c>
      <c r="F58" s="8" t="n">
        <v>15</v>
      </c>
      <c r="G58" s="8" t="n">
        <v>15.4</v>
      </c>
      <c r="H58" s="8" t="n">
        <v>15.5</v>
      </c>
      <c r="I58" s="8" t="n">
        <v>15.5</v>
      </c>
      <c r="J58" s="8" t="n">
        <v>15.6</v>
      </c>
      <c r="K58" s="8" t="n">
        <v>19.9</v>
      </c>
    </row>
    <row r="59">
      <c r="A59" s="6" t="n">
        <v>2003</v>
      </c>
      <c r="B59" s="8" t="n">
        <v>2.8</v>
      </c>
      <c r="C59" s="8" t="n">
        <v>4.9</v>
      </c>
      <c r="D59" s="8" t="n">
        <v>6.8</v>
      </c>
      <c r="E59" s="8" t="n">
        <v>12.1</v>
      </c>
      <c r="F59" s="8" t="n">
        <v>15.6</v>
      </c>
      <c r="G59" s="8" t="n">
        <v>18.6</v>
      </c>
      <c r="H59" s="8" t="n">
        <v>20.7</v>
      </c>
      <c r="I59" s="8" t="n">
        <v>21.4</v>
      </c>
      <c r="J59" s="8" t="n">
        <v>24.8</v>
      </c>
      <c r="K59" s="8" t="n">
        <v>28.7</v>
      </c>
    </row>
    <row r="60">
      <c r="A60" s="6" t="n">
        <v>2004</v>
      </c>
      <c r="B60" s="8" t="n">
        <v>2.3</v>
      </c>
      <c r="C60" s="8" t="n">
        <v>4.2</v>
      </c>
      <c r="D60" s="8" t="n">
        <v>4.8</v>
      </c>
      <c r="E60" s="8" t="n">
        <v>6.7</v>
      </c>
      <c r="F60" s="8" t="n">
        <v>8.199999999999999</v>
      </c>
      <c r="G60" s="8" t="n">
        <v>8.800000000000001</v>
      </c>
      <c r="H60" s="8" t="n">
        <v>9.6</v>
      </c>
      <c r="I60" s="8" t="n">
        <v>9.699999999999999</v>
      </c>
      <c r="J60" s="8" t="n">
        <v>9.699999999999999</v>
      </c>
      <c r="K60" s="8" t="n">
        <v>10.8</v>
      </c>
    </row>
    <row r="61">
      <c r="A61" s="6" t="n">
        <v>2005</v>
      </c>
      <c r="B61" s="8" t="n">
        <v>5.3</v>
      </c>
      <c r="C61" s="8" t="n">
        <v>8</v>
      </c>
      <c r="D61" s="8" t="n">
        <v>8.300000000000001</v>
      </c>
      <c r="E61" s="8" t="n">
        <v>10.5</v>
      </c>
      <c r="F61" s="8" t="n">
        <v>15.3</v>
      </c>
      <c r="G61" s="8" t="n">
        <v>16.7</v>
      </c>
      <c r="H61" s="8" t="n">
        <v>19.4</v>
      </c>
      <c r="I61" s="8" t="n">
        <v>21.4</v>
      </c>
      <c r="J61" s="8" t="n">
        <v>35.7</v>
      </c>
      <c r="K61" s="8" t="n">
        <v>57.6</v>
      </c>
    </row>
    <row r="62">
      <c r="A62" s="6" t="n">
        <v>2006</v>
      </c>
      <c r="B62" s="8" t="n">
        <v>2.9</v>
      </c>
      <c r="C62" s="8" t="n">
        <v>4.9</v>
      </c>
      <c r="D62" s="8" t="n">
        <v>6.1</v>
      </c>
      <c r="E62" s="8" t="n">
        <v>8.800000000000001</v>
      </c>
      <c r="F62" s="8" t="n">
        <v>11.9</v>
      </c>
      <c r="G62" s="8" t="n">
        <v>18</v>
      </c>
      <c r="H62" s="8" t="n">
        <v>19.8</v>
      </c>
      <c r="I62" s="8" t="n">
        <v>23.5</v>
      </c>
      <c r="J62" s="8" t="n">
        <v>32.2</v>
      </c>
      <c r="K62" s="8" t="n">
        <v>43.8</v>
      </c>
    </row>
    <row r="63">
      <c r="A63" s="6" t="n">
        <v>2007</v>
      </c>
      <c r="B63" s="8" t="n">
        <v>6</v>
      </c>
      <c r="C63" s="8" t="n">
        <v>10.2</v>
      </c>
      <c r="D63" s="8" t="n">
        <v>13.1</v>
      </c>
      <c r="E63" s="8" t="n">
        <v>18.9</v>
      </c>
      <c r="F63" s="8" t="n">
        <v>29.8</v>
      </c>
      <c r="G63" s="8" t="n">
        <v>36.6</v>
      </c>
      <c r="H63" s="8" t="n">
        <v>39.8</v>
      </c>
      <c r="I63" s="8" t="n">
        <v>74.2</v>
      </c>
      <c r="J63" s="8" t="n">
        <v>84.8</v>
      </c>
      <c r="K63" s="8" t="n">
        <v>93.40000000000001</v>
      </c>
    </row>
    <row r="64">
      <c r="A64" s="6" t="n">
        <v>2008</v>
      </c>
      <c r="B64" s="8" t="n">
        <v>1</v>
      </c>
      <c r="C64" s="8" t="n">
        <v>1.4</v>
      </c>
      <c r="D64" s="8" t="n">
        <v>1.8</v>
      </c>
      <c r="E64" s="8" t="n">
        <v>2.5</v>
      </c>
      <c r="F64" s="8" t="n">
        <v>2.5</v>
      </c>
      <c r="G64" s="8" t="n">
        <v>2.6</v>
      </c>
      <c r="H64" s="8" t="n">
        <v>2.6</v>
      </c>
      <c r="I64" s="8" t="n">
        <v>2.6</v>
      </c>
      <c r="J64" s="8" t="n">
        <v>2.6</v>
      </c>
      <c r="K64" s="8" t="n">
        <v>2.6</v>
      </c>
    </row>
    <row r="65">
      <c r="A65" s="6" t="n">
        <v>2009</v>
      </c>
      <c r="B65" s="8" t="n">
        <v>2.7</v>
      </c>
      <c r="C65" s="8" t="n">
        <v>4.8</v>
      </c>
      <c r="D65" s="8" t="n">
        <v>5.5</v>
      </c>
      <c r="E65" s="8" t="n">
        <v>7</v>
      </c>
      <c r="F65" s="8" t="n">
        <v>9.9</v>
      </c>
      <c r="G65" s="8" t="n">
        <v>14.3</v>
      </c>
      <c r="H65" s="8" t="n">
        <v>16.2</v>
      </c>
      <c r="I65" s="8" t="n">
        <v>16.6</v>
      </c>
      <c r="J65" s="8" t="n">
        <v>18.2</v>
      </c>
      <c r="K65" s="8" t="n">
        <v>33.5</v>
      </c>
    </row>
    <row r="66">
      <c r="A66" s="6" t="n">
        <v>2010</v>
      </c>
      <c r="B66" s="8" t="n">
        <v>9.699999999999999</v>
      </c>
      <c r="C66" s="8" t="n">
        <v>16.5</v>
      </c>
      <c r="D66" s="8" t="n">
        <v>22.3</v>
      </c>
      <c r="E66" s="8" t="n">
        <v>27.9</v>
      </c>
      <c r="F66" s="8" t="n">
        <v>32.8</v>
      </c>
      <c r="G66" s="8" t="n">
        <v>49.8</v>
      </c>
      <c r="H66" s="8" t="n">
        <v>60</v>
      </c>
      <c r="I66" s="8" t="n">
        <v>82.40000000000001</v>
      </c>
      <c r="J66" s="8" t="n">
        <v>95.5</v>
      </c>
      <c r="K66" s="8" t="n">
        <v>96.59999999999999</v>
      </c>
    </row>
    <row r="67">
      <c r="A67" s="6" t="n">
        <v>2011</v>
      </c>
      <c r="B67" s="8" t="n">
        <v>8.9</v>
      </c>
      <c r="C67" s="8" t="n">
        <v>13.6</v>
      </c>
      <c r="D67" s="8" t="n">
        <v>18</v>
      </c>
      <c r="E67" s="8" t="n">
        <v>21.9</v>
      </c>
      <c r="F67" s="8" t="n">
        <v>24.9</v>
      </c>
      <c r="G67" s="8" t="n">
        <v>26.1</v>
      </c>
      <c r="H67" s="8" t="n">
        <v>29.3</v>
      </c>
      <c r="I67" s="8" t="n">
        <v>33.4</v>
      </c>
      <c r="J67" s="8" t="n">
        <v>34.4</v>
      </c>
      <c r="K67" s="8" t="n">
        <v>34.9</v>
      </c>
    </row>
    <row r="68">
      <c r="A68" s="6" t="n">
        <v>2012</v>
      </c>
      <c r="B68" s="8" t="n">
        <v>9.699999999999999</v>
      </c>
      <c r="C68" s="8" t="n">
        <v>15.2</v>
      </c>
      <c r="D68" s="8" t="n">
        <v>18.2</v>
      </c>
      <c r="E68" s="8" t="n">
        <v>25.6</v>
      </c>
      <c r="F68" s="8" t="n">
        <v>33.9</v>
      </c>
      <c r="G68" s="8" t="n">
        <v>36.9</v>
      </c>
      <c r="H68" s="8" t="n">
        <v>41.1</v>
      </c>
      <c r="I68" s="8" t="n">
        <v>47.3</v>
      </c>
      <c r="J68" s="8" t="n">
        <v>48.3</v>
      </c>
      <c r="K68" s="8" t="n">
        <v>52.3</v>
      </c>
    </row>
    <row r="69">
      <c r="A69" s="6" t="n">
        <v>2013</v>
      </c>
      <c r="B69" s="8" t="n">
        <v>4.6</v>
      </c>
      <c r="C69" s="8" t="n">
        <v>8.9</v>
      </c>
      <c r="D69" s="8" t="n">
        <v>12.4</v>
      </c>
      <c r="E69" s="8" t="n">
        <v>16.3</v>
      </c>
      <c r="F69" s="8" t="n">
        <v>18.9</v>
      </c>
      <c r="G69" s="8" t="n">
        <v>23</v>
      </c>
      <c r="H69" s="8" t="n">
        <v>26.2</v>
      </c>
      <c r="I69" s="8" t="n">
        <v>27.1</v>
      </c>
      <c r="J69" s="8" t="n">
        <v>27.3</v>
      </c>
      <c r="K69" s="8" t="n">
        <v>27.4</v>
      </c>
    </row>
    <row r="70">
      <c r="A70" s="6" t="n">
        <v>2014</v>
      </c>
      <c r="B70" s="8" t="n">
        <v>3.9</v>
      </c>
      <c r="C70" s="8" t="n">
        <v>5.4</v>
      </c>
      <c r="D70" s="8" t="n">
        <v>6.2</v>
      </c>
      <c r="E70" s="8" t="n">
        <v>9.1</v>
      </c>
      <c r="F70" s="8" t="n">
        <v>16.2</v>
      </c>
      <c r="G70" s="8" t="n">
        <v>25.6</v>
      </c>
      <c r="H70" s="8" t="n">
        <v>35.8</v>
      </c>
      <c r="I70" s="8" t="n">
        <v>52.3</v>
      </c>
      <c r="J70" s="8" t="n">
        <v>56.4</v>
      </c>
      <c r="K70" s="8" t="n">
        <v>76.2</v>
      </c>
    </row>
    <row r="71">
      <c r="A71" s="6" t="n">
        <v>2015</v>
      </c>
      <c r="B71" s="8" t="n">
        <v>2.4</v>
      </c>
      <c r="C71" s="8" t="n">
        <v>3.2</v>
      </c>
      <c r="D71" s="8" t="n">
        <v>3.9</v>
      </c>
      <c r="E71" s="8" t="n">
        <v>5.8</v>
      </c>
      <c r="F71" s="8" t="n">
        <v>6.5</v>
      </c>
      <c r="G71" s="8" t="n">
        <v>10.3</v>
      </c>
      <c r="H71" s="8" t="n">
        <v>12.9</v>
      </c>
      <c r="I71" s="8" t="n">
        <v>17.6</v>
      </c>
      <c r="J71" s="8" t="n">
        <v>18.9</v>
      </c>
      <c r="K71" s="8" t="n">
        <v>23.2</v>
      </c>
    </row>
    <row r="72">
      <c r="A72" s="6" t="n">
        <v>2016</v>
      </c>
      <c r="B72" s="8" t="n">
        <v>2.9</v>
      </c>
      <c r="C72" s="8" t="n">
        <v>4.7</v>
      </c>
      <c r="D72" s="8" t="n">
        <v>6.6</v>
      </c>
      <c r="E72" s="8" t="n">
        <v>11.1</v>
      </c>
      <c r="F72" s="8" t="n">
        <v>13.4</v>
      </c>
      <c r="G72" s="8" t="n">
        <v>16.4</v>
      </c>
      <c r="H72" s="8" t="n">
        <v>16.7</v>
      </c>
      <c r="I72" s="8" t="n">
        <v>20</v>
      </c>
      <c r="J72" s="8" t="n">
        <v>23.2</v>
      </c>
      <c r="K72" s="8" t="n">
        <v>36.2</v>
      </c>
    </row>
    <row r="73">
      <c r="A73" s="6" t="n">
        <v>2017</v>
      </c>
      <c r="B73" s="7" t="n">
        <v>11.8</v>
      </c>
      <c r="C73" s="7" t="n">
        <v>14.2</v>
      </c>
      <c r="D73" s="7" t="n">
        <v>17</v>
      </c>
      <c r="E73" s="7" t="n">
        <v>27.2</v>
      </c>
      <c r="F73" s="7" t="n">
        <v>33.6</v>
      </c>
      <c r="G73" s="7" t="n">
        <v>34.2</v>
      </c>
      <c r="H73" s="7" t="n">
        <v>34.5</v>
      </c>
      <c r="I73" s="7" t="n">
        <v>34.6</v>
      </c>
      <c r="J73" s="7" t="n">
        <v>34.7</v>
      </c>
      <c r="K73" s="7" t="n">
        <v>34.8</v>
      </c>
    </row>
    <row r="74">
      <c r="A74" s="6" t="n">
        <v>2018</v>
      </c>
      <c r="B74" s="7" t="n">
        <v>7.2</v>
      </c>
      <c r="C74" s="7" t="n">
        <v>14</v>
      </c>
      <c r="D74" s="7" t="n">
        <v>16.4</v>
      </c>
      <c r="E74" s="7" t="n">
        <v>16.8</v>
      </c>
      <c r="F74" s="7" t="n">
        <v>16.8</v>
      </c>
      <c r="G74" s="7" t="n">
        <v>16.9</v>
      </c>
      <c r="H74" s="7" t="n">
        <v>17</v>
      </c>
      <c r="I74" s="7" t="n">
        <v>17.1</v>
      </c>
      <c r="J74" s="7" t="n">
        <v>17.5</v>
      </c>
      <c r="K74" s="7" t="n">
        <v>23.9</v>
      </c>
    </row>
    <row r="75">
      <c r="A75" s="6" t="n">
        <v>2019</v>
      </c>
      <c r="B75" s="7" t="n">
        <v>6.2</v>
      </c>
      <c r="C75" s="7" t="n">
        <v>11</v>
      </c>
      <c r="D75" s="7" t="n">
        <v>14.8</v>
      </c>
      <c r="E75" s="7" t="n">
        <v>25.7</v>
      </c>
      <c r="F75" s="7" t="n">
        <v>30.2</v>
      </c>
      <c r="G75" s="7" t="n">
        <v>30.3</v>
      </c>
      <c r="H75" s="7" t="n">
        <v>30.4</v>
      </c>
      <c r="I75" s="7" t="n">
        <v>31.2</v>
      </c>
      <c r="J75" s="7" t="n">
        <v>31.3</v>
      </c>
      <c r="K75" s="7" t="n">
        <v>41</v>
      </c>
    </row>
    <row r="76">
      <c r="A76" s="6" t="n">
        <v>2020</v>
      </c>
      <c r="B76" s="7" t="n">
        <v>5.4</v>
      </c>
      <c r="C76" s="7" t="n">
        <v>8.800000000000001</v>
      </c>
      <c r="D76" s="7" t="n">
        <v>11</v>
      </c>
      <c r="E76" s="7" t="n">
        <v>13.4</v>
      </c>
      <c r="F76" s="7" t="n">
        <v>13.9</v>
      </c>
      <c r="G76" s="7" t="n">
        <v>14</v>
      </c>
      <c r="H76" s="7" t="n">
        <v>14.5</v>
      </c>
      <c r="I76" s="7" t="n">
        <v>15.2</v>
      </c>
      <c r="J76" s="7" t="n">
        <v>15.3</v>
      </c>
      <c r="K76" s="7" t="n">
        <v>15.6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Y92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</cols>
  <sheetData>
    <row r="1">
      <c r="A1" s="1" t="inlineStr">
        <is>
          <t>Gauge 58  |  FL950429CF  |  MAZARA 3 at Mazara</t>
        </is>
      </c>
    </row>
    <row r="3">
      <c r="A3" s="2" t="inlineStr">
        <is>
          <t>AMS BEFORE gap filling (observed only, mm)</t>
        </is>
      </c>
      <c r="M3" s="3" t="inlineStr">
        <is>
          <t>IDF - design rainfall DEPTH (mm)</t>
        </is>
      </c>
    </row>
    <row r="4">
      <c r="A4" s="4" t="inlineStr">
        <is>
          <t>Water year</t>
        </is>
      </c>
      <c r="B4" s="5" t="inlineStr">
        <is>
          <t>5min</t>
        </is>
      </c>
      <c r="C4" s="5" t="inlineStr">
        <is>
          <t>10min</t>
        </is>
      </c>
      <c r="D4" s="5" t="inlineStr">
        <is>
          <t>15min</t>
        </is>
      </c>
      <c r="E4" s="5" t="inlineStr">
        <is>
          <t>30min</t>
        </is>
      </c>
      <c r="F4" s="5" t="inlineStr">
        <is>
          <t>1h</t>
        </is>
      </c>
      <c r="G4" s="5" t="inlineStr">
        <is>
          <t>2h</t>
        </is>
      </c>
      <c r="H4" s="5" t="inlineStr">
        <is>
          <t>3h</t>
        </is>
      </c>
      <c r="I4" s="5" t="inlineStr">
        <is>
          <t>6h</t>
        </is>
      </c>
      <c r="J4" s="5" t="inlineStr">
        <is>
          <t>12h</t>
        </is>
      </c>
      <c r="K4" s="5" t="inlineStr">
        <is>
          <t>24h</t>
        </is>
      </c>
      <c r="M4" s="4" t="inlineStr">
        <is>
          <t>Duration \ RP</t>
        </is>
      </c>
      <c r="N4" s="4" t="n">
        <v>2</v>
      </c>
      <c r="O4" s="4" t="n">
        <v>5</v>
      </c>
      <c r="P4" s="4" t="n">
        <v>10</v>
      </c>
      <c r="Q4" s="4" t="n">
        <v>25</v>
      </c>
      <c r="R4" s="4" t="n">
        <v>50</v>
      </c>
      <c r="S4" s="4" t="n">
        <v>100</v>
      </c>
      <c r="T4" s="4" t="n">
        <v>200</v>
      </c>
      <c r="U4" s="4" t="n">
        <v>500</v>
      </c>
      <c r="V4" s="4" t="n">
        <v>1000</v>
      </c>
      <c r="W4" s="4" t="n">
        <v>2000</v>
      </c>
      <c r="X4" s="4" t="n">
        <v>5000</v>
      </c>
      <c r="Y4" s="4" t="n">
        <v>10000</v>
      </c>
    </row>
    <row r="5">
      <c r="A5" s="6" t="n">
        <v>1977</v>
      </c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>
        <v>39.2</v>
      </c>
      <c r="M5" s="6" t="inlineStr">
        <is>
          <t>5min</t>
        </is>
      </c>
      <c r="N5" s="6" t="n">
        <v>5.4</v>
      </c>
      <c r="O5" s="6" t="n">
        <v>8.300000000000001</v>
      </c>
      <c r="P5" s="6" t="n">
        <v>10.1</v>
      </c>
      <c r="Q5" s="6" t="n">
        <v>12.3</v>
      </c>
      <c r="R5" s="6" t="n">
        <v>13.9</v>
      </c>
      <c r="S5" s="6" t="n">
        <v>15.4</v>
      </c>
      <c r="T5" s="6" t="n">
        <v>16.9</v>
      </c>
      <c r="U5" s="6" t="n">
        <v>18.8</v>
      </c>
      <c r="V5" s="6" t="n">
        <v>20.2</v>
      </c>
      <c r="W5" s="6" t="n">
        <v>21.6</v>
      </c>
      <c r="X5" s="6" t="n">
        <v>23.3</v>
      </c>
      <c r="Y5" s="6" t="n">
        <v>24.6</v>
      </c>
    </row>
    <row r="6">
      <c r="A6" s="6" t="n">
        <v>1978</v>
      </c>
      <c r="B6" s="7" t="n"/>
      <c r="C6" s="7" t="n"/>
      <c r="D6" s="7" t="n"/>
      <c r="E6" s="7" t="n"/>
      <c r="F6" s="7" t="n"/>
      <c r="G6" s="7" t="n"/>
      <c r="H6" s="7" t="n"/>
      <c r="I6" s="7" t="n"/>
      <c r="J6" s="7" t="n"/>
      <c r="K6" s="7" t="n">
        <v>25.4</v>
      </c>
      <c r="M6" s="6" t="inlineStr">
        <is>
          <t>10min</t>
        </is>
      </c>
      <c r="N6" s="6" t="n">
        <v>9</v>
      </c>
      <c r="O6" s="6" t="n">
        <v>13.6</v>
      </c>
      <c r="P6" s="6" t="n">
        <v>16.6</v>
      </c>
      <c r="Q6" s="6" t="n">
        <v>20.2</v>
      </c>
      <c r="R6" s="6" t="n">
        <v>22.8</v>
      </c>
      <c r="S6" s="6" t="n">
        <v>25.3</v>
      </c>
      <c r="T6" s="6" t="n">
        <v>27.8</v>
      </c>
      <c r="U6" s="6" t="n">
        <v>30.9</v>
      </c>
      <c r="V6" s="6" t="n">
        <v>33.2</v>
      </c>
      <c r="W6" s="6" t="n">
        <v>35.4</v>
      </c>
      <c r="X6" s="6" t="n">
        <v>38.2</v>
      </c>
      <c r="Y6" s="6" t="n">
        <v>40.3</v>
      </c>
    </row>
    <row r="7">
      <c r="A7" s="6" t="n">
        <v>1979</v>
      </c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>
        <v>22</v>
      </c>
      <c r="M7" s="6" t="inlineStr">
        <is>
          <t>15min</t>
        </is>
      </c>
      <c r="N7" s="6" t="n">
        <v>11.2</v>
      </c>
      <c r="O7" s="6" t="n">
        <v>17.3</v>
      </c>
      <c r="P7" s="6" t="n">
        <v>21.4</v>
      </c>
      <c r="Q7" s="6" t="n">
        <v>26.5</v>
      </c>
      <c r="R7" s="6" t="n">
        <v>30.3</v>
      </c>
      <c r="S7" s="6" t="n">
        <v>34.1</v>
      </c>
      <c r="T7" s="6" t="n">
        <v>37.9</v>
      </c>
      <c r="U7" s="6" t="n">
        <v>42.9</v>
      </c>
      <c r="V7" s="6" t="n">
        <v>46.6</v>
      </c>
      <c r="W7" s="6" t="n">
        <v>50.4</v>
      </c>
      <c r="X7" s="6" t="n">
        <v>55.4</v>
      </c>
      <c r="Y7" s="6" t="n">
        <v>59.1</v>
      </c>
    </row>
    <row r="8">
      <c r="A8" s="6" t="n">
        <v>1980</v>
      </c>
      <c r="B8" s="7" t="n"/>
      <c r="C8" s="7" t="n"/>
      <c r="D8" s="7" t="n"/>
      <c r="E8" s="7" t="n"/>
      <c r="F8" s="7" t="n"/>
      <c r="G8" s="7" t="n"/>
      <c r="H8" s="7" t="n"/>
      <c r="I8" s="7" t="n"/>
      <c r="J8" s="7" t="n"/>
      <c r="K8" s="7" t="n">
        <v>15.6</v>
      </c>
      <c r="M8" s="6" t="inlineStr">
        <is>
          <t>30min</t>
        </is>
      </c>
      <c r="N8" s="6" t="n">
        <v>15.1</v>
      </c>
      <c r="O8" s="6" t="n">
        <v>24.1</v>
      </c>
      <c r="P8" s="6" t="n">
        <v>30.3</v>
      </c>
      <c r="Q8" s="6" t="n">
        <v>38.5</v>
      </c>
      <c r="R8" s="6" t="n">
        <v>44.8</v>
      </c>
      <c r="S8" s="6" t="n">
        <v>51.2</v>
      </c>
      <c r="T8" s="6" t="n">
        <v>57.9</v>
      </c>
      <c r="U8" s="6" t="n">
        <v>67</v>
      </c>
      <c r="V8" s="6" t="n">
        <v>74.09999999999999</v>
      </c>
      <c r="W8" s="6" t="n">
        <v>81.5</v>
      </c>
      <c r="X8" s="6" t="n">
        <v>91.59999999999999</v>
      </c>
      <c r="Y8" s="6" t="n">
        <v>99.59999999999999</v>
      </c>
    </row>
    <row r="9">
      <c r="A9" s="6" t="n">
        <v>1981</v>
      </c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>
        <v>74</v>
      </c>
      <c r="M9" s="6" t="inlineStr">
        <is>
          <t>1h</t>
        </is>
      </c>
      <c r="N9" s="6" t="n">
        <v>18.6</v>
      </c>
      <c r="O9" s="6" t="n">
        <v>30.1</v>
      </c>
      <c r="P9" s="6" t="n">
        <v>38.4</v>
      </c>
      <c r="Q9" s="6" t="n">
        <v>49.9</v>
      </c>
      <c r="R9" s="6" t="n">
        <v>59.1</v>
      </c>
      <c r="S9" s="6" t="n">
        <v>68.8</v>
      </c>
      <c r="T9" s="6" t="n">
        <v>79.3</v>
      </c>
      <c r="U9" s="6" t="n">
        <v>94.09999999999999</v>
      </c>
      <c r="V9" s="6" t="n">
        <v>106.2</v>
      </c>
      <c r="W9" s="6" t="n">
        <v>119.2</v>
      </c>
      <c r="X9" s="6" t="n">
        <v>137.7</v>
      </c>
      <c r="Y9" s="6" t="n">
        <v>152.8</v>
      </c>
    </row>
    <row r="10">
      <c r="A10" s="6" t="n">
        <v>1982</v>
      </c>
      <c r="B10" s="7" t="n"/>
      <c r="C10" s="7" t="n"/>
      <c r="D10" s="7" t="n"/>
      <c r="E10" s="7" t="n"/>
      <c r="F10" s="7" t="n"/>
      <c r="G10" s="7" t="n"/>
      <c r="H10" s="7" t="n"/>
      <c r="I10" s="7" t="n"/>
      <c r="J10" s="7" t="n"/>
      <c r="K10" s="7" t="n">
        <v>44.2</v>
      </c>
      <c r="M10" s="6" t="inlineStr">
        <is>
          <t>2h</t>
        </is>
      </c>
      <c r="N10" s="6" t="n">
        <v>21.4</v>
      </c>
      <c r="O10" s="6" t="n">
        <v>35.8</v>
      </c>
      <c r="P10" s="6" t="n">
        <v>46.9</v>
      </c>
      <c r="Q10" s="6" t="n">
        <v>63.3</v>
      </c>
      <c r="R10" s="6" t="n">
        <v>77.2</v>
      </c>
      <c r="S10" s="6" t="n">
        <v>92.8</v>
      </c>
      <c r="T10" s="6" t="n">
        <v>110.4</v>
      </c>
      <c r="U10" s="6" t="n">
        <v>137</v>
      </c>
      <c r="V10" s="6" t="n">
        <v>160.1</v>
      </c>
      <c r="W10" s="6" t="n">
        <v>186.2</v>
      </c>
      <c r="X10" s="6" t="n">
        <v>225.7</v>
      </c>
      <c r="Y10" s="6" t="n">
        <v>260</v>
      </c>
    </row>
    <row r="11">
      <c r="A11" s="6" t="n">
        <v>1983</v>
      </c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>
        <v>34.8</v>
      </c>
      <c r="M11" s="6" t="inlineStr">
        <is>
          <t>3h</t>
        </is>
      </c>
      <c r="N11" s="6" t="n">
        <v>23.2</v>
      </c>
      <c r="O11" s="6" t="n">
        <v>39.5</v>
      </c>
      <c r="P11" s="6" t="n">
        <v>52.6</v>
      </c>
      <c r="Q11" s="6" t="n">
        <v>72.59999999999999</v>
      </c>
      <c r="R11" s="6" t="n">
        <v>90.3</v>
      </c>
      <c r="S11" s="6" t="n">
        <v>110.6</v>
      </c>
      <c r="T11" s="6" t="n">
        <v>134.2</v>
      </c>
      <c r="U11" s="6" t="n">
        <v>171.2</v>
      </c>
      <c r="V11" s="6" t="n">
        <v>204.5</v>
      </c>
      <c r="W11" s="6" t="n">
        <v>243.1</v>
      </c>
      <c r="X11" s="6" t="n">
        <v>303.7</v>
      </c>
      <c r="Y11" s="6" t="n">
        <v>358.1</v>
      </c>
    </row>
    <row r="12">
      <c r="A12" s="6" t="n">
        <v>1984</v>
      </c>
      <c r="B12" s="7" t="n"/>
      <c r="C12" s="7" t="n"/>
      <c r="D12" s="7" t="n"/>
      <c r="E12" s="7" t="n"/>
      <c r="F12" s="7" t="n"/>
      <c r="G12" s="7" t="n"/>
      <c r="H12" s="7" t="n"/>
      <c r="I12" s="7" t="n"/>
      <c r="J12" s="7" t="n"/>
      <c r="K12" s="7" t="n">
        <v>1</v>
      </c>
      <c r="M12" s="6" t="inlineStr">
        <is>
          <t>6h</t>
        </is>
      </c>
      <c r="N12" s="6" t="n">
        <v>26.4</v>
      </c>
      <c r="O12" s="6" t="n">
        <v>47.3</v>
      </c>
      <c r="P12" s="6" t="n">
        <v>65.3</v>
      </c>
      <c r="Q12" s="6" t="n">
        <v>94.40000000000001</v>
      </c>
      <c r="R12" s="6" t="n">
        <v>121.7</v>
      </c>
      <c r="S12" s="6" t="n">
        <v>154.9</v>
      </c>
      <c r="T12" s="6" t="n">
        <v>195.2</v>
      </c>
      <c r="U12" s="6" t="n">
        <v>262.3</v>
      </c>
      <c r="V12" s="6" t="n">
        <v>326.1</v>
      </c>
      <c r="W12" s="6" t="n">
        <v>403.9</v>
      </c>
      <c r="X12" s="6" t="n">
        <v>533.5</v>
      </c>
      <c r="Y12" s="6" t="n">
        <v>656.8</v>
      </c>
    </row>
    <row r="13">
      <c r="A13" s="6" t="n">
        <v>1985</v>
      </c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>
        <v>3.4</v>
      </c>
      <c r="M13" s="6" t="inlineStr">
        <is>
          <t>12h</t>
        </is>
      </c>
      <c r="N13" s="6" t="n">
        <v>29.1</v>
      </c>
      <c r="O13" s="6" t="n">
        <v>55.1</v>
      </c>
      <c r="P13" s="6" t="n">
        <v>79.2</v>
      </c>
      <c r="Q13" s="6" t="n">
        <v>120.9</v>
      </c>
      <c r="R13" s="6" t="n">
        <v>162.7</v>
      </c>
      <c r="S13" s="6" t="n">
        <v>216.3</v>
      </c>
      <c r="T13" s="6" t="n">
        <v>285.3</v>
      </c>
      <c r="U13" s="6" t="n">
        <v>407.8</v>
      </c>
      <c r="V13" s="6" t="n">
        <v>532</v>
      </c>
      <c r="W13" s="6" t="n">
        <v>692</v>
      </c>
      <c r="X13" s="6" t="n">
        <v>976.8</v>
      </c>
      <c r="Y13" s="6" t="n">
        <v>1265.5</v>
      </c>
    </row>
    <row r="14">
      <c r="A14" s="6" t="n">
        <v>1986</v>
      </c>
      <c r="B14" s="7" t="n"/>
      <c r="C14" s="7" t="n"/>
      <c r="D14" s="7" t="n"/>
      <c r="E14" s="7" t="n"/>
      <c r="F14" s="7" t="n"/>
      <c r="G14" s="7" t="n"/>
      <c r="H14" s="7" t="n"/>
      <c r="I14" s="7" t="n"/>
      <c r="J14" s="7" t="n"/>
      <c r="K14" s="7" t="n">
        <v>33.2</v>
      </c>
      <c r="M14" s="6" t="inlineStr">
        <is>
          <t>24h</t>
        </is>
      </c>
      <c r="N14" s="6" t="n">
        <v>34.9</v>
      </c>
      <c r="O14" s="6" t="n">
        <v>66.7</v>
      </c>
      <c r="P14" s="6" t="n">
        <v>95.59999999999999</v>
      </c>
      <c r="Q14" s="6" t="n">
        <v>144.1</v>
      </c>
      <c r="R14" s="6" t="n">
        <v>191.5</v>
      </c>
      <c r="S14" s="6" t="n">
        <v>251.1</v>
      </c>
      <c r="T14" s="6" t="n">
        <v>326.1</v>
      </c>
      <c r="U14" s="6" t="n">
        <v>456.2</v>
      </c>
      <c r="V14" s="6" t="n">
        <v>585</v>
      </c>
      <c r="W14" s="6" t="n">
        <v>747.5</v>
      </c>
      <c r="X14" s="6" t="n">
        <v>1029.5</v>
      </c>
      <c r="Y14" s="6" t="n">
        <v>1308.6</v>
      </c>
    </row>
    <row r="15">
      <c r="A15" s="6" t="n">
        <v>1987</v>
      </c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>
        <v>47.4</v>
      </c>
    </row>
    <row r="16">
      <c r="A16" s="6" t="n">
        <v>1988</v>
      </c>
      <c r="B16" s="7" t="n"/>
      <c r="C16" s="7" t="n"/>
      <c r="D16" s="7" t="n"/>
      <c r="E16" s="7" t="n"/>
      <c r="F16" s="7" t="n"/>
      <c r="G16" s="7" t="n"/>
      <c r="H16" s="7" t="n"/>
      <c r="I16" s="7" t="n"/>
      <c r="J16" s="7" t="n"/>
      <c r="K16" s="7" t="n">
        <v>21.6</v>
      </c>
      <c r="M16" s="3" t="inlineStr">
        <is>
          <t>IDF - intensity (mm/hr) [x=duration(min)]</t>
        </is>
      </c>
    </row>
    <row r="17">
      <c r="A17" s="6" t="n">
        <v>1989</v>
      </c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>
        <v>27.5</v>
      </c>
      <c r="M17" t="inlineStr">
        <is>
          <t>Duration(min)</t>
        </is>
      </c>
      <c r="N17" t="inlineStr">
        <is>
          <t>2 yr</t>
        </is>
      </c>
      <c r="O17" t="inlineStr">
        <is>
          <t>5 yr</t>
        </is>
      </c>
      <c r="P17" t="inlineStr">
        <is>
          <t>10 yr</t>
        </is>
      </c>
      <c r="Q17" t="inlineStr">
        <is>
          <t>25 yr</t>
        </is>
      </c>
      <c r="R17" t="inlineStr">
        <is>
          <t>50 yr</t>
        </is>
      </c>
      <c r="S17" t="inlineStr">
        <is>
          <t>100 yr</t>
        </is>
      </c>
      <c r="T17" t="inlineStr">
        <is>
          <t>200 yr</t>
        </is>
      </c>
      <c r="U17" t="inlineStr">
        <is>
          <t>500 yr</t>
        </is>
      </c>
      <c r="V17" t="inlineStr">
        <is>
          <t>1000 yr</t>
        </is>
      </c>
      <c r="W17" t="inlineStr">
        <is>
          <t>2000 yr</t>
        </is>
      </c>
      <c r="X17" t="inlineStr">
        <is>
          <t>5000 yr</t>
        </is>
      </c>
      <c r="Y17" t="inlineStr">
        <is>
          <t>10000 yr</t>
        </is>
      </c>
    </row>
    <row r="18">
      <c r="A18" s="6" t="n">
        <v>1990</v>
      </c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  <c r="K18" s="7" t="n">
        <v>36.5</v>
      </c>
      <c r="M18" t="n">
        <v>5</v>
      </c>
      <c r="N18" t="n">
        <v>65.2</v>
      </c>
      <c r="O18" t="n">
        <v>99.2</v>
      </c>
      <c r="P18" t="n">
        <v>121</v>
      </c>
      <c r="Q18" t="n">
        <v>147.5</v>
      </c>
      <c r="R18" t="n">
        <v>166.6</v>
      </c>
      <c r="S18" t="n">
        <v>185</v>
      </c>
      <c r="T18" t="n">
        <v>202.9</v>
      </c>
      <c r="U18" t="n">
        <v>225.8</v>
      </c>
      <c r="V18" t="n">
        <v>242.5</v>
      </c>
      <c r="W18" t="n">
        <v>258.8</v>
      </c>
      <c r="X18" t="n">
        <v>279.6</v>
      </c>
      <c r="Y18" t="n">
        <v>294.9</v>
      </c>
    </row>
    <row r="19">
      <c r="A19" s="6" t="n">
        <v>1991</v>
      </c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>
        <v>14</v>
      </c>
      <c r="M19" t="n">
        <v>10</v>
      </c>
      <c r="N19" t="n">
        <v>53.8</v>
      </c>
      <c r="O19" t="n">
        <v>81.7</v>
      </c>
      <c r="P19" t="n">
        <v>99.5</v>
      </c>
      <c r="Q19" t="n">
        <v>121.3</v>
      </c>
      <c r="R19" t="n">
        <v>136.9</v>
      </c>
      <c r="S19" t="n">
        <v>152</v>
      </c>
      <c r="T19" t="n">
        <v>166.6</v>
      </c>
      <c r="U19" t="n">
        <v>185.3</v>
      </c>
      <c r="V19" t="n">
        <v>198.9</v>
      </c>
      <c r="W19" t="n">
        <v>212.2</v>
      </c>
      <c r="X19" t="n">
        <v>229.2</v>
      </c>
      <c r="Y19" t="n">
        <v>241.7</v>
      </c>
    </row>
    <row r="20">
      <c r="A20" s="6" t="n">
        <v>1992</v>
      </c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>
        <v>34.8</v>
      </c>
      <c r="M20" t="n">
        <v>15</v>
      </c>
      <c r="N20" t="n">
        <v>44.7</v>
      </c>
      <c r="O20" t="n">
        <v>69.2</v>
      </c>
      <c r="P20" t="n">
        <v>85.5</v>
      </c>
      <c r="Q20" t="n">
        <v>106</v>
      </c>
      <c r="R20" t="n">
        <v>121.3</v>
      </c>
      <c r="S20" t="n">
        <v>136.4</v>
      </c>
      <c r="T20" t="n">
        <v>151.5</v>
      </c>
      <c r="U20" t="n">
        <v>171.4</v>
      </c>
      <c r="V20" t="n">
        <v>186.5</v>
      </c>
      <c r="W20" t="n">
        <v>201.6</v>
      </c>
      <c r="X20" t="n">
        <v>221.5</v>
      </c>
      <c r="Y20" t="n">
        <v>236.5</v>
      </c>
    </row>
    <row r="21">
      <c r="A21" s="6" t="n">
        <v>1993</v>
      </c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>
        <v>33.7</v>
      </c>
      <c r="M21" t="n">
        <v>30</v>
      </c>
      <c r="N21" t="n">
        <v>30.2</v>
      </c>
      <c r="O21" t="n">
        <v>48.2</v>
      </c>
      <c r="P21" t="n">
        <v>60.6</v>
      </c>
      <c r="Q21" t="n">
        <v>77</v>
      </c>
      <c r="R21" t="n">
        <v>89.59999999999999</v>
      </c>
      <c r="S21" t="n">
        <v>102.5</v>
      </c>
      <c r="T21" t="n">
        <v>115.8</v>
      </c>
      <c r="U21" t="n">
        <v>134</v>
      </c>
      <c r="V21" t="n">
        <v>148.3</v>
      </c>
      <c r="W21" t="n">
        <v>163</v>
      </c>
      <c r="X21" t="n">
        <v>183.2</v>
      </c>
      <c r="Y21" t="n">
        <v>199.1</v>
      </c>
    </row>
    <row r="22">
      <c r="A22" s="6" t="n">
        <v>1994</v>
      </c>
      <c r="B22" s="7" t="n"/>
      <c r="C22" s="7" t="n"/>
      <c r="D22" s="7" t="n"/>
      <c r="E22" s="7" t="n"/>
      <c r="F22" s="7" t="n"/>
      <c r="G22" s="7" t="n"/>
      <c r="H22" s="7" t="n"/>
      <c r="I22" s="7" t="n"/>
      <c r="J22" s="7" t="n"/>
      <c r="K22" s="7" t="n">
        <v>60.6</v>
      </c>
      <c r="M22" t="n">
        <v>60</v>
      </c>
      <c r="N22" t="n">
        <v>18.6</v>
      </c>
      <c r="O22" t="n">
        <v>30.1</v>
      </c>
      <c r="P22" t="n">
        <v>38.4</v>
      </c>
      <c r="Q22" t="n">
        <v>49.9</v>
      </c>
      <c r="R22" t="n">
        <v>59.1</v>
      </c>
      <c r="S22" t="n">
        <v>68.8</v>
      </c>
      <c r="T22" t="n">
        <v>79.3</v>
      </c>
      <c r="U22" t="n">
        <v>94.09999999999999</v>
      </c>
      <c r="V22" t="n">
        <v>106.2</v>
      </c>
      <c r="W22" t="n">
        <v>119.2</v>
      </c>
      <c r="X22" t="n">
        <v>137.7</v>
      </c>
      <c r="Y22" t="n">
        <v>152.8</v>
      </c>
    </row>
    <row r="23">
      <c r="A23" s="6" t="n">
        <v>1995</v>
      </c>
      <c r="B23" s="7" t="n">
        <v>6.8</v>
      </c>
      <c r="C23" s="7" t="n">
        <v>12.2</v>
      </c>
      <c r="D23" s="7" t="n">
        <v>14.6</v>
      </c>
      <c r="E23" s="7" t="n">
        <v>19.8</v>
      </c>
      <c r="F23" s="7" t="n">
        <v>31.2</v>
      </c>
      <c r="G23" s="7" t="n">
        <v>32.8</v>
      </c>
      <c r="H23" s="7" t="n">
        <v>41.1</v>
      </c>
      <c r="I23" s="7" t="n">
        <v>47.5</v>
      </c>
      <c r="J23" s="7" t="n">
        <v>49.4</v>
      </c>
      <c r="K23" s="7" t="n">
        <v>64.2</v>
      </c>
      <c r="M23" t="n">
        <v>120</v>
      </c>
      <c r="N23" t="n">
        <v>10.7</v>
      </c>
      <c r="O23" t="n">
        <v>17.9</v>
      </c>
      <c r="P23" t="n">
        <v>23.5</v>
      </c>
      <c r="Q23" t="n">
        <v>31.6</v>
      </c>
      <c r="R23" t="n">
        <v>38.6</v>
      </c>
      <c r="S23" t="n">
        <v>46.4</v>
      </c>
      <c r="T23" t="n">
        <v>55.2</v>
      </c>
      <c r="U23" t="n">
        <v>68.5</v>
      </c>
      <c r="V23" t="n">
        <v>80.09999999999999</v>
      </c>
      <c r="W23" t="n">
        <v>93.09999999999999</v>
      </c>
      <c r="X23" t="n">
        <v>112.8</v>
      </c>
      <c r="Y23" t="n">
        <v>130</v>
      </c>
    </row>
    <row r="24">
      <c r="A24" s="6" t="n">
        <v>1996</v>
      </c>
      <c r="B24" s="7" t="n">
        <v>8</v>
      </c>
      <c r="C24" s="7" t="n">
        <v>13</v>
      </c>
      <c r="D24" s="7" t="n">
        <v>17.2</v>
      </c>
      <c r="E24" s="7" t="n">
        <v>28</v>
      </c>
      <c r="F24" s="7" t="n">
        <v>38</v>
      </c>
      <c r="G24" s="7" t="n">
        <v>59.5</v>
      </c>
      <c r="H24" s="7" t="n">
        <v>60.9</v>
      </c>
      <c r="I24" s="7" t="n">
        <v>65</v>
      </c>
      <c r="J24" s="7" t="n">
        <v>82.7</v>
      </c>
      <c r="K24" s="7" t="n">
        <v>92.09999999999999</v>
      </c>
      <c r="M24" t="n">
        <v>180</v>
      </c>
      <c r="N24" t="n">
        <v>7.7</v>
      </c>
      <c r="O24" t="n">
        <v>13.2</v>
      </c>
      <c r="P24" t="n">
        <v>17.5</v>
      </c>
      <c r="Q24" t="n">
        <v>24.2</v>
      </c>
      <c r="R24" t="n">
        <v>30.1</v>
      </c>
      <c r="S24" t="n">
        <v>36.9</v>
      </c>
      <c r="T24" t="n">
        <v>44.7</v>
      </c>
      <c r="U24" t="n">
        <v>57.1</v>
      </c>
      <c r="V24" t="n">
        <v>68.2</v>
      </c>
      <c r="W24" t="n">
        <v>81</v>
      </c>
      <c r="X24" t="n">
        <v>101.2</v>
      </c>
      <c r="Y24" t="n">
        <v>119.4</v>
      </c>
    </row>
    <row r="25">
      <c r="A25" s="6" t="n">
        <v>1997</v>
      </c>
      <c r="B25" s="7" t="n">
        <v>8.6</v>
      </c>
      <c r="C25" s="7" t="n">
        <v>13.2</v>
      </c>
      <c r="D25" s="7" t="n">
        <v>18.2</v>
      </c>
      <c r="E25" s="7" t="n">
        <v>27</v>
      </c>
      <c r="F25" s="7" t="n">
        <v>37.8</v>
      </c>
      <c r="G25" s="7" t="n">
        <v>38.6</v>
      </c>
      <c r="H25" s="7" t="n">
        <v>56.8</v>
      </c>
      <c r="I25" s="7" t="n">
        <v>95.8</v>
      </c>
      <c r="J25" s="7" t="n">
        <v>101.4</v>
      </c>
      <c r="K25" s="7" t="n">
        <v>101.6</v>
      </c>
      <c r="M25" t="n">
        <v>360</v>
      </c>
      <c r="N25" t="n">
        <v>4.4</v>
      </c>
      <c r="O25" t="n">
        <v>7.9</v>
      </c>
      <c r="P25" t="n">
        <v>10.9</v>
      </c>
      <c r="Q25" t="n">
        <v>15.7</v>
      </c>
      <c r="R25" t="n">
        <v>20.3</v>
      </c>
      <c r="S25" t="n">
        <v>25.8</v>
      </c>
      <c r="T25" t="n">
        <v>32.5</v>
      </c>
      <c r="U25" t="n">
        <v>43.7</v>
      </c>
      <c r="V25" t="n">
        <v>54.3</v>
      </c>
      <c r="W25" t="n">
        <v>67.3</v>
      </c>
      <c r="X25" t="n">
        <v>88.90000000000001</v>
      </c>
      <c r="Y25" t="n">
        <v>109.5</v>
      </c>
    </row>
    <row r="26">
      <c r="A26" s="6" t="n">
        <v>1998</v>
      </c>
      <c r="B26" s="7" t="n">
        <v>6.2</v>
      </c>
      <c r="C26" s="7" t="n">
        <v>9</v>
      </c>
      <c r="D26" s="7" t="n">
        <v>9.800000000000001</v>
      </c>
      <c r="E26" s="7" t="n">
        <v>12.8</v>
      </c>
      <c r="F26" s="7" t="n">
        <v>16.7</v>
      </c>
      <c r="G26" s="7" t="n">
        <v>17.7</v>
      </c>
      <c r="H26" s="7" t="n">
        <v>20.4</v>
      </c>
      <c r="I26" s="7" t="n">
        <v>39.2</v>
      </c>
      <c r="J26" s="7" t="n">
        <v>48.6</v>
      </c>
      <c r="K26" s="7" t="n">
        <v>56.9</v>
      </c>
      <c r="M26" t="n">
        <v>720</v>
      </c>
      <c r="N26" t="n">
        <v>2.4</v>
      </c>
      <c r="O26" t="n">
        <v>4.6</v>
      </c>
      <c r="P26" t="n">
        <v>6.6</v>
      </c>
      <c r="Q26" t="n">
        <v>10.1</v>
      </c>
      <c r="R26" t="n">
        <v>13.6</v>
      </c>
      <c r="S26" t="n">
        <v>18</v>
      </c>
      <c r="T26" t="n">
        <v>23.8</v>
      </c>
      <c r="U26" t="n">
        <v>34</v>
      </c>
      <c r="V26" t="n">
        <v>44.3</v>
      </c>
      <c r="W26" t="n">
        <v>57.7</v>
      </c>
      <c r="X26" t="n">
        <v>81.40000000000001</v>
      </c>
      <c r="Y26" t="n">
        <v>105.5</v>
      </c>
    </row>
    <row r="27">
      <c r="A27" s="6" t="n">
        <v>1999</v>
      </c>
      <c r="B27" s="7" t="n">
        <v>5.6</v>
      </c>
      <c r="C27" s="7" t="n">
        <v>8.800000000000001</v>
      </c>
      <c r="D27" s="7" t="n">
        <v>10.6</v>
      </c>
      <c r="E27" s="7" t="n">
        <v>12.9</v>
      </c>
      <c r="F27" s="7" t="n">
        <v>19.8</v>
      </c>
      <c r="G27" s="7" t="n">
        <v>27.5</v>
      </c>
      <c r="H27" s="7" t="n">
        <v>33.1</v>
      </c>
      <c r="I27" s="7" t="n">
        <v>33.3</v>
      </c>
      <c r="J27" s="7" t="n">
        <v>37.6</v>
      </c>
      <c r="K27" s="7" t="n">
        <v>41.3</v>
      </c>
      <c r="M27" t="n">
        <v>1440</v>
      </c>
      <c r="N27" t="n">
        <v>1.5</v>
      </c>
      <c r="O27" t="n">
        <v>2.8</v>
      </c>
      <c r="P27" t="n">
        <v>4</v>
      </c>
      <c r="Q27" t="n">
        <v>6</v>
      </c>
      <c r="R27" t="n">
        <v>8</v>
      </c>
      <c r="S27" t="n">
        <v>10.5</v>
      </c>
      <c r="T27" t="n">
        <v>13.6</v>
      </c>
      <c r="U27" t="n">
        <v>19</v>
      </c>
      <c r="V27" t="n">
        <v>24.4</v>
      </c>
      <c r="W27" t="n">
        <v>31.1</v>
      </c>
      <c r="X27" t="n">
        <v>42.9</v>
      </c>
      <c r="Y27" t="n">
        <v>54.5</v>
      </c>
    </row>
    <row r="28">
      <c r="A28" s="6" t="n">
        <v>2000</v>
      </c>
      <c r="B28" s="7" t="n">
        <v>2.4</v>
      </c>
      <c r="C28" s="7" t="n">
        <v>2.4</v>
      </c>
      <c r="D28" s="7" t="n">
        <v>2.4</v>
      </c>
      <c r="E28" s="7" t="n">
        <v>2.4</v>
      </c>
      <c r="F28" s="7" t="n">
        <v>2.5</v>
      </c>
      <c r="G28" s="7" t="n">
        <v>2.5</v>
      </c>
      <c r="H28" s="7" t="n">
        <v>2.6</v>
      </c>
      <c r="I28" s="7" t="n">
        <v>2.7</v>
      </c>
      <c r="J28" s="7" t="n">
        <v>3</v>
      </c>
      <c r="K28" s="7" t="n">
        <v>3.6</v>
      </c>
    </row>
    <row r="29">
      <c r="A29" s="6" t="n">
        <v>2001</v>
      </c>
      <c r="B29" s="7" t="n">
        <v>6.8</v>
      </c>
      <c r="C29" s="7" t="n">
        <v>12</v>
      </c>
      <c r="D29" s="7" t="n">
        <v>16.8</v>
      </c>
      <c r="E29" s="7" t="n">
        <v>21.4</v>
      </c>
      <c r="F29" s="7" t="n">
        <v>22.8</v>
      </c>
      <c r="G29" s="7" t="n">
        <v>22.9</v>
      </c>
      <c r="H29" s="7" t="n">
        <v>23</v>
      </c>
      <c r="I29" s="7" t="n">
        <v>24</v>
      </c>
      <c r="J29" s="7" t="n">
        <v>24.1</v>
      </c>
      <c r="K29" s="7" t="n">
        <v>24.2</v>
      </c>
    </row>
    <row r="30">
      <c r="A30" s="6" t="n">
        <v>2002</v>
      </c>
      <c r="B30" s="7" t="n"/>
      <c r="C30" s="7" t="n"/>
      <c r="D30" s="7" t="n">
        <v>0.6</v>
      </c>
      <c r="E30" s="7" t="n">
        <v>0.8</v>
      </c>
      <c r="F30" s="7" t="n">
        <v>1</v>
      </c>
      <c r="G30" s="7" t="n">
        <v>1.3</v>
      </c>
      <c r="H30" s="7" t="n">
        <v>1.4</v>
      </c>
      <c r="I30" s="7" t="n">
        <v>2</v>
      </c>
      <c r="J30" s="7" t="n">
        <v>2.7</v>
      </c>
      <c r="K30" s="7" t="n">
        <v>2.9</v>
      </c>
    </row>
    <row r="31">
      <c r="A31" s="6" t="n">
        <v>2003</v>
      </c>
      <c r="B31" s="7" t="n">
        <v>7.6</v>
      </c>
      <c r="C31" s="7" t="n">
        <v>12</v>
      </c>
      <c r="D31" s="7" t="n">
        <v>17.4</v>
      </c>
      <c r="E31" s="7" t="n">
        <v>19.4</v>
      </c>
      <c r="F31" s="7" t="n">
        <v>20</v>
      </c>
      <c r="G31" s="7" t="n">
        <v>21.3</v>
      </c>
      <c r="H31" s="7" t="n">
        <v>21.4</v>
      </c>
      <c r="I31" s="7" t="n">
        <v>21.5</v>
      </c>
      <c r="J31" s="7" t="n">
        <v>22.2</v>
      </c>
      <c r="K31" s="7" t="n">
        <v>31.8</v>
      </c>
    </row>
    <row r="32">
      <c r="A32" s="6" t="n">
        <v>2004</v>
      </c>
      <c r="B32" s="7" t="n">
        <v>0.6</v>
      </c>
      <c r="C32" s="7" t="n">
        <v>0.8</v>
      </c>
      <c r="D32" s="7" t="n">
        <v>1</v>
      </c>
      <c r="E32" s="7" t="n">
        <v>1.2</v>
      </c>
      <c r="F32" s="7" t="n">
        <v>1.8</v>
      </c>
      <c r="G32" s="7" t="n">
        <v>2</v>
      </c>
      <c r="H32" s="7" t="n">
        <v>2</v>
      </c>
      <c r="I32" s="7" t="n">
        <v>2</v>
      </c>
      <c r="J32" s="7" t="n">
        <v>2.1</v>
      </c>
      <c r="K32" s="7" t="n">
        <v>2.2</v>
      </c>
    </row>
    <row r="33">
      <c r="A33" s="6" t="n">
        <v>2005</v>
      </c>
      <c r="B33" s="7" t="n">
        <v>8.4</v>
      </c>
      <c r="C33" s="7" t="n">
        <v>10.6</v>
      </c>
      <c r="D33" s="7" t="n">
        <v>11.4</v>
      </c>
      <c r="E33" s="7" t="n">
        <v>17.6</v>
      </c>
      <c r="F33" s="7" t="n">
        <v>22.2</v>
      </c>
      <c r="G33" s="7" t="n">
        <v>24.7</v>
      </c>
      <c r="H33" s="7" t="n">
        <v>25.1</v>
      </c>
      <c r="I33" s="7" t="n">
        <v>28.7</v>
      </c>
      <c r="J33" s="7" t="n">
        <v>42.3</v>
      </c>
      <c r="K33" s="7" t="n">
        <v>64.3</v>
      </c>
    </row>
    <row r="34">
      <c r="A34" s="6" t="n">
        <v>2006</v>
      </c>
      <c r="B34" s="7" t="n">
        <v>5</v>
      </c>
      <c r="C34" s="7" t="n">
        <v>8.6</v>
      </c>
      <c r="D34" s="7" t="n">
        <v>10.6</v>
      </c>
      <c r="E34" s="7" t="n">
        <v>17.8</v>
      </c>
      <c r="F34" s="7" t="n">
        <v>22.4</v>
      </c>
      <c r="G34" s="7" t="n">
        <v>24.9</v>
      </c>
      <c r="H34" s="7" t="n">
        <v>25.2</v>
      </c>
      <c r="I34" s="7" t="n">
        <v>28.3</v>
      </c>
      <c r="J34" s="7" t="n">
        <v>28.7</v>
      </c>
      <c r="K34" s="7" t="n">
        <v>28.8</v>
      </c>
    </row>
    <row r="35">
      <c r="A35" s="6" t="n">
        <v>2007</v>
      </c>
      <c r="B35" s="7" t="n">
        <v>8.199999999999999</v>
      </c>
      <c r="C35" s="7" t="n">
        <v>13.8</v>
      </c>
      <c r="D35" s="7" t="n">
        <v>19.6</v>
      </c>
      <c r="E35" s="7" t="n">
        <v>34.4</v>
      </c>
      <c r="F35" s="7" t="n">
        <v>58.8</v>
      </c>
      <c r="G35" s="7" t="n">
        <v>97.59999999999999</v>
      </c>
      <c r="H35" s="7" t="n">
        <v>140</v>
      </c>
      <c r="I35" s="7" t="n">
        <v>220.6</v>
      </c>
      <c r="J35" s="7" t="n">
        <v>308.2</v>
      </c>
      <c r="K35" s="7" t="n">
        <v>360.5</v>
      </c>
    </row>
    <row r="36">
      <c r="A36" s="6" t="n">
        <v>2009</v>
      </c>
      <c r="B36" s="7" t="n"/>
      <c r="C36" s="7" t="n"/>
      <c r="D36" s="7" t="n"/>
      <c r="E36" s="7" t="n"/>
      <c r="F36" s="7" t="n"/>
      <c r="G36" s="7" t="n"/>
      <c r="H36" s="7" t="n"/>
      <c r="I36" s="7" t="n"/>
      <c r="J36" s="7" t="n"/>
      <c r="K36" s="7" t="n"/>
    </row>
    <row r="37">
      <c r="A37" s="6" t="n">
        <v>2010</v>
      </c>
      <c r="B37" s="7" t="n">
        <v>9.199999999999999</v>
      </c>
      <c r="C37" s="7" t="n">
        <v>16.8</v>
      </c>
      <c r="D37" s="7" t="n">
        <v>24</v>
      </c>
      <c r="E37" s="7" t="n">
        <v>39.2</v>
      </c>
      <c r="F37" s="7" t="n">
        <v>64.8</v>
      </c>
      <c r="G37" s="7" t="n">
        <v>90.2</v>
      </c>
      <c r="H37" s="7" t="n">
        <v>113</v>
      </c>
      <c r="I37" s="7" t="n">
        <v>188.6</v>
      </c>
      <c r="J37" s="7" t="n">
        <v>319</v>
      </c>
      <c r="K37" s="7" t="n">
        <v>456.6</v>
      </c>
    </row>
    <row r="38">
      <c r="A38" s="6" t="n">
        <v>2011</v>
      </c>
      <c r="B38" s="7" t="n">
        <v>5.2</v>
      </c>
      <c r="C38" s="7" t="n">
        <v>8.4</v>
      </c>
      <c r="D38" s="7" t="n">
        <v>10.2</v>
      </c>
      <c r="E38" s="7" t="n">
        <v>13.6</v>
      </c>
      <c r="F38" s="7" t="n">
        <v>14</v>
      </c>
      <c r="G38" s="7" t="n">
        <v>14</v>
      </c>
      <c r="H38" s="7" t="n">
        <v>15.6</v>
      </c>
      <c r="I38" s="7" t="n">
        <v>18.8</v>
      </c>
      <c r="J38" s="7" t="n">
        <v>19.2</v>
      </c>
      <c r="K38" s="7" t="n">
        <v>19.4</v>
      </c>
    </row>
    <row r="39">
      <c r="A39" s="6" t="n">
        <v>2012</v>
      </c>
      <c r="B39" s="7" t="n">
        <v>7.4</v>
      </c>
      <c r="C39" s="7" t="n">
        <v>12</v>
      </c>
      <c r="D39" s="7" t="n">
        <v>15.4</v>
      </c>
      <c r="E39" s="7" t="n">
        <v>23</v>
      </c>
      <c r="F39" s="7" t="n">
        <v>27.4</v>
      </c>
      <c r="G39" s="7" t="n">
        <v>28.9</v>
      </c>
      <c r="H39" s="7" t="n">
        <v>34.2</v>
      </c>
      <c r="I39" s="7" t="n">
        <v>36</v>
      </c>
      <c r="J39" s="7" t="n">
        <v>36.1</v>
      </c>
      <c r="K39" s="7" t="n">
        <v>54.2</v>
      </c>
    </row>
    <row r="40">
      <c r="A40" s="6" t="n">
        <v>2013</v>
      </c>
      <c r="B40" s="7" t="n">
        <v>5.2</v>
      </c>
      <c r="C40" s="7" t="n">
        <v>10.2</v>
      </c>
      <c r="D40" s="7" t="n">
        <v>14</v>
      </c>
      <c r="E40" s="7" t="n">
        <v>22.4</v>
      </c>
      <c r="F40" s="7" t="n">
        <v>28.8</v>
      </c>
      <c r="G40" s="7" t="n">
        <v>56.8</v>
      </c>
      <c r="H40" s="7" t="n">
        <v>61.2</v>
      </c>
      <c r="I40" s="7" t="n">
        <v>61.3</v>
      </c>
      <c r="J40" s="7" t="n">
        <v>61.5</v>
      </c>
      <c r="K40" s="7" t="n">
        <v>61.9</v>
      </c>
    </row>
    <row r="41">
      <c r="A41" s="6" t="n">
        <v>2014</v>
      </c>
      <c r="B41" s="7" t="n">
        <v>4.8</v>
      </c>
      <c r="C41" s="7" t="n">
        <v>9</v>
      </c>
      <c r="D41" s="7" t="n">
        <v>12.2</v>
      </c>
      <c r="E41" s="7" t="n">
        <v>19.4</v>
      </c>
      <c r="F41" s="7" t="n">
        <v>29</v>
      </c>
      <c r="G41" s="7" t="n">
        <v>41.6</v>
      </c>
      <c r="H41" s="7" t="n">
        <v>48</v>
      </c>
      <c r="I41" s="7" t="n">
        <v>48.2</v>
      </c>
      <c r="J41" s="7" t="n">
        <v>48.3</v>
      </c>
      <c r="K41" s="7" t="n">
        <v>48.4</v>
      </c>
    </row>
    <row r="42">
      <c r="A42" s="6" t="n">
        <v>2015</v>
      </c>
      <c r="B42" s="7" t="n">
        <v>3.2</v>
      </c>
      <c r="C42" s="7" t="n">
        <v>5.4</v>
      </c>
      <c r="D42" s="7" t="n">
        <v>7</v>
      </c>
      <c r="E42" s="7" t="n">
        <v>9.1</v>
      </c>
      <c r="F42" s="7" t="n">
        <v>12.2</v>
      </c>
      <c r="G42" s="7" t="n">
        <v>12.6</v>
      </c>
      <c r="H42" s="7" t="n">
        <v>12.6</v>
      </c>
      <c r="I42" s="7" t="n">
        <v>16.1</v>
      </c>
      <c r="J42" s="7" t="n">
        <v>16.2</v>
      </c>
      <c r="K42" s="7" t="n">
        <v>16.3</v>
      </c>
    </row>
    <row r="43">
      <c r="A43" s="6" t="n">
        <v>2016</v>
      </c>
      <c r="B43" s="7" t="n">
        <v>7.2</v>
      </c>
      <c r="C43" s="7" t="n">
        <v>12.4</v>
      </c>
      <c r="D43" s="7" t="n">
        <v>14.4</v>
      </c>
      <c r="E43" s="7" t="n">
        <v>16</v>
      </c>
      <c r="F43" s="7" t="n">
        <v>29.1</v>
      </c>
      <c r="G43" s="7" t="n">
        <v>37.2</v>
      </c>
      <c r="H43" s="7" t="n">
        <v>41.6</v>
      </c>
      <c r="I43" s="7" t="n">
        <v>41.7</v>
      </c>
      <c r="J43" s="7" t="n">
        <v>41.8</v>
      </c>
      <c r="K43" s="7" t="n">
        <v>42</v>
      </c>
    </row>
    <row r="44">
      <c r="A44" s="6" t="n">
        <v>2017</v>
      </c>
      <c r="B44" s="7" t="n"/>
      <c r="C44" s="7" t="n"/>
      <c r="D44" s="7" t="n">
        <v>12.2</v>
      </c>
      <c r="E44" s="7" t="n">
        <v>16.6</v>
      </c>
      <c r="F44" s="7" t="n">
        <v>21</v>
      </c>
      <c r="G44" s="7" t="n">
        <v>22.6</v>
      </c>
      <c r="H44" s="7" t="n">
        <v>22.8</v>
      </c>
      <c r="I44" s="7" t="n">
        <v>23.8</v>
      </c>
      <c r="J44" s="7" t="n">
        <v>23.8</v>
      </c>
      <c r="K44" s="7" t="n">
        <v>23.8</v>
      </c>
    </row>
    <row r="45">
      <c r="A45" s="6" t="n">
        <v>2018</v>
      </c>
      <c r="B45" s="7" t="n"/>
      <c r="C45" s="7" t="n"/>
      <c r="D45" s="7" t="n">
        <v>5.1</v>
      </c>
      <c r="E45" s="7" t="n">
        <v>7.5</v>
      </c>
      <c r="F45" s="7" t="n">
        <v>8.4</v>
      </c>
      <c r="G45" s="7" t="n">
        <v>8.4</v>
      </c>
      <c r="H45" s="7" t="n">
        <v>8.4</v>
      </c>
      <c r="I45" s="7" t="n">
        <v>8.4</v>
      </c>
      <c r="J45" s="7" t="n">
        <v>8.4</v>
      </c>
      <c r="K45" s="7" t="n">
        <v>16.6</v>
      </c>
    </row>
    <row r="46">
      <c r="A46" s="6" t="n">
        <v>2019</v>
      </c>
      <c r="B46" s="7" t="n"/>
      <c r="C46" s="7" t="n"/>
      <c r="D46" s="7" t="n">
        <v>7.3</v>
      </c>
      <c r="E46" s="7" t="n">
        <v>9.199999999999999</v>
      </c>
      <c r="F46" s="7" t="n">
        <v>11.2</v>
      </c>
      <c r="G46" s="7" t="n">
        <v>19</v>
      </c>
      <c r="H46" s="7" t="n">
        <v>22.8</v>
      </c>
      <c r="I46" s="7" t="n">
        <v>30.8</v>
      </c>
      <c r="J46" s="7" t="n">
        <v>35</v>
      </c>
      <c r="K46" s="7" t="n">
        <v>48.6</v>
      </c>
    </row>
    <row r="49">
      <c r="A49" s="2" t="inlineStr">
        <is>
          <t>AMS AFTER gap filling (mm)  -  yellow = added or changed by gap filling</t>
        </is>
      </c>
    </row>
    <row r="50">
      <c r="A50" s="4" t="inlineStr">
        <is>
          <t>Water year</t>
        </is>
      </c>
      <c r="B50" s="5" t="inlineStr">
        <is>
          <t>5min</t>
        </is>
      </c>
      <c r="C50" s="5" t="inlineStr">
        <is>
          <t>10min</t>
        </is>
      </c>
      <c r="D50" s="5" t="inlineStr">
        <is>
          <t>15min</t>
        </is>
      </c>
      <c r="E50" s="5" t="inlineStr">
        <is>
          <t>30min</t>
        </is>
      </c>
      <c r="F50" s="5" t="inlineStr">
        <is>
          <t>1h</t>
        </is>
      </c>
      <c r="G50" s="5" t="inlineStr">
        <is>
          <t>2h</t>
        </is>
      </c>
      <c r="H50" s="5" t="inlineStr">
        <is>
          <t>3h</t>
        </is>
      </c>
      <c r="I50" s="5" t="inlineStr">
        <is>
          <t>6h</t>
        </is>
      </c>
      <c r="J50" s="5" t="inlineStr">
        <is>
          <t>12h</t>
        </is>
      </c>
      <c r="K50" s="5" t="inlineStr">
        <is>
          <t>24h</t>
        </is>
      </c>
    </row>
    <row r="51">
      <c r="A51" s="6" t="n">
        <v>1977</v>
      </c>
      <c r="B51" s="7" t="n"/>
      <c r="C51" s="7" t="n"/>
      <c r="D51" s="7" t="n"/>
      <c r="E51" s="7" t="n"/>
      <c r="F51" s="7" t="n"/>
      <c r="G51" s="7" t="n"/>
      <c r="H51" s="7" t="n"/>
      <c r="I51" s="7" t="n"/>
      <c r="J51" s="7" t="n"/>
      <c r="K51" s="7" t="n">
        <v>39.2</v>
      </c>
    </row>
    <row r="52">
      <c r="A52" s="6" t="n">
        <v>1978</v>
      </c>
      <c r="B52" s="7" t="n"/>
      <c r="C52" s="7" t="n"/>
      <c r="D52" s="7" t="n"/>
      <c r="E52" s="7" t="n"/>
      <c r="F52" s="7" t="n"/>
      <c r="G52" s="7" t="n"/>
      <c r="H52" s="7" t="n"/>
      <c r="I52" s="7" t="n"/>
      <c r="J52" s="7" t="n"/>
      <c r="K52" s="7" t="n">
        <v>25.4</v>
      </c>
    </row>
    <row r="53">
      <c r="A53" s="6" t="n">
        <v>1979</v>
      </c>
      <c r="B53" s="7" t="n"/>
      <c r="C53" s="7" t="n"/>
      <c r="D53" s="7" t="n"/>
      <c r="E53" s="7" t="n"/>
      <c r="F53" s="7" t="n"/>
      <c r="G53" s="7" t="n"/>
      <c r="H53" s="7" t="n"/>
      <c r="I53" s="7" t="n"/>
      <c r="J53" s="7" t="n"/>
      <c r="K53" s="7" t="n">
        <v>22</v>
      </c>
    </row>
    <row r="54">
      <c r="A54" s="6" t="n">
        <v>1980</v>
      </c>
      <c r="B54" s="7" t="n"/>
      <c r="C54" s="7" t="n"/>
      <c r="D54" s="7" t="n"/>
      <c r="E54" s="7" t="n"/>
      <c r="F54" s="7" t="n"/>
      <c r="G54" s="7" t="n"/>
      <c r="H54" s="7" t="n"/>
      <c r="I54" s="7" t="n"/>
      <c r="J54" s="7" t="n"/>
      <c r="K54" s="7" t="n">
        <v>15.6</v>
      </c>
    </row>
    <row r="55">
      <c r="A55" s="6" t="n">
        <v>1981</v>
      </c>
      <c r="B55" s="7" t="n"/>
      <c r="C55" s="7" t="n"/>
      <c r="D55" s="7" t="n"/>
      <c r="E55" s="7" t="n"/>
      <c r="F55" s="7" t="n"/>
      <c r="G55" s="7" t="n"/>
      <c r="H55" s="7" t="n"/>
      <c r="I55" s="7" t="n"/>
      <c r="J55" s="7" t="n"/>
      <c r="K55" s="7" t="n">
        <v>74</v>
      </c>
    </row>
    <row r="56">
      <c r="A56" s="6" t="n">
        <v>1982</v>
      </c>
      <c r="B56" s="7" t="n"/>
      <c r="C56" s="7" t="n"/>
      <c r="D56" s="7" t="n"/>
      <c r="E56" s="7" t="n"/>
      <c r="F56" s="7" t="n"/>
      <c r="G56" s="7" t="n"/>
      <c r="H56" s="7" t="n"/>
      <c r="I56" s="7" t="n"/>
      <c r="J56" s="7" t="n"/>
      <c r="K56" s="7" t="n">
        <v>44.2</v>
      </c>
    </row>
    <row r="57">
      <c r="A57" s="6" t="n">
        <v>1983</v>
      </c>
      <c r="B57" s="7" t="n"/>
      <c r="C57" s="7" t="n"/>
      <c r="D57" s="7" t="n"/>
      <c r="E57" s="7" t="n"/>
      <c r="F57" s="7" t="n"/>
      <c r="G57" s="7" t="n"/>
      <c r="H57" s="7" t="n"/>
      <c r="I57" s="7" t="n"/>
      <c r="J57" s="7" t="n"/>
      <c r="K57" s="7" t="n">
        <v>34.8</v>
      </c>
    </row>
    <row r="58">
      <c r="A58" s="6" t="n">
        <v>1984</v>
      </c>
      <c r="B58" s="7" t="n"/>
      <c r="C58" s="7" t="n"/>
      <c r="D58" s="7" t="n"/>
      <c r="E58" s="7" t="n"/>
      <c r="F58" s="7" t="n"/>
      <c r="G58" s="7" t="n"/>
      <c r="H58" s="7" t="n"/>
      <c r="I58" s="7" t="n"/>
      <c r="J58" s="7" t="n"/>
      <c r="K58" s="7" t="n">
        <v>1</v>
      </c>
    </row>
    <row r="59">
      <c r="A59" s="6" t="n">
        <v>1985</v>
      </c>
      <c r="B59" s="7" t="n"/>
      <c r="C59" s="7" t="n"/>
      <c r="D59" s="7" t="n"/>
      <c r="E59" s="7" t="n"/>
      <c r="F59" s="7" t="n"/>
      <c r="G59" s="7" t="n"/>
      <c r="H59" s="7" t="n"/>
      <c r="I59" s="7" t="n"/>
      <c r="J59" s="7" t="n"/>
      <c r="K59" s="7" t="n">
        <v>3.4</v>
      </c>
    </row>
    <row r="60">
      <c r="A60" s="6" t="n">
        <v>1986</v>
      </c>
      <c r="B60" s="7" t="n"/>
      <c r="C60" s="7" t="n"/>
      <c r="D60" s="7" t="n"/>
      <c r="E60" s="7" t="n"/>
      <c r="F60" s="7" t="n"/>
      <c r="G60" s="7" t="n"/>
      <c r="H60" s="7" t="n"/>
      <c r="I60" s="7" t="n"/>
      <c r="J60" s="7" t="n"/>
      <c r="K60" s="7" t="n">
        <v>33.2</v>
      </c>
    </row>
    <row r="61">
      <c r="A61" s="6" t="n">
        <v>1987</v>
      </c>
      <c r="B61" s="7" t="n"/>
      <c r="C61" s="7" t="n"/>
      <c r="D61" s="7" t="n"/>
      <c r="E61" s="7" t="n"/>
      <c r="F61" s="7" t="n"/>
      <c r="G61" s="7" t="n"/>
      <c r="H61" s="7" t="n"/>
      <c r="I61" s="7" t="n"/>
      <c r="J61" s="7" t="n"/>
      <c r="K61" s="7" t="n">
        <v>47.4</v>
      </c>
    </row>
    <row r="62">
      <c r="A62" s="6" t="n">
        <v>1988</v>
      </c>
      <c r="B62" s="7" t="n"/>
      <c r="C62" s="7" t="n"/>
      <c r="D62" s="7" t="n"/>
      <c r="E62" s="7" t="n"/>
      <c r="F62" s="7" t="n"/>
      <c r="G62" s="7" t="n"/>
      <c r="H62" s="7" t="n"/>
      <c r="I62" s="7" t="n"/>
      <c r="J62" s="7" t="n"/>
      <c r="K62" s="7" t="n">
        <v>21.6</v>
      </c>
    </row>
    <row r="63">
      <c r="A63" s="6" t="n">
        <v>1989</v>
      </c>
      <c r="B63" s="7" t="n"/>
      <c r="C63" s="7" t="n"/>
      <c r="D63" s="7" t="n"/>
      <c r="E63" s="7" t="n"/>
      <c r="F63" s="7" t="n"/>
      <c r="G63" s="7" t="n"/>
      <c r="H63" s="7" t="n"/>
      <c r="I63" s="7" t="n"/>
      <c r="J63" s="7" t="n"/>
      <c r="K63" s="7" t="n">
        <v>27.5</v>
      </c>
    </row>
    <row r="64">
      <c r="A64" s="6" t="n">
        <v>1990</v>
      </c>
      <c r="B64" s="7" t="n"/>
      <c r="C64" s="7" t="n"/>
      <c r="D64" s="7" t="n"/>
      <c r="E64" s="7" t="n"/>
      <c r="F64" s="7" t="n"/>
      <c r="G64" s="7" t="n"/>
      <c r="H64" s="7" t="n"/>
      <c r="I64" s="7" t="n"/>
      <c r="J64" s="7" t="n"/>
      <c r="K64" s="7" t="n">
        <v>36.5</v>
      </c>
    </row>
    <row r="65">
      <c r="A65" s="6" t="n">
        <v>1991</v>
      </c>
      <c r="B65" s="7" t="n"/>
      <c r="C65" s="7" t="n"/>
      <c r="D65" s="7" t="n"/>
      <c r="E65" s="7" t="n"/>
      <c r="F65" s="7" t="n"/>
      <c r="G65" s="7" t="n"/>
      <c r="H65" s="7" t="n"/>
      <c r="I65" s="7" t="n"/>
      <c r="J65" s="7" t="n"/>
      <c r="K65" s="7" t="n">
        <v>14</v>
      </c>
    </row>
    <row r="66">
      <c r="A66" s="6" t="n">
        <v>1992</v>
      </c>
      <c r="B66" s="7" t="n"/>
      <c r="C66" s="7" t="n"/>
      <c r="D66" s="7" t="n"/>
      <c r="E66" s="7" t="n"/>
      <c r="F66" s="7" t="n"/>
      <c r="G66" s="7" t="n"/>
      <c r="H66" s="7" t="n"/>
      <c r="I66" s="7" t="n"/>
      <c r="J66" s="7" t="n"/>
      <c r="K66" s="7" t="n">
        <v>34.8</v>
      </c>
    </row>
    <row r="67">
      <c r="A67" s="6" t="n">
        <v>1993</v>
      </c>
      <c r="B67" s="7" t="n"/>
      <c r="C67" s="7" t="n"/>
      <c r="D67" s="7" t="n"/>
      <c r="E67" s="7" t="n"/>
      <c r="F67" s="7" t="n"/>
      <c r="G67" s="7" t="n"/>
      <c r="H67" s="7" t="n"/>
      <c r="I67" s="7" t="n"/>
      <c r="J67" s="7" t="n"/>
      <c r="K67" s="7" t="n">
        <v>33.7</v>
      </c>
    </row>
    <row r="68">
      <c r="A68" s="6" t="n">
        <v>1994</v>
      </c>
      <c r="B68" s="7" t="n"/>
      <c r="C68" s="7" t="n"/>
      <c r="D68" s="7" t="n"/>
      <c r="E68" s="7" t="n"/>
      <c r="F68" s="7" t="n"/>
      <c r="G68" s="7" t="n"/>
      <c r="H68" s="7" t="n"/>
      <c r="I68" s="7" t="n"/>
      <c r="J68" s="7" t="n"/>
      <c r="K68" s="7" t="n">
        <v>60.6</v>
      </c>
    </row>
    <row r="69">
      <c r="A69" s="6" t="n">
        <v>1995</v>
      </c>
      <c r="B69" s="7" t="n">
        <v>6.8</v>
      </c>
      <c r="C69" s="7" t="n">
        <v>12.2</v>
      </c>
      <c r="D69" s="7" t="n">
        <v>14.6</v>
      </c>
      <c r="E69" s="7" t="n">
        <v>19.8</v>
      </c>
      <c r="F69" s="7" t="n">
        <v>31.2</v>
      </c>
      <c r="G69" s="7" t="n">
        <v>32.8</v>
      </c>
      <c r="H69" s="7" t="n">
        <v>41.1</v>
      </c>
      <c r="I69" s="7" t="n">
        <v>47.5</v>
      </c>
      <c r="J69" s="7" t="n">
        <v>49.4</v>
      </c>
      <c r="K69" s="7" t="n">
        <v>64.2</v>
      </c>
    </row>
    <row r="70">
      <c r="A70" s="6" t="n">
        <v>1996</v>
      </c>
      <c r="B70" s="7" t="n">
        <v>8</v>
      </c>
      <c r="C70" s="7" t="n">
        <v>13</v>
      </c>
      <c r="D70" s="7" t="n">
        <v>17.2</v>
      </c>
      <c r="E70" s="7" t="n">
        <v>28</v>
      </c>
      <c r="F70" s="7" t="n">
        <v>38</v>
      </c>
      <c r="G70" s="7" t="n">
        <v>59.5</v>
      </c>
      <c r="H70" s="7" t="n">
        <v>60.9</v>
      </c>
      <c r="I70" s="7" t="n">
        <v>65</v>
      </c>
      <c r="J70" s="7" t="n">
        <v>82.7</v>
      </c>
      <c r="K70" s="7" t="n">
        <v>92.09999999999999</v>
      </c>
    </row>
    <row r="71">
      <c r="A71" s="6" t="n">
        <v>1997</v>
      </c>
      <c r="B71" s="7" t="n">
        <v>8.6</v>
      </c>
      <c r="C71" s="7" t="n">
        <v>13.2</v>
      </c>
      <c r="D71" s="7" t="n">
        <v>18.2</v>
      </c>
      <c r="E71" s="7" t="n">
        <v>27</v>
      </c>
      <c r="F71" s="7" t="n">
        <v>37.8</v>
      </c>
      <c r="G71" s="7" t="n">
        <v>38.6</v>
      </c>
      <c r="H71" s="7" t="n">
        <v>56.8</v>
      </c>
      <c r="I71" s="7" t="n">
        <v>95.8</v>
      </c>
      <c r="J71" s="7" t="n">
        <v>101.4</v>
      </c>
      <c r="K71" s="7" t="n">
        <v>101.6</v>
      </c>
    </row>
    <row r="72">
      <c r="A72" s="6" t="n">
        <v>1998</v>
      </c>
      <c r="B72" s="7" t="n">
        <v>6.2</v>
      </c>
      <c r="C72" s="7" t="n">
        <v>9</v>
      </c>
      <c r="D72" s="7" t="n">
        <v>9.800000000000001</v>
      </c>
      <c r="E72" s="7" t="n">
        <v>12.8</v>
      </c>
      <c r="F72" s="7" t="n">
        <v>16.7</v>
      </c>
      <c r="G72" s="7" t="n">
        <v>17.7</v>
      </c>
      <c r="H72" s="7" t="n">
        <v>20.4</v>
      </c>
      <c r="I72" s="7" t="n">
        <v>39.2</v>
      </c>
      <c r="J72" s="7" t="n">
        <v>48.6</v>
      </c>
      <c r="K72" s="7" t="n">
        <v>56.9</v>
      </c>
    </row>
    <row r="73">
      <c r="A73" s="6" t="n">
        <v>1999</v>
      </c>
      <c r="B73" s="7" t="n">
        <v>5.6</v>
      </c>
      <c r="C73" s="7" t="n">
        <v>8.800000000000001</v>
      </c>
      <c r="D73" s="7" t="n">
        <v>10.6</v>
      </c>
      <c r="E73" s="7" t="n">
        <v>12.9</v>
      </c>
      <c r="F73" s="7" t="n">
        <v>19.8</v>
      </c>
      <c r="G73" s="7" t="n">
        <v>27.5</v>
      </c>
      <c r="H73" s="7" t="n">
        <v>33.1</v>
      </c>
      <c r="I73" s="7" t="n">
        <v>33.3</v>
      </c>
      <c r="J73" s="7" t="n">
        <v>37.6</v>
      </c>
      <c r="K73" s="7" t="n">
        <v>41.3</v>
      </c>
    </row>
    <row r="74">
      <c r="A74" s="6" t="n">
        <v>2000</v>
      </c>
      <c r="B74" s="7" t="n">
        <v>2.4</v>
      </c>
      <c r="C74" s="7" t="n">
        <v>2.4</v>
      </c>
      <c r="D74" s="7" t="n">
        <v>2.4</v>
      </c>
      <c r="E74" s="8" t="n">
        <v>3.5</v>
      </c>
      <c r="F74" s="8" t="n">
        <v>5.1</v>
      </c>
      <c r="G74" s="8" t="n">
        <v>7.4</v>
      </c>
      <c r="H74" s="8" t="n">
        <v>7.7</v>
      </c>
      <c r="I74" s="8" t="n">
        <v>7.7</v>
      </c>
      <c r="J74" s="8" t="n">
        <v>7.8</v>
      </c>
      <c r="K74" s="8" t="n">
        <v>7.9</v>
      </c>
    </row>
    <row r="75">
      <c r="A75" s="6" t="n">
        <v>2001</v>
      </c>
      <c r="B75" s="7" t="n">
        <v>6.8</v>
      </c>
      <c r="C75" s="7" t="n">
        <v>12</v>
      </c>
      <c r="D75" s="7" t="n">
        <v>16.8</v>
      </c>
      <c r="E75" s="7" t="n">
        <v>21.4</v>
      </c>
      <c r="F75" s="7" t="n">
        <v>22.8</v>
      </c>
      <c r="G75" s="7" t="n">
        <v>22.9</v>
      </c>
      <c r="H75" s="7" t="n">
        <v>23</v>
      </c>
      <c r="I75" s="7" t="n">
        <v>24</v>
      </c>
      <c r="J75" s="7" t="n">
        <v>24.1</v>
      </c>
      <c r="K75" s="7" t="n">
        <v>24.2</v>
      </c>
    </row>
    <row r="76">
      <c r="A76" s="6" t="n">
        <v>2002</v>
      </c>
      <c r="B76" s="8" t="n">
        <v>1.6</v>
      </c>
      <c r="C76" s="8" t="n">
        <v>2.6</v>
      </c>
      <c r="D76" s="8" t="n">
        <v>3.6</v>
      </c>
      <c r="E76" s="8" t="n">
        <v>6.3</v>
      </c>
      <c r="F76" s="8" t="n">
        <v>6.8</v>
      </c>
      <c r="G76" s="8" t="n">
        <v>10.4</v>
      </c>
      <c r="H76" s="8" t="n">
        <v>10.6</v>
      </c>
      <c r="I76" s="8" t="n">
        <v>10.6</v>
      </c>
      <c r="J76" s="8" t="n">
        <v>10.7</v>
      </c>
      <c r="K76" s="8" t="n">
        <v>10.7</v>
      </c>
    </row>
    <row r="77">
      <c r="A77" s="6" t="n">
        <v>2003</v>
      </c>
      <c r="B77" s="7" t="n">
        <v>7.6</v>
      </c>
      <c r="C77" s="7" t="n">
        <v>12</v>
      </c>
      <c r="D77" s="7" t="n">
        <v>17.4</v>
      </c>
      <c r="E77" s="7" t="n">
        <v>19.4</v>
      </c>
      <c r="F77" s="7" t="n">
        <v>20</v>
      </c>
      <c r="G77" s="7" t="n">
        <v>21.3</v>
      </c>
      <c r="H77" s="7" t="n">
        <v>21.4</v>
      </c>
      <c r="I77" s="7" t="n">
        <v>21.5</v>
      </c>
      <c r="J77" s="7" t="n">
        <v>22.2</v>
      </c>
      <c r="K77" s="7" t="n">
        <v>31.8</v>
      </c>
    </row>
    <row r="78">
      <c r="A78" s="6" t="n">
        <v>2004</v>
      </c>
      <c r="B78" s="8" t="n">
        <v>1.4</v>
      </c>
      <c r="C78" s="8" t="n">
        <v>2.6</v>
      </c>
      <c r="D78" s="8" t="n">
        <v>2.9</v>
      </c>
      <c r="E78" s="8" t="n">
        <v>3.7</v>
      </c>
      <c r="F78" s="8" t="n">
        <v>5.7</v>
      </c>
      <c r="G78" s="8" t="n">
        <v>7.1</v>
      </c>
      <c r="H78" s="8" t="n">
        <v>7.4</v>
      </c>
      <c r="I78" s="8" t="n">
        <v>7.7</v>
      </c>
      <c r="J78" s="8" t="n">
        <v>7.7</v>
      </c>
      <c r="K78" s="8" t="n">
        <v>7.7</v>
      </c>
    </row>
    <row r="79">
      <c r="A79" s="6" t="n">
        <v>2005</v>
      </c>
      <c r="B79" s="7" t="n">
        <v>8.4</v>
      </c>
      <c r="C79" s="7" t="n">
        <v>10.6</v>
      </c>
      <c r="D79" s="7" t="n">
        <v>11.4</v>
      </c>
      <c r="E79" s="7" t="n">
        <v>17.6</v>
      </c>
      <c r="F79" s="7" t="n">
        <v>22.2</v>
      </c>
      <c r="G79" s="7" t="n">
        <v>24.7</v>
      </c>
      <c r="H79" s="7" t="n">
        <v>25.1</v>
      </c>
      <c r="I79" s="7" t="n">
        <v>28.7</v>
      </c>
      <c r="J79" s="7" t="n">
        <v>42.3</v>
      </c>
      <c r="K79" s="7" t="n">
        <v>64.3</v>
      </c>
    </row>
    <row r="80">
      <c r="A80" s="6" t="n">
        <v>2006</v>
      </c>
      <c r="B80" s="7" t="n">
        <v>5</v>
      </c>
      <c r="C80" s="7" t="n">
        <v>8.6</v>
      </c>
      <c r="D80" s="7" t="n">
        <v>10.6</v>
      </c>
      <c r="E80" s="7" t="n">
        <v>17.8</v>
      </c>
      <c r="F80" s="7" t="n">
        <v>22.4</v>
      </c>
      <c r="G80" s="7" t="n">
        <v>24.9</v>
      </c>
      <c r="H80" s="7" t="n">
        <v>25.2</v>
      </c>
      <c r="I80" s="7" t="n">
        <v>28.3</v>
      </c>
      <c r="J80" s="7" t="n">
        <v>28.7</v>
      </c>
      <c r="K80" s="7" t="n">
        <v>28.8</v>
      </c>
    </row>
    <row r="81">
      <c r="A81" s="6" t="n">
        <v>2007</v>
      </c>
      <c r="B81" s="7" t="n">
        <v>8.199999999999999</v>
      </c>
      <c r="C81" s="7" t="n">
        <v>13.8</v>
      </c>
      <c r="D81" s="7" t="n">
        <v>19.6</v>
      </c>
      <c r="E81" s="7" t="n">
        <v>34.4</v>
      </c>
      <c r="F81" s="7" t="n">
        <v>58.8</v>
      </c>
      <c r="G81" s="7" t="n">
        <v>97.59999999999999</v>
      </c>
      <c r="H81" s="7" t="n">
        <v>140</v>
      </c>
      <c r="I81" s="7" t="n">
        <v>220.6</v>
      </c>
      <c r="J81" s="7" t="n">
        <v>308.2</v>
      </c>
      <c r="K81" s="7" t="n">
        <v>360.5</v>
      </c>
    </row>
    <row r="82">
      <c r="A82" s="6" t="n">
        <v>2009</v>
      </c>
      <c r="B82" s="8" t="n">
        <v>3.5</v>
      </c>
      <c r="C82" s="8" t="n">
        <v>5.5</v>
      </c>
      <c r="D82" s="8" t="n">
        <v>6.9</v>
      </c>
      <c r="E82" s="8" t="n">
        <v>8.300000000000001</v>
      </c>
      <c r="F82" s="8" t="n">
        <v>9.300000000000001</v>
      </c>
      <c r="G82" s="8" t="n">
        <v>16.4</v>
      </c>
      <c r="H82" s="8" t="n">
        <v>17.2</v>
      </c>
      <c r="I82" s="8" t="n">
        <v>24.9</v>
      </c>
      <c r="J82" s="8" t="n">
        <v>30</v>
      </c>
      <c r="K82" s="8" t="n">
        <v>42</v>
      </c>
    </row>
    <row r="83">
      <c r="A83" s="6" t="n">
        <v>2010</v>
      </c>
      <c r="B83" s="7" t="n">
        <v>9.199999999999999</v>
      </c>
      <c r="C83" s="7" t="n">
        <v>16.8</v>
      </c>
      <c r="D83" s="7" t="n">
        <v>24</v>
      </c>
      <c r="E83" s="7" t="n">
        <v>39.2</v>
      </c>
      <c r="F83" s="7" t="n">
        <v>64.8</v>
      </c>
      <c r="G83" s="7" t="n">
        <v>90.2</v>
      </c>
      <c r="H83" s="7" t="n">
        <v>113</v>
      </c>
      <c r="I83" s="7" t="n">
        <v>188.6</v>
      </c>
      <c r="J83" s="7" t="n">
        <v>319</v>
      </c>
      <c r="K83" s="7" t="n">
        <v>456.6</v>
      </c>
    </row>
    <row r="84">
      <c r="A84" s="6" t="n">
        <v>2011</v>
      </c>
      <c r="B84" s="7" t="n">
        <v>5.2</v>
      </c>
      <c r="C84" s="7" t="n">
        <v>8.4</v>
      </c>
      <c r="D84" s="7" t="n">
        <v>10.2</v>
      </c>
      <c r="E84" s="7" t="n">
        <v>13.6</v>
      </c>
      <c r="F84" s="7" t="n">
        <v>14</v>
      </c>
      <c r="G84" s="7" t="n">
        <v>14</v>
      </c>
      <c r="H84" s="7" t="n">
        <v>15.6</v>
      </c>
      <c r="I84" s="7" t="n">
        <v>18.8</v>
      </c>
      <c r="J84" s="7" t="n">
        <v>19.2</v>
      </c>
      <c r="K84" s="7" t="n">
        <v>19.4</v>
      </c>
    </row>
    <row r="85">
      <c r="A85" s="6" t="n">
        <v>2012</v>
      </c>
      <c r="B85" s="7" t="n">
        <v>7.4</v>
      </c>
      <c r="C85" s="7" t="n">
        <v>12</v>
      </c>
      <c r="D85" s="7" t="n">
        <v>15.4</v>
      </c>
      <c r="E85" s="7" t="n">
        <v>23</v>
      </c>
      <c r="F85" s="7" t="n">
        <v>27.4</v>
      </c>
      <c r="G85" s="7" t="n">
        <v>28.9</v>
      </c>
      <c r="H85" s="7" t="n">
        <v>34.2</v>
      </c>
      <c r="I85" s="7" t="n">
        <v>36</v>
      </c>
      <c r="J85" s="7" t="n">
        <v>36.1</v>
      </c>
      <c r="K85" s="7" t="n">
        <v>54.2</v>
      </c>
    </row>
    <row r="86">
      <c r="A86" s="6" t="n">
        <v>2013</v>
      </c>
      <c r="B86" s="7" t="n">
        <v>5.2</v>
      </c>
      <c r="C86" s="7" t="n">
        <v>10.2</v>
      </c>
      <c r="D86" s="7" t="n">
        <v>14</v>
      </c>
      <c r="E86" s="7" t="n">
        <v>22.4</v>
      </c>
      <c r="F86" s="7" t="n">
        <v>28.8</v>
      </c>
      <c r="G86" s="7" t="n">
        <v>56.8</v>
      </c>
      <c r="H86" s="7" t="n">
        <v>61.2</v>
      </c>
      <c r="I86" s="7" t="n">
        <v>61.3</v>
      </c>
      <c r="J86" s="7" t="n">
        <v>61.5</v>
      </c>
      <c r="K86" s="7" t="n">
        <v>61.9</v>
      </c>
    </row>
    <row r="87">
      <c r="A87" s="6" t="n">
        <v>2014</v>
      </c>
      <c r="B87" s="7" t="n">
        <v>4.8</v>
      </c>
      <c r="C87" s="7" t="n">
        <v>9</v>
      </c>
      <c r="D87" s="7" t="n">
        <v>12.2</v>
      </c>
      <c r="E87" s="7" t="n">
        <v>19.4</v>
      </c>
      <c r="F87" s="7" t="n">
        <v>29</v>
      </c>
      <c r="G87" s="7" t="n">
        <v>41.6</v>
      </c>
      <c r="H87" s="7" t="n">
        <v>48</v>
      </c>
      <c r="I87" s="7" t="n">
        <v>48.2</v>
      </c>
      <c r="J87" s="7" t="n">
        <v>48.3</v>
      </c>
      <c r="K87" s="7" t="n">
        <v>48.4</v>
      </c>
    </row>
    <row r="88">
      <c r="A88" s="6" t="n">
        <v>2015</v>
      </c>
      <c r="B88" s="7" t="n">
        <v>3.2</v>
      </c>
      <c r="C88" s="7" t="n">
        <v>5.4</v>
      </c>
      <c r="D88" s="7" t="n">
        <v>7</v>
      </c>
      <c r="E88" s="7" t="n">
        <v>9.1</v>
      </c>
      <c r="F88" s="7" t="n">
        <v>12.2</v>
      </c>
      <c r="G88" s="7" t="n">
        <v>12.6</v>
      </c>
      <c r="H88" s="7" t="n">
        <v>12.6</v>
      </c>
      <c r="I88" s="7" t="n">
        <v>16.1</v>
      </c>
      <c r="J88" s="7" t="n">
        <v>16.2</v>
      </c>
      <c r="K88" s="7" t="n">
        <v>16.3</v>
      </c>
    </row>
    <row r="89">
      <c r="A89" s="6" t="n">
        <v>2016</v>
      </c>
      <c r="B89" s="7" t="n">
        <v>7.2</v>
      </c>
      <c r="C89" s="7" t="n">
        <v>12.4</v>
      </c>
      <c r="D89" s="7" t="n">
        <v>14.4</v>
      </c>
      <c r="E89" s="7" t="n">
        <v>16</v>
      </c>
      <c r="F89" s="7" t="n">
        <v>29.1</v>
      </c>
      <c r="G89" s="7" t="n">
        <v>37.2</v>
      </c>
      <c r="H89" s="7" t="n">
        <v>41.6</v>
      </c>
      <c r="I89" s="7" t="n">
        <v>41.7</v>
      </c>
      <c r="J89" s="7" t="n">
        <v>41.8</v>
      </c>
      <c r="K89" s="7" t="n">
        <v>42</v>
      </c>
    </row>
    <row r="90">
      <c r="A90" s="6" t="n">
        <v>2017</v>
      </c>
      <c r="B90" s="7" t="n"/>
      <c r="C90" s="7" t="n"/>
      <c r="D90" s="7" t="n">
        <v>12.2</v>
      </c>
      <c r="E90" s="7" t="n">
        <v>16.6</v>
      </c>
      <c r="F90" s="7" t="n">
        <v>21</v>
      </c>
      <c r="G90" s="7" t="n">
        <v>22.6</v>
      </c>
      <c r="H90" s="7" t="n">
        <v>22.8</v>
      </c>
      <c r="I90" s="7" t="n">
        <v>23.8</v>
      </c>
      <c r="J90" s="7" t="n">
        <v>23.8</v>
      </c>
      <c r="K90" s="7" t="n">
        <v>23.8</v>
      </c>
    </row>
    <row r="91">
      <c r="A91" s="6" t="n">
        <v>2018</v>
      </c>
      <c r="B91" s="7" t="n"/>
      <c r="C91" s="7" t="n"/>
      <c r="D91" s="7" t="n">
        <v>5.1</v>
      </c>
      <c r="E91" s="7" t="n">
        <v>7.5</v>
      </c>
      <c r="F91" s="7" t="n">
        <v>8.4</v>
      </c>
      <c r="G91" s="7" t="n">
        <v>8.4</v>
      </c>
      <c r="H91" s="7" t="n">
        <v>8.4</v>
      </c>
      <c r="I91" s="7" t="n">
        <v>8.4</v>
      </c>
      <c r="J91" s="7" t="n">
        <v>8.4</v>
      </c>
      <c r="K91" s="7" t="n">
        <v>16.6</v>
      </c>
    </row>
    <row r="92">
      <c r="A92" s="6" t="n">
        <v>2019</v>
      </c>
      <c r="B92" s="7" t="n"/>
      <c r="C92" s="7" t="n"/>
      <c r="D92" s="7" t="n">
        <v>7.3</v>
      </c>
      <c r="E92" s="7" t="n">
        <v>9.199999999999999</v>
      </c>
      <c r="F92" s="7" t="n">
        <v>11.2</v>
      </c>
      <c r="G92" s="7" t="n">
        <v>19</v>
      </c>
      <c r="H92" s="7" t="n">
        <v>22.8</v>
      </c>
      <c r="I92" s="7" t="n">
        <v>30.8</v>
      </c>
      <c r="J92" s="7" t="n">
        <v>35</v>
      </c>
      <c r="K92" s="7" t="n">
        <v>48.6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Y27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</cols>
  <sheetData>
    <row r="1">
      <c r="A1" s="1" t="inlineStr">
        <is>
          <t>Gauge 59  |  GL052000AF  |  Wadi Al Arabiyeen at Batha</t>
        </is>
      </c>
    </row>
    <row r="3">
      <c r="A3" s="2" t="inlineStr">
        <is>
          <t>AMS BEFORE gap filling (observed only, mm)</t>
        </is>
      </c>
      <c r="M3" s="3" t="inlineStr">
        <is>
          <t>IDF - design rainfall DEPTH (mm)</t>
        </is>
      </c>
    </row>
    <row r="4">
      <c r="A4" s="4" t="inlineStr">
        <is>
          <t>Water year</t>
        </is>
      </c>
      <c r="B4" s="5" t="inlineStr">
        <is>
          <t>5min</t>
        </is>
      </c>
      <c r="C4" s="5" t="inlineStr">
        <is>
          <t>10min</t>
        </is>
      </c>
      <c r="D4" s="5" t="inlineStr">
        <is>
          <t>15min</t>
        </is>
      </c>
      <c r="E4" s="5" t="inlineStr">
        <is>
          <t>30min</t>
        </is>
      </c>
      <c r="F4" s="5" t="inlineStr">
        <is>
          <t>1h</t>
        </is>
      </c>
      <c r="G4" s="5" t="inlineStr">
        <is>
          <t>2h</t>
        </is>
      </c>
      <c r="H4" s="5" t="inlineStr">
        <is>
          <t>3h</t>
        </is>
      </c>
      <c r="I4" s="5" t="inlineStr">
        <is>
          <t>6h</t>
        </is>
      </c>
      <c r="J4" s="5" t="inlineStr">
        <is>
          <t>12h</t>
        </is>
      </c>
      <c r="K4" s="5" t="inlineStr">
        <is>
          <t>24h</t>
        </is>
      </c>
      <c r="M4" s="4" t="inlineStr">
        <is>
          <t>Duration \ RP</t>
        </is>
      </c>
      <c r="N4" s="4" t="n">
        <v>2</v>
      </c>
      <c r="O4" s="4" t="n">
        <v>5</v>
      </c>
      <c r="P4" s="4" t="n">
        <v>10</v>
      </c>
      <c r="Q4" s="4" t="n">
        <v>25</v>
      </c>
      <c r="R4" s="4" t="n">
        <v>50</v>
      </c>
      <c r="S4" s="4" t="n">
        <v>100</v>
      </c>
      <c r="T4" s="4" t="n">
        <v>200</v>
      </c>
      <c r="U4" s="4" t="n">
        <v>500</v>
      </c>
      <c r="V4" s="4" t="n">
        <v>1000</v>
      </c>
      <c r="W4" s="4" t="n">
        <v>2000</v>
      </c>
      <c r="X4" s="4" t="n">
        <v>5000</v>
      </c>
      <c r="Y4" s="4" t="n">
        <v>10000</v>
      </c>
    </row>
    <row r="5">
      <c r="A5" s="6" t="n">
        <v>2016</v>
      </c>
      <c r="B5" s="7" t="n">
        <v>2</v>
      </c>
      <c r="C5" s="7" t="n">
        <v>2</v>
      </c>
      <c r="D5" s="7" t="n">
        <v>2</v>
      </c>
      <c r="E5" s="7" t="n">
        <v>2.1</v>
      </c>
      <c r="F5" s="7" t="n">
        <v>2.1</v>
      </c>
      <c r="G5" s="7" t="n">
        <v>2.2</v>
      </c>
      <c r="H5" s="7" t="n">
        <v>2.3</v>
      </c>
      <c r="I5" s="7" t="n">
        <v>2.6</v>
      </c>
      <c r="J5" s="7" t="n">
        <v>3.2</v>
      </c>
      <c r="K5" s="7" t="n">
        <v>3.2</v>
      </c>
      <c r="M5" s="6" t="inlineStr">
        <is>
          <t>5min</t>
        </is>
      </c>
      <c r="N5" s="6" t="n">
        <v>5.5</v>
      </c>
      <c r="O5" s="6" t="n">
        <v>8.199999999999999</v>
      </c>
      <c r="P5" s="6" t="n">
        <v>9.800000000000001</v>
      </c>
      <c r="Q5" s="6" t="n">
        <v>11.7</v>
      </c>
      <c r="R5" s="6" t="n">
        <v>12.9</v>
      </c>
      <c r="S5" s="6" t="n">
        <v>14.1</v>
      </c>
      <c r="T5" s="6" t="n">
        <v>15.2</v>
      </c>
      <c r="U5" s="6" t="n">
        <v>16.6</v>
      </c>
      <c r="V5" s="6" t="n">
        <v>17.5</v>
      </c>
      <c r="W5" s="6" t="n">
        <v>18.4</v>
      </c>
      <c r="X5" s="6" t="n">
        <v>19.5</v>
      </c>
      <c r="Y5" s="6" t="n">
        <v>20.2</v>
      </c>
    </row>
    <row r="6">
      <c r="A6" s="6" t="n">
        <v>2017</v>
      </c>
      <c r="B6" s="7" t="n">
        <v>6.8</v>
      </c>
      <c r="C6" s="7" t="n">
        <v>9.4</v>
      </c>
      <c r="D6" s="7" t="n">
        <v>14.6</v>
      </c>
      <c r="E6" s="7" t="n">
        <v>18.8</v>
      </c>
      <c r="F6" s="7" t="n">
        <v>23.6</v>
      </c>
      <c r="G6" s="7" t="n">
        <v>25.5</v>
      </c>
      <c r="H6" s="7" t="n">
        <v>25.6</v>
      </c>
      <c r="I6" s="7" t="n">
        <v>26.8</v>
      </c>
      <c r="J6" s="7" t="n">
        <v>26.9</v>
      </c>
      <c r="K6" s="7" t="n">
        <v>27</v>
      </c>
      <c r="M6" s="6" t="inlineStr">
        <is>
          <t>10min</t>
        </is>
      </c>
      <c r="N6" s="6" t="n">
        <v>9.1</v>
      </c>
      <c r="O6" s="6" t="n">
        <v>13.5</v>
      </c>
      <c r="P6" s="6" t="n">
        <v>16.2</v>
      </c>
      <c r="Q6" s="6" t="n">
        <v>19.3</v>
      </c>
      <c r="R6" s="6" t="n">
        <v>21.4</v>
      </c>
      <c r="S6" s="6" t="n">
        <v>23.4</v>
      </c>
      <c r="T6" s="6" t="n">
        <v>25.2</v>
      </c>
      <c r="U6" s="6" t="n">
        <v>27.5</v>
      </c>
      <c r="V6" s="6" t="n">
        <v>29.1</v>
      </c>
      <c r="W6" s="6" t="n">
        <v>30.5</v>
      </c>
      <c r="X6" s="6" t="n">
        <v>32.3</v>
      </c>
      <c r="Y6" s="6" t="n">
        <v>33.6</v>
      </c>
    </row>
    <row r="7">
      <c r="A7" s="6" t="n">
        <v>2018</v>
      </c>
      <c r="B7" s="7" t="n"/>
      <c r="C7" s="7" t="n"/>
      <c r="D7" s="7" t="n"/>
      <c r="E7" s="7" t="n"/>
      <c r="F7" s="7" t="n"/>
      <c r="G7" s="7" t="n">
        <v>0.6</v>
      </c>
      <c r="H7" s="7" t="n">
        <v>0.6</v>
      </c>
      <c r="I7" s="7" t="n">
        <v>0.6</v>
      </c>
      <c r="J7" s="7" t="n">
        <v>0.8</v>
      </c>
      <c r="K7" s="7" t="n">
        <v>0.8</v>
      </c>
      <c r="M7" s="6" t="inlineStr">
        <is>
          <t>15min</t>
        </is>
      </c>
      <c r="N7" s="6" t="n">
        <v>11.4</v>
      </c>
      <c r="O7" s="6" t="n">
        <v>17.3</v>
      </c>
      <c r="P7" s="6" t="n">
        <v>21</v>
      </c>
      <c r="Q7" s="6" t="n">
        <v>25.6</v>
      </c>
      <c r="R7" s="6" t="n">
        <v>28.9</v>
      </c>
      <c r="S7" s="6" t="n">
        <v>32.1</v>
      </c>
      <c r="T7" s="6" t="n">
        <v>35.1</v>
      </c>
      <c r="U7" s="6" t="n">
        <v>39.1</v>
      </c>
      <c r="V7" s="6" t="n">
        <v>42</v>
      </c>
      <c r="W7" s="6" t="n">
        <v>44.8</v>
      </c>
      <c r="X7" s="6" t="n">
        <v>48.3</v>
      </c>
      <c r="Y7" s="6" t="n">
        <v>51</v>
      </c>
    </row>
    <row r="8">
      <c r="A8" s="6" t="n">
        <v>2019</v>
      </c>
      <c r="B8" s="7" t="n"/>
      <c r="C8" s="7" t="n"/>
      <c r="D8" s="7" t="n">
        <v>13.6</v>
      </c>
      <c r="E8" s="7" t="n">
        <v>20.2</v>
      </c>
      <c r="F8" s="7" t="n">
        <v>21.4</v>
      </c>
      <c r="G8" s="7" t="n">
        <v>21.4</v>
      </c>
      <c r="H8" s="7" t="n">
        <v>22.2</v>
      </c>
      <c r="I8" s="7" t="n">
        <v>26.8</v>
      </c>
      <c r="J8" s="7" t="n">
        <v>32.4</v>
      </c>
      <c r="K8" s="7" t="n">
        <v>42</v>
      </c>
      <c r="M8" s="6" t="inlineStr">
        <is>
          <t>30min</t>
        </is>
      </c>
      <c r="N8" s="6" t="n">
        <v>15.4</v>
      </c>
      <c r="O8" s="6" t="n">
        <v>24</v>
      </c>
      <c r="P8" s="6" t="n">
        <v>29.9</v>
      </c>
      <c r="Q8" s="6" t="n">
        <v>37.6</v>
      </c>
      <c r="R8" s="6" t="n">
        <v>43.5</v>
      </c>
      <c r="S8" s="6" t="n">
        <v>49.4</v>
      </c>
      <c r="T8" s="6" t="n">
        <v>55.5</v>
      </c>
      <c r="U8" s="6" t="n">
        <v>63.7</v>
      </c>
      <c r="V8" s="6" t="n">
        <v>70.09999999999999</v>
      </c>
      <c r="W8" s="6" t="n">
        <v>76.59999999999999</v>
      </c>
      <c r="X8" s="6" t="n">
        <v>85.5</v>
      </c>
      <c r="Y8" s="6" t="n">
        <v>92.40000000000001</v>
      </c>
    </row>
    <row r="9">
      <c r="A9" s="6" t="n">
        <v>2020</v>
      </c>
      <c r="B9" s="7" t="n"/>
      <c r="C9" s="7" t="n"/>
      <c r="D9" s="7" t="n">
        <v>2.9</v>
      </c>
      <c r="E9" s="7" t="n">
        <v>4.2</v>
      </c>
      <c r="F9" s="7" t="n">
        <v>4.2</v>
      </c>
      <c r="G9" s="7" t="n">
        <v>4.2</v>
      </c>
      <c r="H9" s="7" t="n">
        <v>4.2</v>
      </c>
      <c r="I9" s="7" t="n">
        <v>4.2</v>
      </c>
      <c r="J9" s="7" t="n">
        <v>4.2</v>
      </c>
      <c r="K9" s="7" t="n">
        <v>4.2</v>
      </c>
      <c r="M9" s="6" t="inlineStr">
        <is>
          <t>1h</t>
        </is>
      </c>
      <c r="N9" s="6" t="n">
        <v>19</v>
      </c>
      <c r="O9" s="6" t="n">
        <v>30.1</v>
      </c>
      <c r="P9" s="6" t="n">
        <v>38.1</v>
      </c>
      <c r="Q9" s="6" t="n">
        <v>49</v>
      </c>
      <c r="R9" s="6" t="n">
        <v>57.7</v>
      </c>
      <c r="S9" s="6" t="n">
        <v>66.90000000000001</v>
      </c>
      <c r="T9" s="6" t="n">
        <v>76.7</v>
      </c>
      <c r="U9" s="6" t="n">
        <v>90.59999999999999</v>
      </c>
      <c r="V9" s="6" t="n">
        <v>101.9</v>
      </c>
      <c r="W9" s="6" t="n">
        <v>113.8</v>
      </c>
      <c r="X9" s="6" t="n">
        <v>130.9</v>
      </c>
      <c r="Y9" s="6" t="n">
        <v>144.7</v>
      </c>
    </row>
    <row r="10">
      <c r="A10" s="6" t="n">
        <v>2021</v>
      </c>
      <c r="B10" s="7" t="n">
        <v>12.2</v>
      </c>
      <c r="C10" s="7" t="n">
        <v>19.8</v>
      </c>
      <c r="D10" s="7" t="n">
        <v>24.2</v>
      </c>
      <c r="E10" s="7" t="n">
        <v>35</v>
      </c>
      <c r="F10" s="7" t="n">
        <v>45.7</v>
      </c>
      <c r="G10" s="7" t="n">
        <v>59.2</v>
      </c>
      <c r="H10" s="7" t="n">
        <v>77.2</v>
      </c>
      <c r="I10" s="7" t="n">
        <v>81.8</v>
      </c>
      <c r="J10" s="7" t="n">
        <v>111.8</v>
      </c>
      <c r="K10" s="7" t="n">
        <v>113.7</v>
      </c>
      <c r="M10" s="6" t="inlineStr">
        <is>
          <t>2h</t>
        </is>
      </c>
      <c r="N10" s="6" t="n">
        <v>22.3</v>
      </c>
      <c r="O10" s="6" t="n">
        <v>36</v>
      </c>
      <c r="P10" s="6" t="n">
        <v>46.3</v>
      </c>
      <c r="Q10" s="6" t="n">
        <v>61.2</v>
      </c>
      <c r="R10" s="6" t="n">
        <v>73.59999999999999</v>
      </c>
      <c r="S10" s="6" t="n">
        <v>87.2</v>
      </c>
      <c r="T10" s="6" t="n">
        <v>102.2</v>
      </c>
      <c r="U10" s="6" t="n">
        <v>124.4</v>
      </c>
      <c r="V10" s="6" t="n">
        <v>143.3</v>
      </c>
      <c r="W10" s="6" t="n">
        <v>164.2</v>
      </c>
      <c r="X10" s="6" t="n">
        <v>195.2</v>
      </c>
      <c r="Y10" s="6" t="n">
        <v>221.5</v>
      </c>
    </row>
    <row r="11">
      <c r="M11" s="6" t="inlineStr">
        <is>
          <t>3h</t>
        </is>
      </c>
      <c r="N11" s="6" t="n">
        <v>24.3</v>
      </c>
      <c r="O11" s="6" t="n">
        <v>39.7</v>
      </c>
      <c r="P11" s="6" t="n">
        <v>51.6</v>
      </c>
      <c r="Q11" s="6" t="n">
        <v>68.90000000000001</v>
      </c>
      <c r="R11" s="6" t="n">
        <v>83.7</v>
      </c>
      <c r="S11" s="6" t="n">
        <v>100.1</v>
      </c>
      <c r="T11" s="6" t="n">
        <v>118.5</v>
      </c>
      <c r="U11" s="6" t="n">
        <v>146.2</v>
      </c>
      <c r="V11" s="6" t="n">
        <v>170.2</v>
      </c>
      <c r="W11" s="6" t="n">
        <v>197.1</v>
      </c>
      <c r="X11" s="6" t="n">
        <v>237.7</v>
      </c>
      <c r="Y11" s="6" t="n">
        <v>272.9</v>
      </c>
    </row>
    <row r="12">
      <c r="M12" s="6" t="inlineStr">
        <is>
          <t>6h</t>
        </is>
      </c>
      <c r="N12" s="6" t="n">
        <v>27.7</v>
      </c>
      <c r="O12" s="6" t="n">
        <v>47.3</v>
      </c>
      <c r="P12" s="6" t="n">
        <v>63.2</v>
      </c>
      <c r="Q12" s="6" t="n">
        <v>87.40000000000001</v>
      </c>
      <c r="R12" s="6" t="n">
        <v>108.8</v>
      </c>
      <c r="S12" s="6" t="n">
        <v>133.5</v>
      </c>
      <c r="T12" s="6" t="n">
        <v>162.2</v>
      </c>
      <c r="U12" s="6" t="n">
        <v>207.2</v>
      </c>
      <c r="V12" s="6" t="n">
        <v>247.8</v>
      </c>
      <c r="W12" s="6" t="n">
        <v>294.9</v>
      </c>
      <c r="X12" s="6" t="n">
        <v>369.1</v>
      </c>
      <c r="Y12" s="6" t="n">
        <v>435.8</v>
      </c>
    </row>
    <row r="13">
      <c r="A13" s="2" t="inlineStr">
        <is>
          <t>AMS AFTER gap filling (mm)  -  yellow = added or changed by gap filling</t>
        </is>
      </c>
      <c r="M13" s="6" t="inlineStr">
        <is>
          <t>12h</t>
        </is>
      </c>
      <c r="N13" s="6" t="n">
        <v>30.6</v>
      </c>
      <c r="O13" s="6" t="n">
        <v>55.5</v>
      </c>
      <c r="P13" s="6" t="n">
        <v>77.3</v>
      </c>
      <c r="Q13" s="6" t="n">
        <v>113</v>
      </c>
      <c r="R13" s="6" t="n">
        <v>146.8</v>
      </c>
      <c r="S13" s="6" t="n">
        <v>188.3</v>
      </c>
      <c r="T13" s="6" t="n">
        <v>239.3</v>
      </c>
      <c r="U13" s="6" t="n">
        <v>325.2</v>
      </c>
      <c r="V13" s="6" t="n">
        <v>407.7</v>
      </c>
      <c r="W13" s="6" t="n">
        <v>509.4</v>
      </c>
      <c r="X13" s="6" t="n">
        <v>680.8</v>
      </c>
      <c r="Y13" s="6" t="n">
        <v>845.8</v>
      </c>
    </row>
    <row r="14">
      <c r="A14" s="4" t="inlineStr">
        <is>
          <t>Water year</t>
        </is>
      </c>
      <c r="B14" s="5" t="inlineStr">
        <is>
          <t>5min</t>
        </is>
      </c>
      <c r="C14" s="5" t="inlineStr">
        <is>
          <t>10min</t>
        </is>
      </c>
      <c r="D14" s="5" t="inlineStr">
        <is>
          <t>15min</t>
        </is>
      </c>
      <c r="E14" s="5" t="inlineStr">
        <is>
          <t>30min</t>
        </is>
      </c>
      <c r="F14" s="5" t="inlineStr">
        <is>
          <t>1h</t>
        </is>
      </c>
      <c r="G14" s="5" t="inlineStr">
        <is>
          <t>2h</t>
        </is>
      </c>
      <c r="H14" s="5" t="inlineStr">
        <is>
          <t>3h</t>
        </is>
      </c>
      <c r="I14" s="5" t="inlineStr">
        <is>
          <t>6h</t>
        </is>
      </c>
      <c r="J14" s="5" t="inlineStr">
        <is>
          <t>12h</t>
        </is>
      </c>
      <c r="K14" s="5" t="inlineStr">
        <is>
          <t>24h</t>
        </is>
      </c>
      <c r="M14" s="6" t="inlineStr">
        <is>
          <t>24h</t>
        </is>
      </c>
      <c r="N14" s="6" t="n">
        <v>35.9</v>
      </c>
      <c r="O14" s="6" t="n">
        <v>65.7</v>
      </c>
      <c r="P14" s="6" t="n">
        <v>91.2</v>
      </c>
      <c r="Q14" s="6" t="n">
        <v>132</v>
      </c>
      <c r="R14" s="6" t="n">
        <v>169.9</v>
      </c>
      <c r="S14" s="6" t="n">
        <v>215.6</v>
      </c>
      <c r="T14" s="6" t="n">
        <v>270.8</v>
      </c>
      <c r="U14" s="6" t="n">
        <v>361.8</v>
      </c>
      <c r="V14" s="6" t="n">
        <v>447.6</v>
      </c>
      <c r="W14" s="6" t="n">
        <v>551.5</v>
      </c>
      <c r="X14" s="6" t="n">
        <v>723</v>
      </c>
      <c r="Y14" s="6" t="n">
        <v>884.8</v>
      </c>
    </row>
    <row r="15">
      <c r="A15" s="6" t="n">
        <v>2016</v>
      </c>
      <c r="B15" s="7" t="n">
        <v>2</v>
      </c>
      <c r="C15" s="7" t="n">
        <v>2</v>
      </c>
      <c r="D15" s="7" t="n">
        <v>2</v>
      </c>
      <c r="E15" s="7" t="n">
        <v>2.1</v>
      </c>
      <c r="F15" s="7" t="n">
        <v>2.1</v>
      </c>
      <c r="G15" s="7" t="n">
        <v>2.2</v>
      </c>
      <c r="H15" s="7" t="n">
        <v>2.3</v>
      </c>
      <c r="I15" s="7" t="n">
        <v>2.6</v>
      </c>
      <c r="J15" s="7" t="n">
        <v>3.2</v>
      </c>
      <c r="K15" s="7" t="n">
        <v>3.2</v>
      </c>
    </row>
    <row r="16">
      <c r="A16" s="6" t="n">
        <v>2017</v>
      </c>
      <c r="B16" s="7" t="n">
        <v>6.8</v>
      </c>
      <c r="C16" s="7" t="n">
        <v>9.4</v>
      </c>
      <c r="D16" s="7" t="n">
        <v>14.6</v>
      </c>
      <c r="E16" s="7" t="n">
        <v>18.8</v>
      </c>
      <c r="F16" s="7" t="n">
        <v>23.6</v>
      </c>
      <c r="G16" s="7" t="n">
        <v>25.5</v>
      </c>
      <c r="H16" s="7" t="n">
        <v>25.6</v>
      </c>
      <c r="I16" s="7" t="n">
        <v>26.8</v>
      </c>
      <c r="J16" s="7" t="n">
        <v>26.9</v>
      </c>
      <c r="K16" s="7" t="n">
        <v>27</v>
      </c>
      <c r="M16" s="3" t="inlineStr">
        <is>
          <t>IDF - intensity (mm/hr) [x=duration(min)]</t>
        </is>
      </c>
    </row>
    <row r="17">
      <c r="A17" s="6" t="n">
        <v>2018</v>
      </c>
      <c r="B17" s="7" t="n"/>
      <c r="C17" s="7" t="n"/>
      <c r="D17" s="7" t="n"/>
      <c r="E17" s="7" t="n"/>
      <c r="F17" s="7" t="n"/>
      <c r="G17" s="7" t="n">
        <v>0.6</v>
      </c>
      <c r="H17" s="7" t="n">
        <v>0.6</v>
      </c>
      <c r="I17" s="7" t="n">
        <v>0.6</v>
      </c>
      <c r="J17" s="7" t="n">
        <v>0.8</v>
      </c>
      <c r="K17" s="7" t="n">
        <v>0.8</v>
      </c>
      <c r="M17" t="inlineStr">
        <is>
          <t>Duration(min)</t>
        </is>
      </c>
      <c r="N17" t="inlineStr">
        <is>
          <t>2 yr</t>
        </is>
      </c>
      <c r="O17" t="inlineStr">
        <is>
          <t>5 yr</t>
        </is>
      </c>
      <c r="P17" t="inlineStr">
        <is>
          <t>10 yr</t>
        </is>
      </c>
      <c r="Q17" t="inlineStr">
        <is>
          <t>25 yr</t>
        </is>
      </c>
      <c r="R17" t="inlineStr">
        <is>
          <t>50 yr</t>
        </is>
      </c>
      <c r="S17" t="inlineStr">
        <is>
          <t>100 yr</t>
        </is>
      </c>
      <c r="T17" t="inlineStr">
        <is>
          <t>200 yr</t>
        </is>
      </c>
      <c r="U17" t="inlineStr">
        <is>
          <t>500 yr</t>
        </is>
      </c>
      <c r="V17" t="inlineStr">
        <is>
          <t>1000 yr</t>
        </is>
      </c>
      <c r="W17" t="inlineStr">
        <is>
          <t>2000 yr</t>
        </is>
      </c>
      <c r="X17" t="inlineStr">
        <is>
          <t>5000 yr</t>
        </is>
      </c>
      <c r="Y17" t="inlineStr">
        <is>
          <t>10000 yr</t>
        </is>
      </c>
    </row>
    <row r="18">
      <c r="A18" s="6" t="n">
        <v>2019</v>
      </c>
      <c r="B18" s="7" t="n"/>
      <c r="C18" s="7" t="n"/>
      <c r="D18" s="7" t="n">
        <v>13.6</v>
      </c>
      <c r="E18" s="7" t="n">
        <v>20.2</v>
      </c>
      <c r="F18" s="7" t="n">
        <v>21.4</v>
      </c>
      <c r="G18" s="7" t="n">
        <v>21.4</v>
      </c>
      <c r="H18" s="7" t="n">
        <v>22.2</v>
      </c>
      <c r="I18" s="7" t="n">
        <v>26.8</v>
      </c>
      <c r="J18" s="7" t="n">
        <v>32.4</v>
      </c>
      <c r="K18" s="7" t="n">
        <v>42</v>
      </c>
      <c r="M18" t="n">
        <v>5</v>
      </c>
      <c r="N18" t="n">
        <v>66.2</v>
      </c>
      <c r="O18" t="n">
        <v>98.2</v>
      </c>
      <c r="P18" t="n">
        <v>117.5</v>
      </c>
      <c r="Q18" t="n">
        <v>139.9</v>
      </c>
      <c r="R18" t="n">
        <v>155.2</v>
      </c>
      <c r="S18" t="n">
        <v>169.4</v>
      </c>
      <c r="T18" t="n">
        <v>182.7</v>
      </c>
      <c r="U18" t="n">
        <v>198.8</v>
      </c>
      <c r="V18" t="n">
        <v>210.1</v>
      </c>
      <c r="W18" t="n">
        <v>220.6</v>
      </c>
      <c r="X18" t="n">
        <v>233.4</v>
      </c>
      <c r="Y18" t="n">
        <v>242.4</v>
      </c>
    </row>
    <row r="19">
      <c r="A19" s="6" t="n">
        <v>2020</v>
      </c>
      <c r="B19" s="7" t="n"/>
      <c r="C19" s="7" t="n"/>
      <c r="D19" s="8" t="n">
        <v>3.3</v>
      </c>
      <c r="E19" s="8" t="n">
        <v>5.3</v>
      </c>
      <c r="F19" s="8" t="n">
        <v>7.4</v>
      </c>
      <c r="G19" s="8" t="n">
        <v>12.6</v>
      </c>
      <c r="H19" s="8" t="n">
        <v>16.7</v>
      </c>
      <c r="I19" s="8" t="n">
        <v>16.7</v>
      </c>
      <c r="J19" s="8" t="n">
        <v>16.7</v>
      </c>
      <c r="K19" s="8" t="n">
        <v>22.3</v>
      </c>
      <c r="M19" t="n">
        <v>10</v>
      </c>
      <c r="N19" t="n">
        <v>54.8</v>
      </c>
      <c r="O19" t="n">
        <v>81.2</v>
      </c>
      <c r="P19" t="n">
        <v>97.2</v>
      </c>
      <c r="Q19" t="n">
        <v>115.8</v>
      </c>
      <c r="R19" t="n">
        <v>128.6</v>
      </c>
      <c r="S19" t="n">
        <v>140.4</v>
      </c>
      <c r="T19" t="n">
        <v>151.5</v>
      </c>
      <c r="U19" t="n">
        <v>164.9</v>
      </c>
      <c r="V19" t="n">
        <v>174.4</v>
      </c>
      <c r="W19" t="n">
        <v>183.2</v>
      </c>
      <c r="X19" t="n">
        <v>194</v>
      </c>
      <c r="Y19" t="n">
        <v>201.5</v>
      </c>
    </row>
    <row r="20">
      <c r="A20" s="6" t="n">
        <v>2021</v>
      </c>
      <c r="B20" s="7" t="n">
        <v>12.2</v>
      </c>
      <c r="C20" s="7" t="n">
        <v>19.8</v>
      </c>
      <c r="D20" s="7" t="n">
        <v>24.2</v>
      </c>
      <c r="E20" s="7" t="n">
        <v>35</v>
      </c>
      <c r="F20" s="7" t="n">
        <v>45.7</v>
      </c>
      <c r="G20" s="7" t="n">
        <v>59.2</v>
      </c>
      <c r="H20" s="7" t="n">
        <v>77.2</v>
      </c>
      <c r="I20" s="7" t="n">
        <v>81.8</v>
      </c>
      <c r="J20" s="7" t="n">
        <v>111.8</v>
      </c>
      <c r="K20" s="7" t="n">
        <v>113.7</v>
      </c>
      <c r="M20" t="n">
        <v>15</v>
      </c>
      <c r="N20" t="n">
        <v>45.6</v>
      </c>
      <c r="O20" t="n">
        <v>69.09999999999999</v>
      </c>
      <c r="P20" t="n">
        <v>84.09999999999999</v>
      </c>
      <c r="Q20" t="n">
        <v>102.4</v>
      </c>
      <c r="R20" t="n">
        <v>115.5</v>
      </c>
      <c r="S20" t="n">
        <v>128.2</v>
      </c>
      <c r="T20" t="n">
        <v>140.5</v>
      </c>
      <c r="U20" t="n">
        <v>156.3</v>
      </c>
      <c r="V20" t="n">
        <v>167.8</v>
      </c>
      <c r="W20" t="n">
        <v>179</v>
      </c>
      <c r="X20" t="n">
        <v>193.4</v>
      </c>
      <c r="Y20" t="n">
        <v>203.9</v>
      </c>
    </row>
    <row r="21">
      <c r="M21" t="n">
        <v>30</v>
      </c>
      <c r="N21" t="n">
        <v>30.8</v>
      </c>
      <c r="O21" t="n">
        <v>48.1</v>
      </c>
      <c r="P21" t="n">
        <v>59.9</v>
      </c>
      <c r="Q21" t="n">
        <v>75.2</v>
      </c>
      <c r="R21" t="n">
        <v>86.90000000000001</v>
      </c>
      <c r="S21" t="n">
        <v>98.8</v>
      </c>
      <c r="T21" t="n">
        <v>110.9</v>
      </c>
      <c r="U21" t="n">
        <v>127.4</v>
      </c>
      <c r="V21" t="n">
        <v>140.1</v>
      </c>
      <c r="W21" t="n">
        <v>153.2</v>
      </c>
      <c r="X21" t="n">
        <v>170.9</v>
      </c>
      <c r="Y21" t="n">
        <v>184.7</v>
      </c>
    </row>
    <row r="22">
      <c r="M22" t="n">
        <v>60</v>
      </c>
      <c r="N22" t="n">
        <v>19</v>
      </c>
      <c r="O22" t="n">
        <v>30.1</v>
      </c>
      <c r="P22" t="n">
        <v>38.1</v>
      </c>
      <c r="Q22" t="n">
        <v>49</v>
      </c>
      <c r="R22" t="n">
        <v>57.7</v>
      </c>
      <c r="S22" t="n">
        <v>66.90000000000001</v>
      </c>
      <c r="T22" t="n">
        <v>76.7</v>
      </c>
      <c r="U22" t="n">
        <v>90.59999999999999</v>
      </c>
      <c r="V22" t="n">
        <v>101.9</v>
      </c>
      <c r="W22" t="n">
        <v>113.8</v>
      </c>
      <c r="X22" t="n">
        <v>130.9</v>
      </c>
      <c r="Y22" t="n">
        <v>144.7</v>
      </c>
    </row>
    <row r="23">
      <c r="M23" t="n">
        <v>120</v>
      </c>
      <c r="N23" t="n">
        <v>11.1</v>
      </c>
      <c r="O23" t="n">
        <v>18</v>
      </c>
      <c r="P23" t="n">
        <v>23.2</v>
      </c>
      <c r="Q23" t="n">
        <v>30.6</v>
      </c>
      <c r="R23" t="n">
        <v>36.8</v>
      </c>
      <c r="S23" t="n">
        <v>43.6</v>
      </c>
      <c r="T23" t="n">
        <v>51.1</v>
      </c>
      <c r="U23" t="n">
        <v>62.2</v>
      </c>
      <c r="V23" t="n">
        <v>71.7</v>
      </c>
      <c r="W23" t="n">
        <v>82.09999999999999</v>
      </c>
      <c r="X23" t="n">
        <v>97.59999999999999</v>
      </c>
      <c r="Y23" t="n">
        <v>110.8</v>
      </c>
    </row>
    <row r="24">
      <c r="M24" t="n">
        <v>180</v>
      </c>
      <c r="N24" t="n">
        <v>8.1</v>
      </c>
      <c r="O24" t="n">
        <v>13.2</v>
      </c>
      <c r="P24" t="n">
        <v>17.2</v>
      </c>
      <c r="Q24" t="n">
        <v>23</v>
      </c>
      <c r="R24" t="n">
        <v>27.9</v>
      </c>
      <c r="S24" t="n">
        <v>33.4</v>
      </c>
      <c r="T24" t="n">
        <v>39.5</v>
      </c>
      <c r="U24" t="n">
        <v>48.7</v>
      </c>
      <c r="V24" t="n">
        <v>56.7</v>
      </c>
      <c r="W24" t="n">
        <v>65.7</v>
      </c>
      <c r="X24" t="n">
        <v>79.2</v>
      </c>
      <c r="Y24" t="n">
        <v>91</v>
      </c>
    </row>
    <row r="25">
      <c r="M25" t="n">
        <v>360</v>
      </c>
      <c r="N25" t="n">
        <v>4.6</v>
      </c>
      <c r="O25" t="n">
        <v>7.9</v>
      </c>
      <c r="P25" t="n">
        <v>10.5</v>
      </c>
      <c r="Q25" t="n">
        <v>14.6</v>
      </c>
      <c r="R25" t="n">
        <v>18.1</v>
      </c>
      <c r="S25" t="n">
        <v>22.2</v>
      </c>
      <c r="T25" t="n">
        <v>27</v>
      </c>
      <c r="U25" t="n">
        <v>34.5</v>
      </c>
      <c r="V25" t="n">
        <v>41.3</v>
      </c>
      <c r="W25" t="n">
        <v>49.1</v>
      </c>
      <c r="X25" t="n">
        <v>61.5</v>
      </c>
      <c r="Y25" t="n">
        <v>72.59999999999999</v>
      </c>
    </row>
    <row r="26">
      <c r="M26" t="n">
        <v>720</v>
      </c>
      <c r="N26" t="n">
        <v>2.6</v>
      </c>
      <c r="O26" t="n">
        <v>4.6</v>
      </c>
      <c r="P26" t="n">
        <v>6.4</v>
      </c>
      <c r="Q26" t="n">
        <v>9.4</v>
      </c>
      <c r="R26" t="n">
        <v>12.2</v>
      </c>
      <c r="S26" t="n">
        <v>15.7</v>
      </c>
      <c r="T26" t="n">
        <v>19.9</v>
      </c>
      <c r="U26" t="n">
        <v>27.1</v>
      </c>
      <c r="V26" t="n">
        <v>34</v>
      </c>
      <c r="W26" t="n">
        <v>42.4</v>
      </c>
      <c r="X26" t="n">
        <v>56.7</v>
      </c>
      <c r="Y26" t="n">
        <v>70.5</v>
      </c>
    </row>
    <row r="27">
      <c r="M27" t="n">
        <v>1440</v>
      </c>
      <c r="N27" t="n">
        <v>1.5</v>
      </c>
      <c r="O27" t="n">
        <v>2.7</v>
      </c>
      <c r="P27" t="n">
        <v>3.8</v>
      </c>
      <c r="Q27" t="n">
        <v>5.5</v>
      </c>
      <c r="R27" t="n">
        <v>7.1</v>
      </c>
      <c r="S27" t="n">
        <v>9</v>
      </c>
      <c r="T27" t="n">
        <v>11.3</v>
      </c>
      <c r="U27" t="n">
        <v>15.1</v>
      </c>
      <c r="V27" t="n">
        <v>18.7</v>
      </c>
      <c r="W27" t="n">
        <v>23</v>
      </c>
      <c r="X27" t="n">
        <v>30.1</v>
      </c>
      <c r="Y27" t="n">
        <v>36.9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Y92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</cols>
  <sheetData>
    <row r="1">
      <c r="A1" s="1" t="inlineStr">
        <is>
          <t>Gauge 63  |  FL245564BF  |  AL MUQAYHFAH 2 AT AL MUQAYHFAH</t>
        </is>
      </c>
    </row>
    <row r="3">
      <c r="A3" s="2" t="inlineStr">
        <is>
          <t>AMS BEFORE gap filling (observed only, mm)</t>
        </is>
      </c>
      <c r="M3" s="3" t="inlineStr">
        <is>
          <t>IDF - design rainfall DEPTH (mm)</t>
        </is>
      </c>
    </row>
    <row r="4">
      <c r="A4" s="4" t="inlineStr">
        <is>
          <t>Water year</t>
        </is>
      </c>
      <c r="B4" s="5" t="inlineStr">
        <is>
          <t>5min</t>
        </is>
      </c>
      <c r="C4" s="5" t="inlineStr">
        <is>
          <t>10min</t>
        </is>
      </c>
      <c r="D4" s="5" t="inlineStr">
        <is>
          <t>15min</t>
        </is>
      </c>
      <c r="E4" s="5" t="inlineStr">
        <is>
          <t>30min</t>
        </is>
      </c>
      <c r="F4" s="5" t="inlineStr">
        <is>
          <t>1h</t>
        </is>
      </c>
      <c r="G4" s="5" t="inlineStr">
        <is>
          <t>2h</t>
        </is>
      </c>
      <c r="H4" s="5" t="inlineStr">
        <is>
          <t>3h</t>
        </is>
      </c>
      <c r="I4" s="5" t="inlineStr">
        <is>
          <t>6h</t>
        </is>
      </c>
      <c r="J4" s="5" t="inlineStr">
        <is>
          <t>12h</t>
        </is>
      </c>
      <c r="K4" s="5" t="inlineStr">
        <is>
          <t>24h</t>
        </is>
      </c>
      <c r="M4" s="4" t="inlineStr">
        <is>
          <t>Duration \ RP</t>
        </is>
      </c>
      <c r="N4" s="4" t="n">
        <v>2</v>
      </c>
      <c r="O4" s="4" t="n">
        <v>5</v>
      </c>
      <c r="P4" s="4" t="n">
        <v>10</v>
      </c>
      <c r="Q4" s="4" t="n">
        <v>25</v>
      </c>
      <c r="R4" s="4" t="n">
        <v>50</v>
      </c>
      <c r="S4" s="4" t="n">
        <v>100</v>
      </c>
      <c r="T4" s="4" t="n">
        <v>200</v>
      </c>
      <c r="U4" s="4" t="n">
        <v>500</v>
      </c>
      <c r="V4" s="4" t="n">
        <v>1000</v>
      </c>
      <c r="W4" s="4" t="n">
        <v>2000</v>
      </c>
      <c r="X4" s="4" t="n">
        <v>5000</v>
      </c>
      <c r="Y4" s="4" t="n">
        <v>10000</v>
      </c>
    </row>
    <row r="5">
      <c r="A5" s="6" t="n">
        <v>1978</v>
      </c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>
        <v>11.6</v>
      </c>
      <c r="M5" s="6" t="inlineStr">
        <is>
          <t>5min</t>
        </is>
      </c>
      <c r="N5" s="6" t="n">
        <v>5.5</v>
      </c>
      <c r="O5" s="6" t="n">
        <v>8.4</v>
      </c>
      <c r="P5" s="6" t="n">
        <v>10.6</v>
      </c>
      <c r="Q5" s="6" t="n">
        <v>13.6</v>
      </c>
      <c r="R5" s="6" t="n">
        <v>16</v>
      </c>
      <c r="S5" s="6" t="n">
        <v>18.6</v>
      </c>
      <c r="T5" s="6" t="n">
        <v>21.4</v>
      </c>
      <c r="U5" s="6" t="n">
        <v>25.5</v>
      </c>
      <c r="V5" s="6" t="n">
        <v>28.9</v>
      </c>
      <c r="W5" s="6" t="n">
        <v>32.6</v>
      </c>
      <c r="X5" s="6" t="n">
        <v>37.9</v>
      </c>
      <c r="Y5" s="6" t="n">
        <v>42.4</v>
      </c>
    </row>
    <row r="6">
      <c r="A6" s="6" t="n">
        <v>1979</v>
      </c>
      <c r="B6" s="7" t="n"/>
      <c r="C6" s="7" t="n"/>
      <c r="D6" s="7" t="n"/>
      <c r="E6" s="7" t="n"/>
      <c r="F6" s="7" t="n"/>
      <c r="G6" s="7" t="n"/>
      <c r="H6" s="7" t="n"/>
      <c r="I6" s="7" t="n"/>
      <c r="J6" s="7" t="n"/>
      <c r="K6" s="7" t="n">
        <v>17.2</v>
      </c>
      <c r="M6" s="6" t="inlineStr">
        <is>
          <t>10min</t>
        </is>
      </c>
      <c r="N6" s="6" t="n">
        <v>9.1</v>
      </c>
      <c r="O6" s="6" t="n">
        <v>13.9</v>
      </c>
      <c r="P6" s="6" t="n">
        <v>17.5</v>
      </c>
      <c r="Q6" s="6" t="n">
        <v>22.4</v>
      </c>
      <c r="R6" s="6" t="n">
        <v>26.4</v>
      </c>
      <c r="S6" s="6" t="n">
        <v>30.7</v>
      </c>
      <c r="T6" s="6" t="n">
        <v>35.3</v>
      </c>
      <c r="U6" s="6" t="n">
        <v>41.9</v>
      </c>
      <c r="V6" s="6" t="n">
        <v>47.3</v>
      </c>
      <c r="W6" s="6" t="n">
        <v>53.2</v>
      </c>
      <c r="X6" s="6" t="n">
        <v>61.6</v>
      </c>
      <c r="Y6" s="6" t="n">
        <v>68.5</v>
      </c>
    </row>
    <row r="7">
      <c r="A7" s="6" t="n">
        <v>1980</v>
      </c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>
        <v>27.4</v>
      </c>
      <c r="M7" s="6" t="inlineStr">
        <is>
          <t>15min</t>
        </is>
      </c>
      <c r="N7" s="6" t="n">
        <v>11.6</v>
      </c>
      <c r="O7" s="6" t="n">
        <v>18</v>
      </c>
      <c r="P7" s="6" t="n">
        <v>22.5</v>
      </c>
      <c r="Q7" s="6" t="n">
        <v>28.6</v>
      </c>
      <c r="R7" s="6" t="n">
        <v>33.4</v>
      </c>
      <c r="S7" s="6" t="n">
        <v>38.6</v>
      </c>
      <c r="T7" s="6" t="n">
        <v>43.9</v>
      </c>
      <c r="U7" s="6" t="n">
        <v>51.5</v>
      </c>
      <c r="V7" s="6" t="n">
        <v>57.7</v>
      </c>
      <c r="W7" s="6" t="n">
        <v>64.09999999999999</v>
      </c>
      <c r="X7" s="6" t="n">
        <v>73.3</v>
      </c>
      <c r="Y7" s="6" t="n">
        <v>80.7</v>
      </c>
    </row>
    <row r="8">
      <c r="A8" s="6" t="n">
        <v>1981</v>
      </c>
      <c r="B8" s="7" t="n"/>
      <c r="C8" s="7" t="n"/>
      <c r="D8" s="7" t="n"/>
      <c r="E8" s="7" t="n"/>
      <c r="F8" s="7" t="n"/>
      <c r="G8" s="7" t="n"/>
      <c r="H8" s="7" t="n"/>
      <c r="I8" s="7" t="n"/>
      <c r="J8" s="7" t="n"/>
      <c r="K8" s="7" t="n">
        <v>55.8</v>
      </c>
      <c r="M8" s="6" t="inlineStr">
        <is>
          <t>30min</t>
        </is>
      </c>
      <c r="N8" s="6" t="n">
        <v>16.3</v>
      </c>
      <c r="O8" s="6" t="n">
        <v>25.3</v>
      </c>
      <c r="P8" s="6" t="n">
        <v>31.5</v>
      </c>
      <c r="Q8" s="6" t="n">
        <v>39.6</v>
      </c>
      <c r="R8" s="6" t="n">
        <v>45.8</v>
      </c>
      <c r="S8" s="6" t="n">
        <v>52.2</v>
      </c>
      <c r="T8" s="6" t="n">
        <v>58.8</v>
      </c>
      <c r="U8" s="6" t="n">
        <v>67.7</v>
      </c>
      <c r="V8" s="6" t="n">
        <v>74.8</v>
      </c>
      <c r="W8" s="6" t="n">
        <v>82</v>
      </c>
      <c r="X8" s="6" t="n">
        <v>91.90000000000001</v>
      </c>
      <c r="Y8" s="6" t="n">
        <v>99.59999999999999</v>
      </c>
    </row>
    <row r="9">
      <c r="A9" s="6" t="n">
        <v>1982</v>
      </c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>
        <v>161.8</v>
      </c>
      <c r="M9" s="6" t="inlineStr">
        <is>
          <t>1h</t>
        </is>
      </c>
      <c r="N9" s="6" t="n">
        <v>20.3</v>
      </c>
      <c r="O9" s="6" t="n">
        <v>31.6</v>
      </c>
      <c r="P9" s="6" t="n">
        <v>39.4</v>
      </c>
      <c r="Q9" s="6" t="n">
        <v>49.9</v>
      </c>
      <c r="R9" s="6" t="n">
        <v>58</v>
      </c>
      <c r="S9" s="6" t="n">
        <v>66.3</v>
      </c>
      <c r="T9" s="6" t="n">
        <v>75</v>
      </c>
      <c r="U9" s="6" t="n">
        <v>87</v>
      </c>
      <c r="V9" s="6" t="n">
        <v>96.40000000000001</v>
      </c>
      <c r="W9" s="6" t="n">
        <v>106.3</v>
      </c>
      <c r="X9" s="6" t="n">
        <v>119.9</v>
      </c>
      <c r="Y9" s="6" t="n">
        <v>130.6</v>
      </c>
    </row>
    <row r="10">
      <c r="A10" s="6" t="n">
        <v>1983</v>
      </c>
      <c r="B10" s="7" t="n"/>
      <c r="C10" s="7" t="n"/>
      <c r="D10" s="7" t="n"/>
      <c r="E10" s="7" t="n"/>
      <c r="F10" s="7" t="n"/>
      <c r="G10" s="7" t="n"/>
      <c r="H10" s="7" t="n"/>
      <c r="I10" s="7" t="n"/>
      <c r="J10" s="7" t="n"/>
      <c r="K10" s="7" t="n">
        <v>48.4</v>
      </c>
      <c r="M10" s="6" t="inlineStr">
        <is>
          <t>2h</t>
        </is>
      </c>
      <c r="N10" s="6" t="n">
        <v>23.6</v>
      </c>
      <c r="O10" s="6" t="n">
        <v>37.8</v>
      </c>
      <c r="P10" s="6" t="n">
        <v>48.1</v>
      </c>
      <c r="Q10" s="6" t="n">
        <v>62.1</v>
      </c>
      <c r="R10" s="6" t="n">
        <v>73.3</v>
      </c>
      <c r="S10" s="6" t="n">
        <v>85.2</v>
      </c>
      <c r="T10" s="6" t="n">
        <v>97.8</v>
      </c>
      <c r="U10" s="6" t="n">
        <v>115.8</v>
      </c>
      <c r="V10" s="6" t="n">
        <v>130.4</v>
      </c>
      <c r="W10" s="6" t="n">
        <v>146</v>
      </c>
      <c r="X10" s="6" t="n">
        <v>168.2</v>
      </c>
      <c r="Y10" s="6" t="n">
        <v>186.3</v>
      </c>
    </row>
    <row r="11">
      <c r="A11" s="6" t="n">
        <v>1984</v>
      </c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>
        <v>22</v>
      </c>
      <c r="M11" s="6" t="inlineStr">
        <is>
          <t>3h</t>
        </is>
      </c>
      <c r="N11" s="6" t="n">
        <v>25.1</v>
      </c>
      <c r="O11" s="6" t="n">
        <v>41.4</v>
      </c>
      <c r="P11" s="6" t="n">
        <v>53.7</v>
      </c>
      <c r="Q11" s="6" t="n">
        <v>71.40000000000001</v>
      </c>
      <c r="R11" s="6" t="n">
        <v>86.2</v>
      </c>
      <c r="S11" s="6" t="n">
        <v>102.6</v>
      </c>
      <c r="T11" s="6" t="n">
        <v>120.6</v>
      </c>
      <c r="U11" s="6" t="n">
        <v>147.4</v>
      </c>
      <c r="V11" s="6" t="n">
        <v>170.2</v>
      </c>
      <c r="W11" s="6" t="n">
        <v>195.4</v>
      </c>
      <c r="X11" s="6" t="n">
        <v>233</v>
      </c>
      <c r="Y11" s="6" t="n">
        <v>265</v>
      </c>
    </row>
    <row r="12">
      <c r="A12" s="6" t="n">
        <v>1985</v>
      </c>
      <c r="B12" s="7" t="n"/>
      <c r="C12" s="7" t="n"/>
      <c r="D12" s="7" t="n"/>
      <c r="E12" s="7" t="n"/>
      <c r="F12" s="7" t="n"/>
      <c r="G12" s="7" t="n"/>
      <c r="H12" s="7" t="n"/>
      <c r="I12" s="7" t="n"/>
      <c r="J12" s="7" t="n"/>
      <c r="K12" s="7" t="n">
        <v>1.2</v>
      </c>
      <c r="M12" s="6" t="inlineStr">
        <is>
          <t>6h</t>
        </is>
      </c>
      <c r="N12" s="6" t="n">
        <v>28.1</v>
      </c>
      <c r="O12" s="6" t="n">
        <v>47.5</v>
      </c>
      <c r="P12" s="6" t="n">
        <v>62.4</v>
      </c>
      <c r="Q12" s="6" t="n">
        <v>84</v>
      </c>
      <c r="R12" s="6" t="n">
        <v>102.3</v>
      </c>
      <c r="S12" s="6" t="n">
        <v>122.7</v>
      </c>
      <c r="T12" s="6" t="n">
        <v>145.4</v>
      </c>
      <c r="U12" s="6" t="n">
        <v>179.6</v>
      </c>
      <c r="V12" s="6" t="n">
        <v>209</v>
      </c>
      <c r="W12" s="6" t="n">
        <v>241.8</v>
      </c>
      <c r="X12" s="6" t="n">
        <v>291.2</v>
      </c>
      <c r="Y12" s="6" t="n">
        <v>333.8</v>
      </c>
    </row>
    <row r="13">
      <c r="A13" s="6" t="n">
        <v>1986</v>
      </c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>
        <v>28.8</v>
      </c>
      <c r="M13" s="6" t="inlineStr">
        <is>
          <t>12h</t>
        </is>
      </c>
      <c r="N13" s="6" t="n">
        <v>31.2</v>
      </c>
      <c r="O13" s="6" t="n">
        <v>53.9</v>
      </c>
      <c r="P13" s="6" t="n">
        <v>71.59999999999999</v>
      </c>
      <c r="Q13" s="6" t="n">
        <v>97.7</v>
      </c>
      <c r="R13" s="6" t="n">
        <v>120</v>
      </c>
      <c r="S13" s="6" t="n">
        <v>145</v>
      </c>
      <c r="T13" s="6" t="n">
        <v>173.3</v>
      </c>
      <c r="U13" s="6" t="n">
        <v>216.2</v>
      </c>
      <c r="V13" s="6" t="n">
        <v>253.6</v>
      </c>
      <c r="W13" s="6" t="n">
        <v>295.9</v>
      </c>
      <c r="X13" s="6" t="n">
        <v>360.2</v>
      </c>
      <c r="Y13" s="6" t="n">
        <v>416.2</v>
      </c>
    </row>
    <row r="14">
      <c r="A14" s="6" t="n">
        <v>1987</v>
      </c>
      <c r="B14" s="7" t="n"/>
      <c r="C14" s="7" t="n"/>
      <c r="D14" s="7" t="n"/>
      <c r="E14" s="7" t="n"/>
      <c r="F14" s="7" t="n"/>
      <c r="G14" s="7" t="n"/>
      <c r="H14" s="7" t="n"/>
      <c r="I14" s="7" t="n"/>
      <c r="J14" s="7" t="n"/>
      <c r="K14" s="7" t="n">
        <v>1.2</v>
      </c>
      <c r="M14" s="6" t="inlineStr">
        <is>
          <t>24h</t>
        </is>
      </c>
      <c r="N14" s="6" t="n">
        <v>35.5</v>
      </c>
      <c r="O14" s="6" t="n">
        <v>61</v>
      </c>
      <c r="P14" s="6" t="n">
        <v>80.5</v>
      </c>
      <c r="Q14" s="6" t="n">
        <v>108.5</v>
      </c>
      <c r="R14" s="6" t="n">
        <v>132</v>
      </c>
      <c r="S14" s="6" t="n">
        <v>157.9</v>
      </c>
      <c r="T14" s="6" t="n">
        <v>186.6</v>
      </c>
      <c r="U14" s="6" t="n">
        <v>229.3</v>
      </c>
      <c r="V14" s="6" t="n">
        <v>265.8</v>
      </c>
      <c r="W14" s="6" t="n">
        <v>306.2</v>
      </c>
      <c r="X14" s="6" t="n">
        <v>366.5</v>
      </c>
      <c r="Y14" s="6" t="n">
        <v>418</v>
      </c>
    </row>
    <row r="15">
      <c r="A15" s="6" t="n">
        <v>1988</v>
      </c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>
        <v>15.2</v>
      </c>
    </row>
    <row r="16">
      <c r="A16" s="6" t="n">
        <v>1989</v>
      </c>
      <c r="B16" s="7" t="n"/>
      <c r="C16" s="7" t="n"/>
      <c r="D16" s="7" t="n"/>
      <c r="E16" s="7" t="n"/>
      <c r="F16" s="7" t="n"/>
      <c r="G16" s="7" t="n"/>
      <c r="H16" s="7" t="n"/>
      <c r="I16" s="7" t="n"/>
      <c r="J16" s="7" t="n"/>
      <c r="K16" s="7" t="n">
        <v>4.4</v>
      </c>
      <c r="M16" s="3" t="inlineStr">
        <is>
          <t>IDF - intensity (mm/hr) [x=duration(min)]</t>
        </is>
      </c>
    </row>
    <row r="17">
      <c r="A17" s="6" t="n">
        <v>1990</v>
      </c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>
        <v>50</v>
      </c>
      <c r="M17" t="inlineStr">
        <is>
          <t>Duration(min)</t>
        </is>
      </c>
      <c r="N17" t="inlineStr">
        <is>
          <t>2 yr</t>
        </is>
      </c>
      <c r="O17" t="inlineStr">
        <is>
          <t>5 yr</t>
        </is>
      </c>
      <c r="P17" t="inlineStr">
        <is>
          <t>10 yr</t>
        </is>
      </c>
      <c r="Q17" t="inlineStr">
        <is>
          <t>25 yr</t>
        </is>
      </c>
      <c r="R17" t="inlineStr">
        <is>
          <t>50 yr</t>
        </is>
      </c>
      <c r="S17" t="inlineStr">
        <is>
          <t>100 yr</t>
        </is>
      </c>
      <c r="T17" t="inlineStr">
        <is>
          <t>200 yr</t>
        </is>
      </c>
      <c r="U17" t="inlineStr">
        <is>
          <t>500 yr</t>
        </is>
      </c>
      <c r="V17" t="inlineStr">
        <is>
          <t>1000 yr</t>
        </is>
      </c>
      <c r="W17" t="inlineStr">
        <is>
          <t>2000 yr</t>
        </is>
      </c>
      <c r="X17" t="inlineStr">
        <is>
          <t>5000 yr</t>
        </is>
      </c>
      <c r="Y17" t="inlineStr">
        <is>
          <t>10000 yr</t>
        </is>
      </c>
    </row>
    <row r="18">
      <c r="A18" s="6" t="n">
        <v>1991</v>
      </c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  <c r="K18" s="7" t="n">
        <v>21.8</v>
      </c>
      <c r="M18" t="n">
        <v>5</v>
      </c>
      <c r="N18" t="n">
        <v>66.5</v>
      </c>
      <c r="O18" t="n">
        <v>101.2</v>
      </c>
      <c r="P18" t="n">
        <v>126.9</v>
      </c>
      <c r="Q18" t="n">
        <v>162.6</v>
      </c>
      <c r="R18" t="n">
        <v>191.8</v>
      </c>
      <c r="S18" t="n">
        <v>223.2</v>
      </c>
      <c r="T18" t="n">
        <v>257.1</v>
      </c>
      <c r="U18" t="n">
        <v>306.2</v>
      </c>
      <c r="V18" t="n">
        <v>347</v>
      </c>
      <c r="W18" t="n">
        <v>391.1</v>
      </c>
      <c r="X18" t="n">
        <v>455.2</v>
      </c>
      <c r="Y18" t="n">
        <v>508.4</v>
      </c>
    </row>
    <row r="19">
      <c r="A19" s="6" t="n">
        <v>1992</v>
      </c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>
        <v>42.8</v>
      </c>
      <c r="M19" t="n">
        <v>10</v>
      </c>
      <c r="N19" t="n">
        <v>54.4</v>
      </c>
      <c r="O19" t="n">
        <v>83.59999999999999</v>
      </c>
      <c r="P19" t="n">
        <v>105.1</v>
      </c>
      <c r="Q19" t="n">
        <v>134.7</v>
      </c>
      <c r="R19" t="n">
        <v>158.7</v>
      </c>
      <c r="S19" t="n">
        <v>184.3</v>
      </c>
      <c r="T19" t="n">
        <v>211.8</v>
      </c>
      <c r="U19" t="n">
        <v>251.4</v>
      </c>
      <c r="V19" t="n">
        <v>283.9</v>
      </c>
      <c r="W19" t="n">
        <v>318.9</v>
      </c>
      <c r="X19" t="n">
        <v>369.4</v>
      </c>
      <c r="Y19" t="n">
        <v>410.9</v>
      </c>
    </row>
    <row r="20">
      <c r="A20" s="6" t="n">
        <v>1993</v>
      </c>
      <c r="B20" s="7" t="n"/>
      <c r="C20" s="7" t="n"/>
      <c r="D20" s="7" t="n"/>
      <c r="E20" s="7" t="n"/>
      <c r="F20" s="7" t="n">
        <v>22.4</v>
      </c>
      <c r="G20" s="7" t="n">
        <v>26.4</v>
      </c>
      <c r="H20" s="7" t="n">
        <v>30.6</v>
      </c>
      <c r="I20" s="7" t="n">
        <v>31.1</v>
      </c>
      <c r="J20" s="7" t="n">
        <v>32.3</v>
      </c>
      <c r="K20" s="7" t="n">
        <v>35.7</v>
      </c>
      <c r="M20" t="n">
        <v>15</v>
      </c>
      <c r="N20" t="n">
        <v>46.6</v>
      </c>
      <c r="O20" t="n">
        <v>71.8</v>
      </c>
      <c r="P20" t="n">
        <v>89.90000000000001</v>
      </c>
      <c r="Q20" t="n">
        <v>114.4</v>
      </c>
      <c r="R20" t="n">
        <v>133.8</v>
      </c>
      <c r="S20" t="n">
        <v>154.2</v>
      </c>
      <c r="T20" t="n">
        <v>175.7</v>
      </c>
      <c r="U20" t="n">
        <v>206.1</v>
      </c>
      <c r="V20" t="n">
        <v>230.6</v>
      </c>
      <c r="W20" t="n">
        <v>256.6</v>
      </c>
      <c r="X20" t="n">
        <v>293.2</v>
      </c>
      <c r="Y20" t="n">
        <v>322.8</v>
      </c>
    </row>
    <row r="21">
      <c r="A21" s="6" t="n">
        <v>1994</v>
      </c>
      <c r="B21" s="7" t="n"/>
      <c r="C21" s="7" t="n"/>
      <c r="D21" s="7" t="n"/>
      <c r="E21" s="7" t="n"/>
      <c r="F21" s="7" t="n">
        <v>57.4</v>
      </c>
      <c r="G21" s="7" t="n">
        <v>60</v>
      </c>
      <c r="H21" s="7" t="n">
        <v>60.1</v>
      </c>
      <c r="I21" s="7" t="n">
        <v>60.3</v>
      </c>
      <c r="J21" s="7" t="n">
        <v>60.7</v>
      </c>
      <c r="K21" s="7" t="n">
        <v>61.5</v>
      </c>
      <c r="M21" t="n">
        <v>30</v>
      </c>
      <c r="N21" t="n">
        <v>32.6</v>
      </c>
      <c r="O21" t="n">
        <v>50.6</v>
      </c>
      <c r="P21" t="n">
        <v>62.9</v>
      </c>
      <c r="Q21" t="n">
        <v>79.2</v>
      </c>
      <c r="R21" t="n">
        <v>91.59999999999999</v>
      </c>
      <c r="S21" t="n">
        <v>104.4</v>
      </c>
      <c r="T21" t="n">
        <v>117.5</v>
      </c>
      <c r="U21" t="n">
        <v>135.5</v>
      </c>
      <c r="V21" t="n">
        <v>149.5</v>
      </c>
      <c r="W21" t="n">
        <v>164</v>
      </c>
      <c r="X21" t="n">
        <v>183.8</v>
      </c>
      <c r="Y21" t="n">
        <v>199.3</v>
      </c>
    </row>
    <row r="22">
      <c r="A22" s="6" t="n">
        <v>1995</v>
      </c>
      <c r="B22" s="7" t="n"/>
      <c r="C22" s="7" t="n"/>
      <c r="D22" s="7" t="n"/>
      <c r="E22" s="7" t="n"/>
      <c r="F22" s="7" t="n">
        <v>15</v>
      </c>
      <c r="G22" s="7" t="n">
        <v>25</v>
      </c>
      <c r="H22" s="7" t="n">
        <v>25.8</v>
      </c>
      <c r="I22" s="7" t="n">
        <v>27.6</v>
      </c>
      <c r="J22" s="7" t="n">
        <v>28.8</v>
      </c>
      <c r="K22" s="7" t="n">
        <v>38</v>
      </c>
      <c r="M22" t="n">
        <v>60</v>
      </c>
      <c r="N22" t="n">
        <v>20.3</v>
      </c>
      <c r="O22" t="n">
        <v>31.6</v>
      </c>
      <c r="P22" t="n">
        <v>39.4</v>
      </c>
      <c r="Q22" t="n">
        <v>49.9</v>
      </c>
      <c r="R22" t="n">
        <v>58</v>
      </c>
      <c r="S22" t="n">
        <v>66.3</v>
      </c>
      <c r="T22" t="n">
        <v>75</v>
      </c>
      <c r="U22" t="n">
        <v>87</v>
      </c>
      <c r="V22" t="n">
        <v>96.40000000000001</v>
      </c>
      <c r="W22" t="n">
        <v>106.3</v>
      </c>
      <c r="X22" t="n">
        <v>119.9</v>
      </c>
      <c r="Y22" t="n">
        <v>130.6</v>
      </c>
    </row>
    <row r="23">
      <c r="A23" s="6" t="n">
        <v>1996</v>
      </c>
      <c r="B23" s="7" t="n"/>
      <c r="C23" s="7" t="n"/>
      <c r="D23" s="7" t="n"/>
      <c r="E23" s="7" t="n"/>
      <c r="F23" s="7" t="n">
        <v>29.2</v>
      </c>
      <c r="G23" s="7" t="n">
        <v>38.4</v>
      </c>
      <c r="H23" s="7" t="n">
        <v>40.8</v>
      </c>
      <c r="I23" s="7" t="n">
        <v>44.4</v>
      </c>
      <c r="J23" s="7" t="n">
        <v>67</v>
      </c>
      <c r="K23" s="7" t="n">
        <v>70.2</v>
      </c>
      <c r="M23" t="n">
        <v>120</v>
      </c>
      <c r="N23" t="n">
        <v>11.8</v>
      </c>
      <c r="O23" t="n">
        <v>18.9</v>
      </c>
      <c r="P23" t="n">
        <v>24</v>
      </c>
      <c r="Q23" t="n">
        <v>31</v>
      </c>
      <c r="R23" t="n">
        <v>36.6</v>
      </c>
      <c r="S23" t="n">
        <v>42.6</v>
      </c>
      <c r="T23" t="n">
        <v>48.9</v>
      </c>
      <c r="U23" t="n">
        <v>57.9</v>
      </c>
      <c r="V23" t="n">
        <v>65.2</v>
      </c>
      <c r="W23" t="n">
        <v>73</v>
      </c>
      <c r="X23" t="n">
        <v>84.09999999999999</v>
      </c>
      <c r="Y23" t="n">
        <v>93.2</v>
      </c>
    </row>
    <row r="24">
      <c r="A24" s="6" t="n">
        <v>1997</v>
      </c>
      <c r="B24" s="7" t="n"/>
      <c r="C24" s="7" t="n"/>
      <c r="D24" s="7" t="n"/>
      <c r="E24" s="7" t="n"/>
      <c r="F24" s="7" t="n">
        <v>39.4</v>
      </c>
      <c r="G24" s="7" t="n">
        <v>61.8</v>
      </c>
      <c r="H24" s="7" t="n">
        <v>74.2</v>
      </c>
      <c r="I24" s="7" t="n">
        <v>105.6</v>
      </c>
      <c r="J24" s="7" t="n">
        <v>114.7</v>
      </c>
      <c r="K24" s="7" t="n">
        <v>116.1</v>
      </c>
      <c r="M24" t="n">
        <v>180</v>
      </c>
      <c r="N24" t="n">
        <v>8.4</v>
      </c>
      <c r="O24" t="n">
        <v>13.8</v>
      </c>
      <c r="P24" t="n">
        <v>17.9</v>
      </c>
      <c r="Q24" t="n">
        <v>23.8</v>
      </c>
      <c r="R24" t="n">
        <v>28.7</v>
      </c>
      <c r="S24" t="n">
        <v>34.2</v>
      </c>
      <c r="T24" t="n">
        <v>40.2</v>
      </c>
      <c r="U24" t="n">
        <v>49.1</v>
      </c>
      <c r="V24" t="n">
        <v>56.7</v>
      </c>
      <c r="W24" t="n">
        <v>65.09999999999999</v>
      </c>
      <c r="X24" t="n">
        <v>77.7</v>
      </c>
      <c r="Y24" t="n">
        <v>88.3</v>
      </c>
    </row>
    <row r="25">
      <c r="A25" s="6" t="n">
        <v>1998</v>
      </c>
      <c r="B25" s="7" t="n"/>
      <c r="C25" s="7" t="n"/>
      <c r="D25" s="7" t="n"/>
      <c r="E25" s="7" t="n"/>
      <c r="F25" s="7" t="n">
        <v>13</v>
      </c>
      <c r="G25" s="7" t="n">
        <v>25.4</v>
      </c>
      <c r="H25" s="7" t="n">
        <v>32.2</v>
      </c>
      <c r="I25" s="7" t="n">
        <v>42.8</v>
      </c>
      <c r="J25" s="7" t="n">
        <v>54.7</v>
      </c>
      <c r="K25" s="7" t="n">
        <v>65</v>
      </c>
      <c r="M25" t="n">
        <v>360</v>
      </c>
      <c r="N25" t="n">
        <v>4.7</v>
      </c>
      <c r="O25" t="n">
        <v>7.9</v>
      </c>
      <c r="P25" t="n">
        <v>10.4</v>
      </c>
      <c r="Q25" t="n">
        <v>14</v>
      </c>
      <c r="R25" t="n">
        <v>17.1</v>
      </c>
      <c r="S25" t="n">
        <v>20.5</v>
      </c>
      <c r="T25" t="n">
        <v>24.2</v>
      </c>
      <c r="U25" t="n">
        <v>29.9</v>
      </c>
      <c r="V25" t="n">
        <v>34.8</v>
      </c>
      <c r="W25" t="n">
        <v>40.3</v>
      </c>
      <c r="X25" t="n">
        <v>48.5</v>
      </c>
      <c r="Y25" t="n">
        <v>55.6</v>
      </c>
    </row>
    <row r="26">
      <c r="A26" s="6" t="n">
        <v>1999</v>
      </c>
      <c r="B26" s="7" t="n">
        <v>1.6</v>
      </c>
      <c r="C26" s="7" t="n">
        <v>2</v>
      </c>
      <c r="D26" s="7" t="n">
        <v>2.4</v>
      </c>
      <c r="E26" s="7" t="n">
        <v>2.8</v>
      </c>
      <c r="F26" s="7" t="n">
        <v>2.8</v>
      </c>
      <c r="G26" s="7" t="n">
        <v>3.3</v>
      </c>
      <c r="H26" s="7" t="n">
        <v>4.9</v>
      </c>
      <c r="I26" s="7" t="n">
        <v>9.800000000000001</v>
      </c>
      <c r="J26" s="7" t="n">
        <v>19.6</v>
      </c>
      <c r="K26" s="7" t="n">
        <v>39.2</v>
      </c>
      <c r="M26" t="n">
        <v>720</v>
      </c>
      <c r="N26" t="n">
        <v>2.6</v>
      </c>
      <c r="O26" t="n">
        <v>4.5</v>
      </c>
      <c r="P26" t="n">
        <v>6</v>
      </c>
      <c r="Q26" t="n">
        <v>8.1</v>
      </c>
      <c r="R26" t="n">
        <v>10</v>
      </c>
      <c r="S26" t="n">
        <v>12.1</v>
      </c>
      <c r="T26" t="n">
        <v>14.4</v>
      </c>
      <c r="U26" t="n">
        <v>18</v>
      </c>
      <c r="V26" t="n">
        <v>21.1</v>
      </c>
      <c r="W26" t="n">
        <v>24.7</v>
      </c>
      <c r="X26" t="n">
        <v>30</v>
      </c>
      <c r="Y26" t="n">
        <v>34.7</v>
      </c>
    </row>
    <row r="27">
      <c r="A27" s="6" t="n">
        <v>2000</v>
      </c>
      <c r="B27" s="7" t="n"/>
      <c r="C27" s="7" t="n"/>
      <c r="D27" s="7" t="n"/>
      <c r="E27" s="7" t="n"/>
      <c r="F27" s="7" t="n">
        <v>22.6</v>
      </c>
      <c r="G27" s="7" t="n">
        <v>31.6</v>
      </c>
      <c r="H27" s="7" t="n">
        <v>31.8</v>
      </c>
      <c r="I27" s="7" t="n">
        <v>31.8</v>
      </c>
      <c r="J27" s="7" t="n">
        <v>31.9</v>
      </c>
      <c r="K27" s="7" t="n">
        <v>32.1</v>
      </c>
      <c r="M27" t="n">
        <v>1440</v>
      </c>
      <c r="N27" t="n">
        <v>1.5</v>
      </c>
      <c r="O27" t="n">
        <v>2.5</v>
      </c>
      <c r="P27" t="n">
        <v>3.4</v>
      </c>
      <c r="Q27" t="n">
        <v>4.5</v>
      </c>
      <c r="R27" t="n">
        <v>5.5</v>
      </c>
      <c r="S27" t="n">
        <v>6.6</v>
      </c>
      <c r="T27" t="n">
        <v>7.8</v>
      </c>
      <c r="U27" t="n">
        <v>9.6</v>
      </c>
      <c r="V27" t="n">
        <v>11.1</v>
      </c>
      <c r="W27" t="n">
        <v>12.8</v>
      </c>
      <c r="X27" t="n">
        <v>15.3</v>
      </c>
      <c r="Y27" t="n">
        <v>17.4</v>
      </c>
    </row>
    <row r="28">
      <c r="A28" s="6" t="n">
        <v>2001</v>
      </c>
      <c r="B28" s="7" t="n"/>
      <c r="C28" s="7" t="n"/>
      <c r="D28" s="7" t="n"/>
      <c r="E28" s="7" t="n"/>
      <c r="F28" s="7" t="n">
        <v>26</v>
      </c>
      <c r="G28" s="7" t="n">
        <v>26.9</v>
      </c>
      <c r="H28" s="7" t="n">
        <v>27.8</v>
      </c>
      <c r="I28" s="7" t="n">
        <v>30.5</v>
      </c>
      <c r="J28" s="7" t="n">
        <v>35.8</v>
      </c>
      <c r="K28" s="7" t="n">
        <v>44.6</v>
      </c>
    </row>
    <row r="29">
      <c r="A29" s="6" t="n">
        <v>2002</v>
      </c>
      <c r="B29" s="7" t="n"/>
      <c r="C29" s="7" t="n"/>
      <c r="D29" s="7" t="n"/>
      <c r="E29" s="7" t="n"/>
      <c r="F29" s="7" t="n"/>
      <c r="G29" s="7" t="n">
        <v>1.6</v>
      </c>
      <c r="H29" s="7" t="n">
        <v>2.3</v>
      </c>
      <c r="I29" s="7" t="n">
        <v>4.7</v>
      </c>
      <c r="J29" s="7" t="n">
        <v>9.4</v>
      </c>
      <c r="K29" s="7" t="n">
        <v>18.8</v>
      </c>
    </row>
    <row r="30">
      <c r="A30" s="6" t="n">
        <v>2003</v>
      </c>
      <c r="B30" s="7" t="n"/>
      <c r="C30" s="7" t="n"/>
      <c r="D30" s="7" t="n"/>
      <c r="E30" s="7" t="n"/>
      <c r="F30" s="7" t="n"/>
      <c r="G30" s="7" t="n"/>
      <c r="H30" s="7" t="n"/>
      <c r="I30" s="7" t="n"/>
      <c r="J30" s="7" t="n"/>
      <c r="K30" s="7" t="n"/>
    </row>
    <row r="31">
      <c r="A31" s="6" t="n">
        <v>2004</v>
      </c>
      <c r="B31" s="7" t="n"/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</row>
    <row r="32">
      <c r="A32" s="6" t="n">
        <v>2005</v>
      </c>
      <c r="B32" s="7" t="n"/>
      <c r="C32" s="7" t="n"/>
      <c r="D32" s="7" t="n"/>
      <c r="E32" s="7" t="n"/>
      <c r="F32" s="7" t="n"/>
      <c r="G32" s="7" t="n"/>
      <c r="H32" s="7" t="n"/>
      <c r="I32" s="7" t="n"/>
      <c r="J32" s="7" t="n"/>
      <c r="K32" s="7" t="n"/>
    </row>
    <row r="33">
      <c r="A33" s="6" t="n">
        <v>2006</v>
      </c>
      <c r="B33" s="7" t="n">
        <v>4.6</v>
      </c>
      <c r="C33" s="7" t="n">
        <v>6.2</v>
      </c>
      <c r="D33" s="7" t="n">
        <v>8.6</v>
      </c>
      <c r="E33" s="7" t="n">
        <v>10.8</v>
      </c>
      <c r="F33" s="7" t="n">
        <v>10.8</v>
      </c>
      <c r="G33" s="7" t="n">
        <v>10.8</v>
      </c>
      <c r="H33" s="7" t="n">
        <v>10.9</v>
      </c>
      <c r="I33" s="7" t="n">
        <v>10.9</v>
      </c>
      <c r="J33" s="7" t="n">
        <v>11.1</v>
      </c>
      <c r="K33" s="7" t="n">
        <v>11.4</v>
      </c>
    </row>
    <row r="34">
      <c r="A34" s="6" t="n">
        <v>2007</v>
      </c>
      <c r="B34" s="7" t="n">
        <v>0.6</v>
      </c>
      <c r="C34" s="7" t="n">
        <v>0.8</v>
      </c>
      <c r="D34" s="7" t="n">
        <v>1</v>
      </c>
      <c r="E34" s="7" t="n">
        <v>1.8</v>
      </c>
      <c r="F34" s="7" t="n">
        <v>1.8</v>
      </c>
      <c r="G34" s="7" t="n">
        <v>1.8</v>
      </c>
      <c r="H34" s="7" t="n">
        <v>1.8</v>
      </c>
      <c r="I34" s="7" t="n">
        <v>1.8</v>
      </c>
      <c r="J34" s="7" t="n">
        <v>1.9</v>
      </c>
      <c r="K34" s="7" t="n">
        <v>2</v>
      </c>
    </row>
    <row r="35">
      <c r="A35" s="6" t="n">
        <v>2008</v>
      </c>
      <c r="B35" s="7" t="n">
        <v>6.2</v>
      </c>
      <c r="C35" s="7" t="n">
        <v>11.6</v>
      </c>
      <c r="D35" s="7" t="n">
        <v>13.6</v>
      </c>
      <c r="E35" s="7" t="n">
        <v>17.4</v>
      </c>
      <c r="F35" s="7" t="n">
        <v>19.2</v>
      </c>
      <c r="G35" s="7" t="n">
        <v>19.2</v>
      </c>
      <c r="H35" s="7" t="n">
        <v>19.2</v>
      </c>
      <c r="I35" s="7" t="n">
        <v>19.3</v>
      </c>
      <c r="J35" s="7" t="n">
        <v>19.4</v>
      </c>
      <c r="K35" s="7" t="n">
        <v>20</v>
      </c>
    </row>
    <row r="36">
      <c r="A36" s="6" t="n">
        <v>2009</v>
      </c>
      <c r="B36" s="7" t="n">
        <v>7.8</v>
      </c>
      <c r="C36" s="7" t="n">
        <v>14.6</v>
      </c>
      <c r="D36" s="7" t="n">
        <v>17.6</v>
      </c>
      <c r="E36" s="7" t="n">
        <v>19.2</v>
      </c>
      <c r="F36" s="7" t="n">
        <v>19.2</v>
      </c>
      <c r="G36" s="7" t="n">
        <v>19.2</v>
      </c>
      <c r="H36" s="7" t="n">
        <v>19.2</v>
      </c>
      <c r="I36" s="7" t="n">
        <v>19.3</v>
      </c>
      <c r="J36" s="7" t="n">
        <v>19.7</v>
      </c>
      <c r="K36" s="7" t="n">
        <v>22.2</v>
      </c>
    </row>
    <row r="37">
      <c r="A37" s="6" t="n">
        <v>2010</v>
      </c>
      <c r="B37" s="7" t="n">
        <v>8</v>
      </c>
      <c r="C37" s="7" t="n">
        <v>14.8</v>
      </c>
      <c r="D37" s="7" t="n">
        <v>20.4</v>
      </c>
      <c r="E37" s="7" t="n">
        <v>28.2</v>
      </c>
      <c r="F37" s="7" t="n">
        <v>35</v>
      </c>
      <c r="G37" s="7" t="n">
        <v>38.9</v>
      </c>
      <c r="H37" s="7" t="n">
        <v>39.2</v>
      </c>
      <c r="I37" s="7" t="n">
        <v>41.6</v>
      </c>
      <c r="J37" s="7" t="n">
        <v>47.4</v>
      </c>
      <c r="K37" s="7" t="n">
        <v>48.6</v>
      </c>
    </row>
    <row r="38">
      <c r="A38" s="6" t="n">
        <v>2011</v>
      </c>
      <c r="B38" s="7" t="n">
        <v>8.199999999999999</v>
      </c>
      <c r="C38" s="7" t="n">
        <v>15.8</v>
      </c>
      <c r="D38" s="7" t="n">
        <v>20.8</v>
      </c>
      <c r="E38" s="7" t="n">
        <v>27.6</v>
      </c>
      <c r="F38" s="7" t="n">
        <v>29.8</v>
      </c>
      <c r="G38" s="7" t="n">
        <v>29.8</v>
      </c>
      <c r="H38" s="7" t="n">
        <v>29.8</v>
      </c>
      <c r="I38" s="7" t="n">
        <v>29.8</v>
      </c>
      <c r="J38" s="7" t="n">
        <v>29.9</v>
      </c>
      <c r="K38" s="7" t="n">
        <v>30</v>
      </c>
    </row>
    <row r="39">
      <c r="A39" s="6" t="n">
        <v>2012</v>
      </c>
      <c r="B39" s="7" t="n">
        <v>7.2</v>
      </c>
      <c r="C39" s="7" t="n">
        <v>11</v>
      </c>
      <c r="D39" s="7" t="n">
        <v>14.2</v>
      </c>
      <c r="E39" s="7" t="n">
        <v>22.2</v>
      </c>
      <c r="F39" s="7" t="n">
        <v>28.4</v>
      </c>
      <c r="G39" s="7" t="n">
        <v>46.8</v>
      </c>
      <c r="H39" s="7" t="n">
        <v>50.2</v>
      </c>
      <c r="I39" s="7" t="n">
        <v>64.2</v>
      </c>
      <c r="J39" s="7" t="n">
        <v>73.2</v>
      </c>
      <c r="K39" s="7" t="n">
        <v>73.3</v>
      </c>
    </row>
    <row r="40">
      <c r="A40" s="6" t="n">
        <v>2013</v>
      </c>
      <c r="B40" s="7" t="n">
        <v>7.6</v>
      </c>
      <c r="C40" s="7" t="n">
        <v>14.2</v>
      </c>
      <c r="D40" s="7" t="n">
        <v>18.8</v>
      </c>
      <c r="E40" s="7" t="n">
        <v>25.2</v>
      </c>
      <c r="F40" s="7" t="n">
        <v>25.6</v>
      </c>
      <c r="G40" s="7" t="n">
        <v>25.8</v>
      </c>
      <c r="H40" s="7" t="n">
        <v>25.8</v>
      </c>
      <c r="I40" s="7" t="n">
        <v>25.8</v>
      </c>
      <c r="J40" s="7" t="n">
        <v>25.9</v>
      </c>
      <c r="K40" s="7" t="n">
        <v>26</v>
      </c>
    </row>
    <row r="41">
      <c r="A41" s="6" t="n">
        <v>2014</v>
      </c>
      <c r="B41" s="7" t="n">
        <v>7.4</v>
      </c>
      <c r="C41" s="7" t="n">
        <v>9.4</v>
      </c>
      <c r="D41" s="7" t="n">
        <v>11.2</v>
      </c>
      <c r="E41" s="7" t="n">
        <v>17.2</v>
      </c>
      <c r="F41" s="7" t="n">
        <v>20</v>
      </c>
      <c r="G41" s="7" t="n">
        <v>20.5</v>
      </c>
      <c r="H41" s="7" t="n">
        <v>21.6</v>
      </c>
      <c r="I41" s="7" t="n">
        <v>27.7</v>
      </c>
      <c r="J41" s="7" t="n">
        <v>47.9</v>
      </c>
      <c r="K41" s="7" t="n">
        <v>53.6</v>
      </c>
    </row>
    <row r="42">
      <c r="A42" s="6" t="n">
        <v>2017</v>
      </c>
      <c r="B42" s="7" t="n">
        <v>5</v>
      </c>
      <c r="C42" s="7" t="n">
        <v>8</v>
      </c>
      <c r="D42" s="7" t="n">
        <v>10.6</v>
      </c>
      <c r="E42" s="7" t="n">
        <v>19.6</v>
      </c>
      <c r="F42" s="7" t="n">
        <v>24.4</v>
      </c>
      <c r="G42" s="7" t="n">
        <v>24.4</v>
      </c>
      <c r="H42" s="7" t="n">
        <v>24.4</v>
      </c>
      <c r="I42" s="7" t="n">
        <v>24.4</v>
      </c>
      <c r="J42" s="7" t="n">
        <v>24.5</v>
      </c>
      <c r="K42" s="7" t="n">
        <v>24.6</v>
      </c>
    </row>
    <row r="43">
      <c r="A43" s="6" t="n">
        <v>2018</v>
      </c>
      <c r="B43" s="7" t="n">
        <v>2.6</v>
      </c>
      <c r="C43" s="7" t="n">
        <v>4.4</v>
      </c>
      <c r="D43" s="7" t="n">
        <v>4.6</v>
      </c>
      <c r="E43" s="7" t="n">
        <v>5.1</v>
      </c>
      <c r="F43" s="7" t="n">
        <v>5.7</v>
      </c>
      <c r="G43" s="7" t="n">
        <v>6.3</v>
      </c>
      <c r="H43" s="7" t="n">
        <v>6.6</v>
      </c>
      <c r="I43" s="7" t="n">
        <v>6.8</v>
      </c>
      <c r="J43" s="7" t="n">
        <v>6.9</v>
      </c>
      <c r="K43" s="7" t="n">
        <v>7</v>
      </c>
    </row>
    <row r="44">
      <c r="A44" s="6" t="n">
        <v>2019</v>
      </c>
      <c r="B44" s="7" t="n">
        <v>8.800000000000001</v>
      </c>
      <c r="C44" s="7" t="n">
        <v>14.8</v>
      </c>
      <c r="D44" s="7" t="n">
        <v>18.6</v>
      </c>
      <c r="E44" s="7" t="n">
        <v>22</v>
      </c>
      <c r="F44" s="7" t="n">
        <v>23.5</v>
      </c>
      <c r="G44" s="7" t="n">
        <v>25.8</v>
      </c>
      <c r="H44" s="7" t="n">
        <v>29.2</v>
      </c>
      <c r="I44" s="7" t="n">
        <v>31.6</v>
      </c>
      <c r="J44" s="7" t="n">
        <v>35.6</v>
      </c>
      <c r="K44" s="7" t="n">
        <v>47.9</v>
      </c>
    </row>
    <row r="45">
      <c r="A45" s="6" t="n">
        <v>2020</v>
      </c>
      <c r="B45" s="7" t="n">
        <v>8.6</v>
      </c>
      <c r="C45" s="7" t="n">
        <v>17</v>
      </c>
      <c r="D45" s="7" t="n">
        <v>22.6</v>
      </c>
      <c r="E45" s="7" t="n">
        <v>38</v>
      </c>
      <c r="F45" s="7" t="n">
        <v>45.8</v>
      </c>
      <c r="G45" s="7" t="n">
        <v>85.8</v>
      </c>
      <c r="H45" s="7" t="n">
        <v>128.2</v>
      </c>
      <c r="I45" s="7" t="n">
        <v>130.3</v>
      </c>
      <c r="J45" s="7" t="n">
        <v>131</v>
      </c>
      <c r="K45" s="7" t="n">
        <v>131.1</v>
      </c>
    </row>
    <row r="46">
      <c r="A46" s="6" t="n">
        <v>2022</v>
      </c>
      <c r="B46" s="7" t="n">
        <v>6</v>
      </c>
      <c r="C46" s="7" t="n">
        <v>11.2</v>
      </c>
      <c r="D46" s="7" t="n">
        <v>16.8</v>
      </c>
      <c r="E46" s="7" t="n">
        <v>24.4</v>
      </c>
      <c r="F46" s="7" t="n">
        <v>31.7</v>
      </c>
      <c r="G46" s="7" t="n">
        <v>36</v>
      </c>
      <c r="H46" s="7" t="n">
        <v>36.2</v>
      </c>
      <c r="I46" s="7" t="n">
        <v>36.2</v>
      </c>
      <c r="J46" s="7" t="n">
        <v>36.2</v>
      </c>
      <c r="K46" s="7" t="n">
        <v>36.2</v>
      </c>
    </row>
    <row r="49">
      <c r="A49" s="2" t="inlineStr">
        <is>
          <t>AMS AFTER gap filling (mm)  -  yellow = added or changed by gap filling</t>
        </is>
      </c>
    </row>
    <row r="50">
      <c r="A50" s="4" t="inlineStr">
        <is>
          <t>Water year</t>
        </is>
      </c>
      <c r="B50" s="5" t="inlineStr">
        <is>
          <t>5min</t>
        </is>
      </c>
      <c r="C50" s="5" t="inlineStr">
        <is>
          <t>10min</t>
        </is>
      </c>
      <c r="D50" s="5" t="inlineStr">
        <is>
          <t>15min</t>
        </is>
      </c>
      <c r="E50" s="5" t="inlineStr">
        <is>
          <t>30min</t>
        </is>
      </c>
      <c r="F50" s="5" t="inlineStr">
        <is>
          <t>1h</t>
        </is>
      </c>
      <c r="G50" s="5" t="inlineStr">
        <is>
          <t>2h</t>
        </is>
      </c>
      <c r="H50" s="5" t="inlineStr">
        <is>
          <t>3h</t>
        </is>
      </c>
      <c r="I50" s="5" t="inlineStr">
        <is>
          <t>6h</t>
        </is>
      </c>
      <c r="J50" s="5" t="inlineStr">
        <is>
          <t>12h</t>
        </is>
      </c>
      <c r="K50" s="5" t="inlineStr">
        <is>
          <t>24h</t>
        </is>
      </c>
    </row>
    <row r="51">
      <c r="A51" s="6" t="n">
        <v>1978</v>
      </c>
      <c r="B51" s="7" t="n"/>
      <c r="C51" s="7" t="n"/>
      <c r="D51" s="7" t="n"/>
      <c r="E51" s="7" t="n"/>
      <c r="F51" s="7" t="n"/>
      <c r="G51" s="7" t="n"/>
      <c r="H51" s="7" t="n"/>
      <c r="I51" s="7" t="n"/>
      <c r="J51" s="7" t="n"/>
      <c r="K51" s="7" t="n">
        <v>11.6</v>
      </c>
    </row>
    <row r="52">
      <c r="A52" s="6" t="n">
        <v>1979</v>
      </c>
      <c r="B52" s="7" t="n"/>
      <c r="C52" s="7" t="n"/>
      <c r="D52" s="7" t="n"/>
      <c r="E52" s="7" t="n"/>
      <c r="F52" s="7" t="n"/>
      <c r="G52" s="7" t="n"/>
      <c r="H52" s="7" t="n"/>
      <c r="I52" s="7" t="n"/>
      <c r="J52" s="7" t="n"/>
      <c r="K52" s="7" t="n">
        <v>17.2</v>
      </c>
    </row>
    <row r="53">
      <c r="A53" s="6" t="n">
        <v>1980</v>
      </c>
      <c r="B53" s="7" t="n"/>
      <c r="C53" s="7" t="n"/>
      <c r="D53" s="7" t="n"/>
      <c r="E53" s="7" t="n"/>
      <c r="F53" s="7" t="n"/>
      <c r="G53" s="7" t="n"/>
      <c r="H53" s="7" t="n"/>
      <c r="I53" s="7" t="n"/>
      <c r="J53" s="7" t="n"/>
      <c r="K53" s="7" t="n">
        <v>27.4</v>
      </c>
    </row>
    <row r="54">
      <c r="A54" s="6" t="n">
        <v>1981</v>
      </c>
      <c r="B54" s="7" t="n"/>
      <c r="C54" s="7" t="n"/>
      <c r="D54" s="7" t="n"/>
      <c r="E54" s="7" t="n"/>
      <c r="F54" s="7" t="n"/>
      <c r="G54" s="7" t="n"/>
      <c r="H54" s="7" t="n"/>
      <c r="I54" s="7" t="n"/>
      <c r="J54" s="7" t="n"/>
      <c r="K54" s="7" t="n">
        <v>55.8</v>
      </c>
    </row>
    <row r="55">
      <c r="A55" s="6" t="n">
        <v>1982</v>
      </c>
      <c r="B55" s="7" t="n"/>
      <c r="C55" s="7" t="n"/>
      <c r="D55" s="7" t="n"/>
      <c r="E55" s="7" t="n"/>
      <c r="F55" s="7" t="n"/>
      <c r="G55" s="7" t="n"/>
      <c r="H55" s="7" t="n"/>
      <c r="I55" s="7" t="n"/>
      <c r="J55" s="7" t="n"/>
      <c r="K55" s="7" t="n">
        <v>161.8</v>
      </c>
    </row>
    <row r="56">
      <c r="A56" s="6" t="n">
        <v>1983</v>
      </c>
      <c r="B56" s="7" t="n"/>
      <c r="C56" s="7" t="n"/>
      <c r="D56" s="7" t="n"/>
      <c r="E56" s="7" t="n"/>
      <c r="F56" s="7" t="n"/>
      <c r="G56" s="7" t="n"/>
      <c r="H56" s="7" t="n"/>
      <c r="I56" s="7" t="n"/>
      <c r="J56" s="7" t="n"/>
      <c r="K56" s="7" t="n">
        <v>48.4</v>
      </c>
    </row>
    <row r="57">
      <c r="A57" s="6" t="n">
        <v>1984</v>
      </c>
      <c r="B57" s="7" t="n"/>
      <c r="C57" s="7" t="n"/>
      <c r="D57" s="7" t="n"/>
      <c r="E57" s="7" t="n"/>
      <c r="F57" s="7" t="n"/>
      <c r="G57" s="7" t="n"/>
      <c r="H57" s="7" t="n"/>
      <c r="I57" s="7" t="n"/>
      <c r="J57" s="7" t="n"/>
      <c r="K57" s="7" t="n">
        <v>22</v>
      </c>
    </row>
    <row r="58">
      <c r="A58" s="6" t="n">
        <v>1985</v>
      </c>
      <c r="B58" s="7" t="n"/>
      <c r="C58" s="7" t="n"/>
      <c r="D58" s="7" t="n"/>
      <c r="E58" s="7" t="n"/>
      <c r="F58" s="7" t="n"/>
      <c r="G58" s="7" t="n"/>
      <c r="H58" s="7" t="n"/>
      <c r="I58" s="7" t="n"/>
      <c r="J58" s="7" t="n"/>
      <c r="K58" s="7" t="n">
        <v>1.2</v>
      </c>
    </row>
    <row r="59">
      <c r="A59" s="6" t="n">
        <v>1986</v>
      </c>
      <c r="B59" s="7" t="n"/>
      <c r="C59" s="7" t="n"/>
      <c r="D59" s="7" t="n"/>
      <c r="E59" s="7" t="n"/>
      <c r="F59" s="7" t="n"/>
      <c r="G59" s="7" t="n"/>
      <c r="H59" s="7" t="n"/>
      <c r="I59" s="7" t="n"/>
      <c r="J59" s="7" t="n"/>
      <c r="K59" s="7" t="n">
        <v>28.8</v>
      </c>
    </row>
    <row r="60">
      <c r="A60" s="6" t="n">
        <v>1987</v>
      </c>
      <c r="B60" s="7" t="n"/>
      <c r="C60" s="7" t="n"/>
      <c r="D60" s="7" t="n"/>
      <c r="E60" s="7" t="n"/>
      <c r="F60" s="7" t="n"/>
      <c r="G60" s="7" t="n"/>
      <c r="H60" s="7" t="n"/>
      <c r="I60" s="7" t="n"/>
      <c r="J60" s="7" t="n"/>
      <c r="K60" s="7" t="n">
        <v>1.2</v>
      </c>
    </row>
    <row r="61">
      <c r="A61" s="6" t="n">
        <v>1988</v>
      </c>
      <c r="B61" s="7" t="n"/>
      <c r="C61" s="7" t="n"/>
      <c r="D61" s="7" t="n"/>
      <c r="E61" s="7" t="n"/>
      <c r="F61" s="7" t="n"/>
      <c r="G61" s="7" t="n"/>
      <c r="H61" s="7" t="n"/>
      <c r="I61" s="7" t="n"/>
      <c r="J61" s="7" t="n"/>
      <c r="K61" s="7" t="n">
        <v>15.2</v>
      </c>
    </row>
    <row r="62">
      <c r="A62" s="6" t="n">
        <v>1989</v>
      </c>
      <c r="B62" s="7" t="n"/>
      <c r="C62" s="7" t="n"/>
      <c r="D62" s="7" t="n"/>
      <c r="E62" s="7" t="n"/>
      <c r="F62" s="7" t="n"/>
      <c r="G62" s="7" t="n"/>
      <c r="H62" s="7" t="n"/>
      <c r="I62" s="7" t="n"/>
      <c r="J62" s="7" t="n"/>
      <c r="K62" s="7" t="n">
        <v>4.4</v>
      </c>
    </row>
    <row r="63">
      <c r="A63" s="6" t="n">
        <v>1990</v>
      </c>
      <c r="B63" s="7" t="n"/>
      <c r="C63" s="7" t="n"/>
      <c r="D63" s="7" t="n"/>
      <c r="E63" s="7" t="n"/>
      <c r="F63" s="7" t="n"/>
      <c r="G63" s="7" t="n"/>
      <c r="H63" s="7" t="n"/>
      <c r="I63" s="7" t="n"/>
      <c r="J63" s="7" t="n"/>
      <c r="K63" s="7" t="n">
        <v>50</v>
      </c>
    </row>
    <row r="64">
      <c r="A64" s="6" t="n">
        <v>1991</v>
      </c>
      <c r="B64" s="7" t="n"/>
      <c r="C64" s="7" t="n"/>
      <c r="D64" s="7" t="n"/>
      <c r="E64" s="7" t="n"/>
      <c r="F64" s="7" t="n"/>
      <c r="G64" s="7" t="n"/>
      <c r="H64" s="7" t="n"/>
      <c r="I64" s="7" t="n"/>
      <c r="J64" s="7" t="n"/>
      <c r="K64" s="7" t="n">
        <v>21.8</v>
      </c>
    </row>
    <row r="65">
      <c r="A65" s="6" t="n">
        <v>1992</v>
      </c>
      <c r="B65" s="7" t="n"/>
      <c r="C65" s="7" t="n"/>
      <c r="D65" s="7" t="n"/>
      <c r="E65" s="7" t="n"/>
      <c r="F65" s="7" t="n"/>
      <c r="G65" s="7" t="n"/>
      <c r="H65" s="7" t="n"/>
      <c r="I65" s="7" t="n"/>
      <c r="J65" s="7" t="n"/>
      <c r="K65" s="7" t="n">
        <v>42.8</v>
      </c>
    </row>
    <row r="66">
      <c r="A66" s="6" t="n">
        <v>1993</v>
      </c>
      <c r="B66" s="7" t="n"/>
      <c r="C66" s="7" t="n"/>
      <c r="D66" s="7" t="n"/>
      <c r="E66" s="7" t="n"/>
      <c r="F66" s="7" t="n">
        <v>22.4</v>
      </c>
      <c r="G66" s="7" t="n">
        <v>26.4</v>
      </c>
      <c r="H66" s="7" t="n">
        <v>30.6</v>
      </c>
      <c r="I66" s="7" t="n">
        <v>31.1</v>
      </c>
      <c r="J66" s="7" t="n">
        <v>32.3</v>
      </c>
      <c r="K66" s="7" t="n">
        <v>35.7</v>
      </c>
    </row>
    <row r="67">
      <c r="A67" s="6" t="n">
        <v>1994</v>
      </c>
      <c r="B67" s="7" t="n"/>
      <c r="C67" s="7" t="n"/>
      <c r="D67" s="7" t="n"/>
      <c r="E67" s="7" t="n"/>
      <c r="F67" s="7" t="n">
        <v>57.4</v>
      </c>
      <c r="G67" s="7" t="n">
        <v>60</v>
      </c>
      <c r="H67" s="7" t="n">
        <v>60.1</v>
      </c>
      <c r="I67" s="7" t="n">
        <v>60.3</v>
      </c>
      <c r="J67" s="8" t="n">
        <v>60.8</v>
      </c>
      <c r="K67" s="8" t="n">
        <v>69.3</v>
      </c>
    </row>
    <row r="68">
      <c r="A68" s="6" t="n">
        <v>1995</v>
      </c>
      <c r="B68" s="7" t="n"/>
      <c r="C68" s="7" t="n"/>
      <c r="D68" s="7" t="n"/>
      <c r="E68" s="7" t="n"/>
      <c r="F68" s="7" t="n">
        <v>15</v>
      </c>
      <c r="G68" s="7" t="n">
        <v>25</v>
      </c>
      <c r="H68" s="7" t="n">
        <v>25.8</v>
      </c>
      <c r="I68" s="7" t="n">
        <v>27.6</v>
      </c>
      <c r="J68" s="7" t="n">
        <v>28.8</v>
      </c>
      <c r="K68" s="7" t="n">
        <v>38</v>
      </c>
    </row>
    <row r="69">
      <c r="A69" s="6" t="n">
        <v>1996</v>
      </c>
      <c r="B69" s="7" t="n"/>
      <c r="C69" s="7" t="n"/>
      <c r="D69" s="7" t="n"/>
      <c r="E69" s="7" t="n"/>
      <c r="F69" s="7" t="n">
        <v>29.2</v>
      </c>
      <c r="G69" s="7" t="n">
        <v>38.4</v>
      </c>
      <c r="H69" s="7" t="n">
        <v>40.8</v>
      </c>
      <c r="I69" s="7" t="n">
        <v>44.4</v>
      </c>
      <c r="J69" s="7" t="n">
        <v>67</v>
      </c>
      <c r="K69" s="7" t="n">
        <v>70.2</v>
      </c>
    </row>
    <row r="70">
      <c r="A70" s="6" t="n">
        <v>1997</v>
      </c>
      <c r="B70" s="7" t="n"/>
      <c r="C70" s="7" t="n"/>
      <c r="D70" s="7" t="n"/>
      <c r="E70" s="7" t="n"/>
      <c r="F70" s="7" t="n">
        <v>39.4</v>
      </c>
      <c r="G70" s="7" t="n">
        <v>61.8</v>
      </c>
      <c r="H70" s="7" t="n">
        <v>74.2</v>
      </c>
      <c r="I70" s="7" t="n">
        <v>105.6</v>
      </c>
      <c r="J70" s="7" t="n">
        <v>114.7</v>
      </c>
      <c r="K70" s="7" t="n">
        <v>116.1</v>
      </c>
    </row>
    <row r="71">
      <c r="A71" s="6" t="n">
        <v>1998</v>
      </c>
      <c r="B71" s="7" t="n"/>
      <c r="C71" s="7" t="n"/>
      <c r="D71" s="7" t="n"/>
      <c r="E71" s="7" t="n"/>
      <c r="F71" s="7" t="n">
        <v>13</v>
      </c>
      <c r="G71" s="7" t="n">
        <v>25.4</v>
      </c>
      <c r="H71" s="7" t="n">
        <v>32.2</v>
      </c>
      <c r="I71" s="7" t="n">
        <v>42.8</v>
      </c>
      <c r="J71" s="7" t="n">
        <v>54.7</v>
      </c>
      <c r="K71" s="7" t="n">
        <v>65</v>
      </c>
    </row>
    <row r="72">
      <c r="A72" s="6" t="n">
        <v>1999</v>
      </c>
      <c r="B72" s="8" t="n">
        <v>2.6</v>
      </c>
      <c r="C72" s="8" t="n">
        <v>4</v>
      </c>
      <c r="D72" s="8" t="n">
        <v>5.3</v>
      </c>
      <c r="E72" s="8" t="n">
        <v>9</v>
      </c>
      <c r="F72" s="8" t="n">
        <v>13.4</v>
      </c>
      <c r="G72" s="8" t="n">
        <v>14.9</v>
      </c>
      <c r="H72" s="8" t="n">
        <v>15.3</v>
      </c>
      <c r="I72" s="8" t="n">
        <v>16.5</v>
      </c>
      <c r="J72" s="7" t="n">
        <v>19.6</v>
      </c>
      <c r="K72" s="7" t="n">
        <v>39.2</v>
      </c>
    </row>
    <row r="73">
      <c r="A73" s="6" t="n">
        <v>2000</v>
      </c>
      <c r="B73" s="7" t="n"/>
      <c r="C73" s="7" t="n"/>
      <c r="D73" s="7" t="n"/>
      <c r="E73" s="7" t="n"/>
      <c r="F73" s="7" t="n">
        <v>22.6</v>
      </c>
      <c r="G73" s="7" t="n">
        <v>31.6</v>
      </c>
      <c r="H73" s="7" t="n">
        <v>31.8</v>
      </c>
      <c r="I73" s="7" t="n">
        <v>31.8</v>
      </c>
      <c r="J73" s="7" t="n">
        <v>31.9</v>
      </c>
      <c r="K73" s="7" t="n">
        <v>32.1</v>
      </c>
    </row>
    <row r="74">
      <c r="A74" s="6" t="n">
        <v>2001</v>
      </c>
      <c r="B74" s="7" t="n"/>
      <c r="C74" s="7" t="n"/>
      <c r="D74" s="7" t="n"/>
      <c r="E74" s="7" t="n"/>
      <c r="F74" s="7" t="n">
        <v>26</v>
      </c>
      <c r="G74" s="7" t="n">
        <v>26.9</v>
      </c>
      <c r="H74" s="8" t="n">
        <v>30.4</v>
      </c>
      <c r="I74" s="8" t="n">
        <v>30.7</v>
      </c>
      <c r="J74" s="7" t="n">
        <v>35.8</v>
      </c>
      <c r="K74" s="7" t="n">
        <v>44.6</v>
      </c>
    </row>
    <row r="75">
      <c r="A75" s="6" t="n">
        <v>2002</v>
      </c>
      <c r="B75" s="7" t="n"/>
      <c r="C75" s="7" t="n"/>
      <c r="D75" s="7" t="n"/>
      <c r="E75" s="7" t="n"/>
      <c r="F75" s="7" t="n"/>
      <c r="G75" s="8" t="n">
        <v>7.2</v>
      </c>
      <c r="H75" s="8" t="n">
        <v>7.9</v>
      </c>
      <c r="I75" s="8" t="n">
        <v>7.9</v>
      </c>
      <c r="J75" s="7" t="n">
        <v>9.4</v>
      </c>
      <c r="K75" s="7" t="n">
        <v>18.8</v>
      </c>
    </row>
    <row r="76">
      <c r="A76" s="6" t="n">
        <v>2003</v>
      </c>
      <c r="B76" s="8" t="n">
        <v>3.2</v>
      </c>
      <c r="C76" s="8" t="n">
        <v>5.8</v>
      </c>
      <c r="D76" s="8" t="n">
        <v>7.1</v>
      </c>
      <c r="E76" s="8" t="n">
        <v>11.8</v>
      </c>
      <c r="F76" s="8" t="n">
        <v>19.6</v>
      </c>
      <c r="G76" s="8" t="n">
        <v>26.8</v>
      </c>
      <c r="H76" s="8" t="n">
        <v>30.4</v>
      </c>
      <c r="I76" s="8" t="n">
        <v>37.1</v>
      </c>
      <c r="J76" s="8" t="n">
        <v>39.5</v>
      </c>
      <c r="K76" s="8" t="n">
        <v>41.8</v>
      </c>
    </row>
    <row r="77">
      <c r="A77" s="6" t="n">
        <v>2004</v>
      </c>
      <c r="B77" s="8" t="n">
        <v>3.3</v>
      </c>
      <c r="C77" s="8" t="n">
        <v>4.6</v>
      </c>
      <c r="D77" s="8" t="n">
        <v>5.8</v>
      </c>
      <c r="E77" s="8" t="n">
        <v>7.7</v>
      </c>
      <c r="F77" s="8" t="n">
        <v>8.5</v>
      </c>
      <c r="G77" s="8" t="n">
        <v>8.800000000000001</v>
      </c>
      <c r="H77" s="8" t="n">
        <v>9</v>
      </c>
      <c r="I77" s="8" t="n">
        <v>10.2</v>
      </c>
      <c r="J77" s="8" t="n">
        <v>10.2</v>
      </c>
      <c r="K77" s="8" t="n">
        <v>13.5</v>
      </c>
    </row>
    <row r="78">
      <c r="A78" s="6" t="n">
        <v>2005</v>
      </c>
      <c r="B78" s="8" t="n">
        <v>2.2</v>
      </c>
      <c r="C78" s="8" t="n">
        <v>3.6</v>
      </c>
      <c r="D78" s="8" t="n">
        <v>5.5</v>
      </c>
      <c r="E78" s="8" t="n">
        <v>9.1</v>
      </c>
      <c r="F78" s="8" t="n">
        <v>15.7</v>
      </c>
      <c r="G78" s="8" t="n">
        <v>26</v>
      </c>
      <c r="H78" s="8" t="n">
        <v>31.3</v>
      </c>
      <c r="I78" s="8" t="n">
        <v>47.5</v>
      </c>
      <c r="J78" s="8" t="n">
        <v>68.09999999999999</v>
      </c>
      <c r="K78" s="8" t="n">
        <v>91.5</v>
      </c>
    </row>
    <row r="79">
      <c r="A79" s="6" t="n">
        <v>2006</v>
      </c>
      <c r="B79" s="7" t="n">
        <v>4.6</v>
      </c>
      <c r="C79" s="7" t="n">
        <v>6.2</v>
      </c>
      <c r="D79" s="7" t="n">
        <v>8.6</v>
      </c>
      <c r="E79" s="7" t="n">
        <v>10.8</v>
      </c>
      <c r="F79" s="8" t="n">
        <v>13.4</v>
      </c>
      <c r="G79" s="8" t="n">
        <v>15.3</v>
      </c>
      <c r="H79" s="8" t="n">
        <v>15.8</v>
      </c>
      <c r="I79" s="8" t="n">
        <v>15.9</v>
      </c>
      <c r="J79" s="8" t="n">
        <v>16</v>
      </c>
      <c r="K79" s="8" t="n">
        <v>22.3</v>
      </c>
    </row>
    <row r="80">
      <c r="A80" s="6" t="n">
        <v>2007</v>
      </c>
      <c r="B80" s="8" t="n">
        <v>3.5</v>
      </c>
      <c r="C80" s="8" t="n">
        <v>5</v>
      </c>
      <c r="D80" s="8" t="n">
        <v>6.3</v>
      </c>
      <c r="E80" s="8" t="n">
        <v>10.5</v>
      </c>
      <c r="F80" s="8" t="n">
        <v>18.3</v>
      </c>
      <c r="G80" s="8" t="n">
        <v>24.2</v>
      </c>
      <c r="H80" s="8" t="n">
        <v>25.6</v>
      </c>
      <c r="I80" s="8" t="n">
        <v>44.8</v>
      </c>
      <c r="J80" s="8" t="n">
        <v>53.1</v>
      </c>
      <c r="K80" s="8" t="n">
        <v>56.3</v>
      </c>
    </row>
    <row r="81">
      <c r="A81" s="6" t="n">
        <v>2008</v>
      </c>
      <c r="B81" s="7" t="n">
        <v>6.2</v>
      </c>
      <c r="C81" s="7" t="n">
        <v>11.6</v>
      </c>
      <c r="D81" s="7" t="n">
        <v>13.6</v>
      </c>
      <c r="E81" s="7" t="n">
        <v>17.4</v>
      </c>
      <c r="F81" s="7" t="n">
        <v>19.2</v>
      </c>
      <c r="G81" s="7" t="n">
        <v>19.2</v>
      </c>
      <c r="H81" s="7" t="n">
        <v>19.2</v>
      </c>
      <c r="I81" s="7" t="n">
        <v>19.3</v>
      </c>
      <c r="J81" s="7" t="n">
        <v>19.4</v>
      </c>
      <c r="K81" s="7" t="n">
        <v>20</v>
      </c>
    </row>
    <row r="82">
      <c r="A82" s="6" t="n">
        <v>2009</v>
      </c>
      <c r="B82" s="7" t="n">
        <v>7.8</v>
      </c>
      <c r="C82" s="7" t="n">
        <v>14.6</v>
      </c>
      <c r="D82" s="7" t="n">
        <v>17.6</v>
      </c>
      <c r="E82" s="7" t="n">
        <v>19.2</v>
      </c>
      <c r="F82" s="7" t="n">
        <v>19.2</v>
      </c>
      <c r="G82" s="7" t="n">
        <v>19.2</v>
      </c>
      <c r="H82" s="7" t="n">
        <v>19.2</v>
      </c>
      <c r="I82" s="7" t="n">
        <v>19.3</v>
      </c>
      <c r="J82" s="7" t="n">
        <v>19.7</v>
      </c>
      <c r="K82" s="7" t="n">
        <v>22.2</v>
      </c>
    </row>
    <row r="83">
      <c r="A83" s="6" t="n">
        <v>2010</v>
      </c>
      <c r="B83" s="7" t="n">
        <v>8</v>
      </c>
      <c r="C83" s="7" t="n">
        <v>14.8</v>
      </c>
      <c r="D83" s="7" t="n">
        <v>20.4</v>
      </c>
      <c r="E83" s="7" t="n">
        <v>28.2</v>
      </c>
      <c r="F83" s="7" t="n">
        <v>35</v>
      </c>
      <c r="G83" s="7" t="n">
        <v>38.9</v>
      </c>
      <c r="H83" s="7" t="n">
        <v>39.2</v>
      </c>
      <c r="I83" s="7" t="n">
        <v>41.6</v>
      </c>
      <c r="J83" s="7" t="n">
        <v>47.4</v>
      </c>
      <c r="K83" s="7" t="n">
        <v>48.6</v>
      </c>
    </row>
    <row r="84">
      <c r="A84" s="6" t="n">
        <v>2011</v>
      </c>
      <c r="B84" s="7" t="n">
        <v>8.199999999999999</v>
      </c>
      <c r="C84" s="7" t="n">
        <v>15.8</v>
      </c>
      <c r="D84" s="7" t="n">
        <v>20.8</v>
      </c>
      <c r="E84" s="7" t="n">
        <v>27.6</v>
      </c>
      <c r="F84" s="7" t="n">
        <v>29.8</v>
      </c>
      <c r="G84" s="7" t="n">
        <v>29.8</v>
      </c>
      <c r="H84" s="7" t="n">
        <v>29.8</v>
      </c>
      <c r="I84" s="7" t="n">
        <v>29.8</v>
      </c>
      <c r="J84" s="7" t="n">
        <v>29.9</v>
      </c>
      <c r="K84" s="7" t="n">
        <v>30</v>
      </c>
    </row>
    <row r="85">
      <c r="A85" s="6" t="n">
        <v>2012</v>
      </c>
      <c r="B85" s="7" t="n">
        <v>7.2</v>
      </c>
      <c r="C85" s="7" t="n">
        <v>11</v>
      </c>
      <c r="D85" s="7" t="n">
        <v>14.2</v>
      </c>
      <c r="E85" s="7" t="n">
        <v>22.2</v>
      </c>
      <c r="F85" s="7" t="n">
        <v>28.4</v>
      </c>
      <c r="G85" s="7" t="n">
        <v>46.8</v>
      </c>
      <c r="H85" s="7" t="n">
        <v>50.2</v>
      </c>
      <c r="I85" s="7" t="n">
        <v>64.2</v>
      </c>
      <c r="J85" s="7" t="n">
        <v>73.2</v>
      </c>
      <c r="K85" s="7" t="n">
        <v>73.3</v>
      </c>
    </row>
    <row r="86">
      <c r="A86" s="6" t="n">
        <v>2013</v>
      </c>
      <c r="B86" s="7" t="n">
        <v>7.6</v>
      </c>
      <c r="C86" s="7" t="n">
        <v>14.2</v>
      </c>
      <c r="D86" s="7" t="n">
        <v>18.8</v>
      </c>
      <c r="E86" s="7" t="n">
        <v>25.2</v>
      </c>
      <c r="F86" s="7" t="n">
        <v>25.6</v>
      </c>
      <c r="G86" s="7" t="n">
        <v>25.8</v>
      </c>
      <c r="H86" s="7" t="n">
        <v>25.8</v>
      </c>
      <c r="I86" s="7" t="n">
        <v>25.8</v>
      </c>
      <c r="J86" s="7" t="n">
        <v>25.9</v>
      </c>
      <c r="K86" s="7" t="n">
        <v>26</v>
      </c>
    </row>
    <row r="87">
      <c r="A87" s="6" t="n">
        <v>2014</v>
      </c>
      <c r="B87" s="7" t="n">
        <v>7.4</v>
      </c>
      <c r="C87" s="7" t="n">
        <v>9.4</v>
      </c>
      <c r="D87" s="7" t="n">
        <v>11.2</v>
      </c>
      <c r="E87" s="7" t="n">
        <v>17.2</v>
      </c>
      <c r="F87" s="7" t="n">
        <v>20</v>
      </c>
      <c r="G87" s="7" t="n">
        <v>20.5</v>
      </c>
      <c r="H87" s="7" t="n">
        <v>21.6</v>
      </c>
      <c r="I87" s="7" t="n">
        <v>27.7</v>
      </c>
      <c r="J87" s="7" t="n">
        <v>47.9</v>
      </c>
      <c r="K87" s="7" t="n">
        <v>53.6</v>
      </c>
    </row>
    <row r="88">
      <c r="A88" s="6" t="n">
        <v>2017</v>
      </c>
      <c r="B88" s="7" t="n">
        <v>5</v>
      </c>
      <c r="C88" s="7" t="n">
        <v>8</v>
      </c>
      <c r="D88" s="7" t="n">
        <v>10.6</v>
      </c>
      <c r="E88" s="7" t="n">
        <v>19.6</v>
      </c>
      <c r="F88" s="7" t="n">
        <v>24.4</v>
      </c>
      <c r="G88" s="7" t="n">
        <v>24.4</v>
      </c>
      <c r="H88" s="7" t="n">
        <v>24.4</v>
      </c>
      <c r="I88" s="7" t="n">
        <v>24.4</v>
      </c>
      <c r="J88" s="7" t="n">
        <v>24.5</v>
      </c>
      <c r="K88" s="8" t="n">
        <v>25</v>
      </c>
    </row>
    <row r="89">
      <c r="A89" s="6" t="n">
        <v>2018</v>
      </c>
      <c r="B89" s="7" t="n">
        <v>2.6</v>
      </c>
      <c r="C89" s="7" t="n">
        <v>4.4</v>
      </c>
      <c r="D89" s="7" t="n">
        <v>4.6</v>
      </c>
      <c r="E89" s="7" t="n">
        <v>5.1</v>
      </c>
      <c r="F89" s="7" t="n">
        <v>5.7</v>
      </c>
      <c r="G89" s="7" t="n">
        <v>6.3</v>
      </c>
      <c r="H89" s="7" t="n">
        <v>6.6</v>
      </c>
      <c r="I89" s="7" t="n">
        <v>6.8</v>
      </c>
      <c r="J89" s="7" t="n">
        <v>6.9</v>
      </c>
      <c r="K89" s="7" t="n">
        <v>7</v>
      </c>
    </row>
    <row r="90">
      <c r="A90" s="6" t="n">
        <v>2019</v>
      </c>
      <c r="B90" s="7" t="n">
        <v>8.800000000000001</v>
      </c>
      <c r="C90" s="7" t="n">
        <v>14.8</v>
      </c>
      <c r="D90" s="7" t="n">
        <v>18.6</v>
      </c>
      <c r="E90" s="7" t="n">
        <v>22</v>
      </c>
      <c r="F90" s="7" t="n">
        <v>23.5</v>
      </c>
      <c r="G90" s="7" t="n">
        <v>25.8</v>
      </c>
      <c r="H90" s="7" t="n">
        <v>29.2</v>
      </c>
      <c r="I90" s="7" t="n">
        <v>31.6</v>
      </c>
      <c r="J90" s="7" t="n">
        <v>35.6</v>
      </c>
      <c r="K90" s="7" t="n">
        <v>47.9</v>
      </c>
    </row>
    <row r="91">
      <c r="A91" s="6" t="n">
        <v>2020</v>
      </c>
      <c r="B91" s="7" t="n">
        <v>8.6</v>
      </c>
      <c r="C91" s="7" t="n">
        <v>17</v>
      </c>
      <c r="D91" s="7" t="n">
        <v>22.6</v>
      </c>
      <c r="E91" s="7" t="n">
        <v>38</v>
      </c>
      <c r="F91" s="7" t="n">
        <v>45.8</v>
      </c>
      <c r="G91" s="7" t="n">
        <v>85.8</v>
      </c>
      <c r="H91" s="7" t="n">
        <v>128.2</v>
      </c>
      <c r="I91" s="7" t="n">
        <v>130.3</v>
      </c>
      <c r="J91" s="7" t="n">
        <v>131</v>
      </c>
      <c r="K91" s="7" t="n">
        <v>131.1</v>
      </c>
    </row>
    <row r="92">
      <c r="A92" s="6" t="n">
        <v>2022</v>
      </c>
      <c r="B92" s="7" t="n">
        <v>6</v>
      </c>
      <c r="C92" s="7" t="n">
        <v>11.2</v>
      </c>
      <c r="D92" s="7" t="n">
        <v>16.8</v>
      </c>
      <c r="E92" s="7" t="n">
        <v>24.4</v>
      </c>
      <c r="F92" s="7" t="n">
        <v>31.7</v>
      </c>
      <c r="G92" s="7" t="n">
        <v>36</v>
      </c>
      <c r="H92" s="7" t="n">
        <v>36.2</v>
      </c>
      <c r="I92" s="7" t="n">
        <v>36.2</v>
      </c>
      <c r="J92" s="7" t="n">
        <v>36.2</v>
      </c>
      <c r="K92" s="7" t="n">
        <v>36.2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Y27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</cols>
  <sheetData>
    <row r="1">
      <c r="A1" s="1" t="inlineStr">
        <is>
          <t>Gauge 64  |  FL343236AF  |  Al Wariyah near Rawdah</t>
        </is>
      </c>
    </row>
    <row r="3">
      <c r="A3" s="2" t="inlineStr">
        <is>
          <t>AMS BEFORE gap filling (observed only, mm)</t>
        </is>
      </c>
      <c r="M3" s="3" t="inlineStr">
        <is>
          <t>IDF - design rainfall DEPTH (mm)</t>
        </is>
      </c>
    </row>
    <row r="4">
      <c r="A4" s="4" t="inlineStr">
        <is>
          <t>Water year</t>
        </is>
      </c>
      <c r="B4" s="5" t="inlineStr">
        <is>
          <t>5min</t>
        </is>
      </c>
      <c r="C4" s="5" t="inlineStr">
        <is>
          <t>10min</t>
        </is>
      </c>
      <c r="D4" s="5" t="inlineStr">
        <is>
          <t>15min</t>
        </is>
      </c>
      <c r="E4" s="5" t="inlineStr">
        <is>
          <t>30min</t>
        </is>
      </c>
      <c r="F4" s="5" t="inlineStr">
        <is>
          <t>1h</t>
        </is>
      </c>
      <c r="G4" s="5" t="inlineStr">
        <is>
          <t>2h</t>
        </is>
      </c>
      <c r="H4" s="5" t="inlineStr">
        <is>
          <t>3h</t>
        </is>
      </c>
      <c r="I4" s="5" t="inlineStr">
        <is>
          <t>6h</t>
        </is>
      </c>
      <c r="J4" s="5" t="inlineStr">
        <is>
          <t>12h</t>
        </is>
      </c>
      <c r="K4" s="5" t="inlineStr">
        <is>
          <t>24h</t>
        </is>
      </c>
      <c r="M4" s="4" t="inlineStr">
        <is>
          <t>Duration \ RP</t>
        </is>
      </c>
      <c r="N4" s="4" t="n">
        <v>2</v>
      </c>
      <c r="O4" s="4" t="n">
        <v>5</v>
      </c>
      <c r="P4" s="4" t="n">
        <v>10</v>
      </c>
      <c r="Q4" s="4" t="n">
        <v>25</v>
      </c>
      <c r="R4" s="4" t="n">
        <v>50</v>
      </c>
      <c r="S4" s="4" t="n">
        <v>100</v>
      </c>
      <c r="T4" s="4" t="n">
        <v>200</v>
      </c>
      <c r="U4" s="4" t="n">
        <v>500</v>
      </c>
      <c r="V4" s="4" t="n">
        <v>1000</v>
      </c>
      <c r="W4" s="4" t="n">
        <v>2000</v>
      </c>
      <c r="X4" s="4" t="n">
        <v>5000</v>
      </c>
      <c r="Y4" s="4" t="n">
        <v>10000</v>
      </c>
    </row>
    <row r="5">
      <c r="A5" s="6" t="n">
        <v>2017</v>
      </c>
      <c r="B5" s="7" t="n">
        <v>7.4</v>
      </c>
      <c r="C5" s="7" t="n">
        <v>14</v>
      </c>
      <c r="D5" s="7" t="n">
        <v>18.8</v>
      </c>
      <c r="E5" s="7" t="n">
        <v>27.6</v>
      </c>
      <c r="F5" s="7" t="n">
        <v>33.8</v>
      </c>
      <c r="G5" s="7" t="n">
        <v>33.8</v>
      </c>
      <c r="H5" s="7" t="n">
        <v>33.9</v>
      </c>
      <c r="I5" s="7" t="n">
        <v>33.9</v>
      </c>
      <c r="J5" s="7" t="n">
        <v>34.1</v>
      </c>
      <c r="K5" s="7" t="n">
        <v>34.2</v>
      </c>
      <c r="M5" s="6" t="inlineStr">
        <is>
          <t>5min</t>
        </is>
      </c>
      <c r="N5" s="6" t="n">
        <v>5.5</v>
      </c>
      <c r="O5" s="6" t="n">
        <v>8.300000000000001</v>
      </c>
      <c r="P5" s="6" t="n">
        <v>10.3</v>
      </c>
      <c r="Q5" s="6" t="n">
        <v>13.1</v>
      </c>
      <c r="R5" s="6" t="n">
        <v>15.3</v>
      </c>
      <c r="S5" s="6" t="n">
        <v>17.6</v>
      </c>
      <c r="T5" s="6" t="n">
        <v>20.1</v>
      </c>
      <c r="U5" s="6" t="n">
        <v>23.7</v>
      </c>
      <c r="V5" s="6" t="n">
        <v>26.6</v>
      </c>
      <c r="W5" s="6" t="n">
        <v>29.7</v>
      </c>
      <c r="X5" s="6" t="n">
        <v>34.1</v>
      </c>
      <c r="Y5" s="6" t="n">
        <v>37.7</v>
      </c>
    </row>
    <row r="6">
      <c r="A6" s="6" t="n">
        <v>2018</v>
      </c>
      <c r="B6" s="7" t="n">
        <v>5</v>
      </c>
      <c r="C6" s="7" t="n">
        <v>8.800000000000001</v>
      </c>
      <c r="D6" s="7" t="n">
        <v>11.6</v>
      </c>
      <c r="E6" s="7" t="n">
        <v>15.8</v>
      </c>
      <c r="F6" s="7" t="n">
        <v>16.4</v>
      </c>
      <c r="G6" s="7" t="n">
        <v>16.4</v>
      </c>
      <c r="H6" s="7" t="n">
        <v>16.4</v>
      </c>
      <c r="I6" s="7" t="n">
        <v>16.5</v>
      </c>
      <c r="J6" s="7" t="n">
        <v>16.5</v>
      </c>
      <c r="K6" s="7" t="n">
        <v>16.6</v>
      </c>
      <c r="M6" s="6" t="inlineStr">
        <is>
          <t>10min</t>
        </is>
      </c>
      <c r="N6" s="6" t="n">
        <v>9</v>
      </c>
      <c r="O6" s="6" t="n">
        <v>13.7</v>
      </c>
      <c r="P6" s="6" t="n">
        <v>17.1</v>
      </c>
      <c r="Q6" s="6" t="n">
        <v>21.8</v>
      </c>
      <c r="R6" s="6" t="n">
        <v>25.5</v>
      </c>
      <c r="S6" s="6" t="n">
        <v>29.3</v>
      </c>
      <c r="T6" s="6" t="n">
        <v>33.4</v>
      </c>
      <c r="U6" s="6" t="n">
        <v>39.2</v>
      </c>
      <c r="V6" s="6" t="n">
        <v>43.9</v>
      </c>
      <c r="W6" s="6" t="n">
        <v>48.8</v>
      </c>
      <c r="X6" s="6" t="n">
        <v>55.8</v>
      </c>
      <c r="Y6" s="6" t="n">
        <v>61.4</v>
      </c>
    </row>
    <row r="7">
      <c r="A7" s="6" t="n">
        <v>2019</v>
      </c>
      <c r="B7" s="7" t="n">
        <v>8.800000000000001</v>
      </c>
      <c r="C7" s="7" t="n">
        <v>14.4</v>
      </c>
      <c r="D7" s="7" t="n">
        <v>19.2</v>
      </c>
      <c r="E7" s="7" t="n">
        <v>31.2</v>
      </c>
      <c r="F7" s="7" t="n">
        <v>41.2</v>
      </c>
      <c r="G7" s="7" t="n">
        <v>41.4</v>
      </c>
      <c r="H7" s="7" t="n">
        <v>41.4</v>
      </c>
      <c r="I7" s="7" t="n">
        <v>41.5</v>
      </c>
      <c r="J7" s="7" t="n">
        <v>41.6</v>
      </c>
      <c r="K7" s="7" t="n">
        <v>50.1</v>
      </c>
      <c r="M7" s="6" t="inlineStr">
        <is>
          <t>15min</t>
        </is>
      </c>
      <c r="N7" s="6" t="n">
        <v>11.4</v>
      </c>
      <c r="O7" s="6" t="n">
        <v>17.6</v>
      </c>
      <c r="P7" s="6" t="n">
        <v>22.1</v>
      </c>
      <c r="Q7" s="6" t="n">
        <v>28</v>
      </c>
      <c r="R7" s="6" t="n">
        <v>32.8</v>
      </c>
      <c r="S7" s="6" t="n">
        <v>37.7</v>
      </c>
      <c r="T7" s="6" t="n">
        <v>43</v>
      </c>
      <c r="U7" s="6" t="n">
        <v>50.3</v>
      </c>
      <c r="V7" s="6" t="n">
        <v>56.2</v>
      </c>
      <c r="W7" s="6" t="n">
        <v>62.4</v>
      </c>
      <c r="X7" s="6" t="n">
        <v>71.2</v>
      </c>
      <c r="Y7" s="6" t="n">
        <v>78.3</v>
      </c>
    </row>
    <row r="8">
      <c r="A8" s="6" t="n">
        <v>2020</v>
      </c>
      <c r="B8" s="7" t="n">
        <v>13.4</v>
      </c>
      <c r="C8" s="7" t="n">
        <v>25</v>
      </c>
      <c r="D8" s="7" t="n">
        <v>37.4</v>
      </c>
      <c r="E8" s="7" t="n">
        <v>53.4</v>
      </c>
      <c r="F8" s="7" t="n">
        <v>64</v>
      </c>
      <c r="G8" s="7" t="n">
        <v>78.8</v>
      </c>
      <c r="H8" s="7" t="n">
        <v>124.2</v>
      </c>
      <c r="I8" s="7" t="n">
        <v>127.1</v>
      </c>
      <c r="J8" s="7" t="n">
        <v>127.2</v>
      </c>
      <c r="K8" s="7" t="n">
        <v>127.3</v>
      </c>
      <c r="M8" s="6" t="inlineStr">
        <is>
          <t>30min</t>
        </is>
      </c>
      <c r="N8" s="6" t="n">
        <v>15.8</v>
      </c>
      <c r="O8" s="6" t="n">
        <v>24.7</v>
      </c>
      <c r="P8" s="6" t="n">
        <v>30.8</v>
      </c>
      <c r="Q8" s="6" t="n">
        <v>38.9</v>
      </c>
      <c r="R8" s="6" t="n">
        <v>45.3</v>
      </c>
      <c r="S8" s="6" t="n">
        <v>51.8</v>
      </c>
      <c r="T8" s="6" t="n">
        <v>58.5</v>
      </c>
      <c r="U8" s="6" t="n">
        <v>67.8</v>
      </c>
      <c r="V8" s="6" t="n">
        <v>75.2</v>
      </c>
      <c r="W8" s="6" t="n">
        <v>82.8</v>
      </c>
      <c r="X8" s="6" t="n">
        <v>93.40000000000001</v>
      </c>
      <c r="Y8" s="6" t="n">
        <v>101.7</v>
      </c>
    </row>
    <row r="9">
      <c r="A9" s="6" t="n">
        <v>2021</v>
      </c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M9" s="6" t="inlineStr">
        <is>
          <t>1h</t>
        </is>
      </c>
      <c r="N9" s="6" t="n">
        <v>19.9</v>
      </c>
      <c r="O9" s="6" t="n">
        <v>30.8</v>
      </c>
      <c r="P9" s="6" t="n">
        <v>38.4</v>
      </c>
      <c r="Q9" s="6" t="n">
        <v>48.3</v>
      </c>
      <c r="R9" s="6" t="n">
        <v>56</v>
      </c>
      <c r="S9" s="6" t="n">
        <v>63.8</v>
      </c>
      <c r="T9" s="6" t="n">
        <v>71.90000000000001</v>
      </c>
      <c r="U9" s="6" t="n">
        <v>82.90000000000001</v>
      </c>
      <c r="V9" s="6" t="n">
        <v>91.5</v>
      </c>
      <c r="W9" s="6" t="n">
        <v>100.4</v>
      </c>
      <c r="X9" s="6" t="n">
        <v>112.5</v>
      </c>
      <c r="Y9" s="6" t="n">
        <v>122.1</v>
      </c>
    </row>
    <row r="10">
      <c r="A10" s="6" t="n">
        <v>2022</v>
      </c>
      <c r="B10" s="7" t="n">
        <v>3.8</v>
      </c>
      <c r="C10" s="7" t="n">
        <v>7.2</v>
      </c>
      <c r="D10" s="7" t="n">
        <v>9.6</v>
      </c>
      <c r="E10" s="7" t="n">
        <v>15.2</v>
      </c>
      <c r="F10" s="7" t="n">
        <v>18.3</v>
      </c>
      <c r="G10" s="7" t="n">
        <v>20.2</v>
      </c>
      <c r="H10" s="7" t="n">
        <v>25.6</v>
      </c>
      <c r="I10" s="7" t="n">
        <v>26</v>
      </c>
      <c r="J10" s="7" t="n">
        <v>26</v>
      </c>
      <c r="K10" s="7" t="n">
        <v>26</v>
      </c>
      <c r="M10" s="6" t="inlineStr">
        <is>
          <t>2h</t>
        </is>
      </c>
      <c r="N10" s="6" t="n">
        <v>23.1</v>
      </c>
      <c r="O10" s="6" t="n">
        <v>36.7</v>
      </c>
      <c r="P10" s="6" t="n">
        <v>46.3</v>
      </c>
      <c r="Q10" s="6" t="n">
        <v>59.3</v>
      </c>
      <c r="R10" s="6" t="n">
        <v>69.5</v>
      </c>
      <c r="S10" s="6" t="n">
        <v>80.09999999999999</v>
      </c>
      <c r="T10" s="6" t="n">
        <v>91.2</v>
      </c>
      <c r="U10" s="6" t="n">
        <v>106.8</v>
      </c>
      <c r="V10" s="6" t="n">
        <v>119.3</v>
      </c>
      <c r="W10" s="6" t="n">
        <v>132.5</v>
      </c>
      <c r="X10" s="6" t="n">
        <v>150.9</v>
      </c>
      <c r="Y10" s="6" t="n">
        <v>165.7</v>
      </c>
    </row>
    <row r="11">
      <c r="M11" s="6" t="inlineStr">
        <is>
          <t>3h</t>
        </is>
      </c>
      <c r="N11" s="6" t="n">
        <v>24.6</v>
      </c>
      <c r="O11" s="6" t="n">
        <v>40.2</v>
      </c>
      <c r="P11" s="6" t="n">
        <v>51.8</v>
      </c>
      <c r="Q11" s="6" t="n">
        <v>68.2</v>
      </c>
      <c r="R11" s="6" t="n">
        <v>81.7</v>
      </c>
      <c r="S11" s="6" t="n">
        <v>96.40000000000001</v>
      </c>
      <c r="T11" s="6" t="n">
        <v>112.3</v>
      </c>
      <c r="U11" s="6" t="n">
        <v>135.7</v>
      </c>
      <c r="V11" s="6" t="n">
        <v>155.2</v>
      </c>
      <c r="W11" s="6" t="n">
        <v>176.6</v>
      </c>
      <c r="X11" s="6" t="n">
        <v>207.9</v>
      </c>
      <c r="Y11" s="6" t="n">
        <v>234.1</v>
      </c>
    </row>
    <row r="12">
      <c r="M12" s="6" t="inlineStr">
        <is>
          <t>6h</t>
        </is>
      </c>
      <c r="N12" s="6" t="n">
        <v>27.5</v>
      </c>
      <c r="O12" s="6" t="n">
        <v>46.5</v>
      </c>
      <c r="P12" s="6" t="n">
        <v>61</v>
      </c>
      <c r="Q12" s="6" t="n">
        <v>81.7</v>
      </c>
      <c r="R12" s="6" t="n">
        <v>99.2</v>
      </c>
      <c r="S12" s="6" t="n">
        <v>118.3</v>
      </c>
      <c r="T12" s="6" t="n">
        <v>139.5</v>
      </c>
      <c r="U12" s="6" t="n">
        <v>171.1</v>
      </c>
      <c r="V12" s="6" t="n">
        <v>198</v>
      </c>
      <c r="W12" s="6" t="n">
        <v>227.8</v>
      </c>
      <c r="X12" s="6" t="n">
        <v>272.3</v>
      </c>
      <c r="Y12" s="6" t="n">
        <v>310.2</v>
      </c>
    </row>
    <row r="13">
      <c r="A13" s="2" t="inlineStr">
        <is>
          <t>AMS AFTER gap filling (mm)  -  yellow = added or changed by gap filling</t>
        </is>
      </c>
      <c r="M13" s="6" t="inlineStr">
        <is>
          <t>12h</t>
        </is>
      </c>
      <c r="N13" s="6" t="n">
        <v>30.7</v>
      </c>
      <c r="O13" s="6" t="n">
        <v>52.9</v>
      </c>
      <c r="P13" s="6" t="n">
        <v>69.8</v>
      </c>
      <c r="Q13" s="6" t="n">
        <v>94</v>
      </c>
      <c r="R13" s="6" t="n">
        <v>114.4</v>
      </c>
      <c r="S13" s="6" t="n">
        <v>136.9</v>
      </c>
      <c r="T13" s="6" t="n">
        <v>161.8</v>
      </c>
      <c r="U13" s="6" t="n">
        <v>198.9</v>
      </c>
      <c r="V13" s="6" t="n">
        <v>230.5</v>
      </c>
      <c r="W13" s="6" t="n">
        <v>265.6</v>
      </c>
      <c r="X13" s="6" t="n">
        <v>318</v>
      </c>
      <c r="Y13" s="6" t="n">
        <v>362.8</v>
      </c>
    </row>
    <row r="14">
      <c r="A14" s="4" t="inlineStr">
        <is>
          <t>Water year</t>
        </is>
      </c>
      <c r="B14" s="5" t="inlineStr">
        <is>
          <t>5min</t>
        </is>
      </c>
      <c r="C14" s="5" t="inlineStr">
        <is>
          <t>10min</t>
        </is>
      </c>
      <c r="D14" s="5" t="inlineStr">
        <is>
          <t>15min</t>
        </is>
      </c>
      <c r="E14" s="5" t="inlineStr">
        <is>
          <t>30min</t>
        </is>
      </c>
      <c r="F14" s="5" t="inlineStr">
        <is>
          <t>1h</t>
        </is>
      </c>
      <c r="G14" s="5" t="inlineStr">
        <is>
          <t>2h</t>
        </is>
      </c>
      <c r="H14" s="5" t="inlineStr">
        <is>
          <t>3h</t>
        </is>
      </c>
      <c r="I14" s="5" t="inlineStr">
        <is>
          <t>6h</t>
        </is>
      </c>
      <c r="J14" s="5" t="inlineStr">
        <is>
          <t>12h</t>
        </is>
      </c>
      <c r="K14" s="5" t="inlineStr">
        <is>
          <t>24h</t>
        </is>
      </c>
      <c r="M14" s="6" t="inlineStr">
        <is>
          <t>24h</t>
        </is>
      </c>
      <c r="N14" s="6" t="n">
        <v>35</v>
      </c>
      <c r="O14" s="6" t="n">
        <v>60.5</v>
      </c>
      <c r="P14" s="6" t="n">
        <v>79.8</v>
      </c>
      <c r="Q14" s="6" t="n">
        <v>107.2</v>
      </c>
      <c r="R14" s="6" t="n">
        <v>130</v>
      </c>
      <c r="S14" s="6" t="n">
        <v>154.9</v>
      </c>
      <c r="T14" s="6" t="n">
        <v>182.2</v>
      </c>
      <c r="U14" s="6" t="n">
        <v>222.6</v>
      </c>
      <c r="V14" s="6" t="n">
        <v>256.8</v>
      </c>
      <c r="W14" s="6" t="n">
        <v>294.4</v>
      </c>
      <c r="X14" s="6" t="n">
        <v>349.9</v>
      </c>
      <c r="Y14" s="6" t="n">
        <v>396.9</v>
      </c>
    </row>
    <row r="15">
      <c r="A15" s="6" t="n">
        <v>2017</v>
      </c>
      <c r="B15" s="7" t="n">
        <v>7.4</v>
      </c>
      <c r="C15" s="7" t="n">
        <v>14</v>
      </c>
      <c r="D15" s="7" t="n">
        <v>18.8</v>
      </c>
      <c r="E15" s="7" t="n">
        <v>27.6</v>
      </c>
      <c r="F15" s="7" t="n">
        <v>33.8</v>
      </c>
      <c r="G15" s="7" t="n">
        <v>33.8</v>
      </c>
      <c r="H15" s="7" t="n">
        <v>33.9</v>
      </c>
      <c r="I15" s="7" t="n">
        <v>33.9</v>
      </c>
      <c r="J15" s="7" t="n">
        <v>34.1</v>
      </c>
      <c r="K15" s="7" t="n">
        <v>34.2</v>
      </c>
    </row>
    <row r="16">
      <c r="A16" s="6" t="n">
        <v>2018</v>
      </c>
      <c r="B16" s="7" t="n">
        <v>5</v>
      </c>
      <c r="C16" s="7" t="n">
        <v>8.800000000000001</v>
      </c>
      <c r="D16" s="7" t="n">
        <v>11.6</v>
      </c>
      <c r="E16" s="7" t="n">
        <v>15.8</v>
      </c>
      <c r="F16" s="7" t="n">
        <v>16.4</v>
      </c>
      <c r="G16" s="7" t="n">
        <v>16.4</v>
      </c>
      <c r="H16" s="7" t="n">
        <v>16.4</v>
      </c>
      <c r="I16" s="7" t="n">
        <v>16.5</v>
      </c>
      <c r="J16" s="7" t="n">
        <v>16.5</v>
      </c>
      <c r="K16" s="7" t="n">
        <v>16.6</v>
      </c>
      <c r="M16" s="3" t="inlineStr">
        <is>
          <t>IDF - intensity (mm/hr) [x=duration(min)]</t>
        </is>
      </c>
    </row>
    <row r="17">
      <c r="A17" s="6" t="n">
        <v>2019</v>
      </c>
      <c r="B17" s="7" t="n">
        <v>8.800000000000001</v>
      </c>
      <c r="C17" s="7" t="n">
        <v>14.4</v>
      </c>
      <c r="D17" s="7" t="n">
        <v>19.2</v>
      </c>
      <c r="E17" s="7" t="n">
        <v>31.2</v>
      </c>
      <c r="F17" s="7" t="n">
        <v>41.2</v>
      </c>
      <c r="G17" s="7" t="n">
        <v>41.4</v>
      </c>
      <c r="H17" s="7" t="n">
        <v>41.4</v>
      </c>
      <c r="I17" s="7" t="n">
        <v>41.5</v>
      </c>
      <c r="J17" s="7" t="n">
        <v>41.6</v>
      </c>
      <c r="K17" s="7" t="n">
        <v>50.1</v>
      </c>
      <c r="M17" t="inlineStr">
        <is>
          <t>Duration(min)</t>
        </is>
      </c>
      <c r="N17" t="inlineStr">
        <is>
          <t>2 yr</t>
        </is>
      </c>
      <c r="O17" t="inlineStr">
        <is>
          <t>5 yr</t>
        </is>
      </c>
      <c r="P17" t="inlineStr">
        <is>
          <t>10 yr</t>
        </is>
      </c>
      <c r="Q17" t="inlineStr">
        <is>
          <t>25 yr</t>
        </is>
      </c>
      <c r="R17" t="inlineStr">
        <is>
          <t>50 yr</t>
        </is>
      </c>
      <c r="S17" t="inlineStr">
        <is>
          <t>100 yr</t>
        </is>
      </c>
      <c r="T17" t="inlineStr">
        <is>
          <t>200 yr</t>
        </is>
      </c>
      <c r="U17" t="inlineStr">
        <is>
          <t>500 yr</t>
        </is>
      </c>
      <c r="V17" t="inlineStr">
        <is>
          <t>1000 yr</t>
        </is>
      </c>
      <c r="W17" t="inlineStr">
        <is>
          <t>2000 yr</t>
        </is>
      </c>
      <c r="X17" t="inlineStr">
        <is>
          <t>5000 yr</t>
        </is>
      </c>
      <c r="Y17" t="inlineStr">
        <is>
          <t>10000 yr</t>
        </is>
      </c>
    </row>
    <row r="18">
      <c r="A18" s="6" t="n">
        <v>2020</v>
      </c>
      <c r="B18" s="7" t="n">
        <v>13.4</v>
      </c>
      <c r="C18" s="7" t="n">
        <v>25</v>
      </c>
      <c r="D18" s="7" t="n">
        <v>37.4</v>
      </c>
      <c r="E18" s="7" t="n">
        <v>53.4</v>
      </c>
      <c r="F18" s="7" t="n">
        <v>64</v>
      </c>
      <c r="G18" s="7" t="n">
        <v>78.8</v>
      </c>
      <c r="H18" s="7" t="n">
        <v>124.2</v>
      </c>
      <c r="I18" s="7" t="n">
        <v>127.1</v>
      </c>
      <c r="J18" s="7" t="n">
        <v>127.2</v>
      </c>
      <c r="K18" s="7" t="n">
        <v>127.3</v>
      </c>
      <c r="M18" t="n">
        <v>5</v>
      </c>
      <c r="N18" t="n">
        <v>65.7</v>
      </c>
      <c r="O18" t="n">
        <v>99.3</v>
      </c>
      <c r="P18" t="n">
        <v>123.6</v>
      </c>
      <c r="Q18" t="n">
        <v>156.8</v>
      </c>
      <c r="R18" t="n">
        <v>183.5</v>
      </c>
      <c r="S18" t="n">
        <v>211.7</v>
      </c>
      <c r="T18" t="n">
        <v>241.8</v>
      </c>
      <c r="U18" t="n">
        <v>284.5</v>
      </c>
      <c r="V18" t="n">
        <v>319.4</v>
      </c>
      <c r="W18" t="n">
        <v>356.6</v>
      </c>
      <c r="X18" t="n">
        <v>409.6</v>
      </c>
      <c r="Y18" t="n">
        <v>452.8</v>
      </c>
    </row>
    <row r="19">
      <c r="A19" s="6" t="n">
        <v>2021</v>
      </c>
      <c r="B19" s="8" t="n">
        <v>0.6</v>
      </c>
      <c r="C19" s="8" t="n">
        <v>1.1</v>
      </c>
      <c r="D19" s="8" t="n">
        <v>1.5</v>
      </c>
      <c r="E19" s="8" t="n">
        <v>1.9</v>
      </c>
      <c r="F19" s="8" t="n">
        <v>1.9</v>
      </c>
      <c r="G19" s="8" t="n">
        <v>1.9</v>
      </c>
      <c r="H19" s="8" t="n">
        <v>1.9</v>
      </c>
      <c r="I19" s="8" t="n">
        <v>1.9</v>
      </c>
      <c r="J19" s="8" t="n">
        <v>1.9</v>
      </c>
      <c r="K19" s="8" t="n">
        <v>1.9</v>
      </c>
      <c r="M19" t="n">
        <v>10</v>
      </c>
      <c r="N19" t="n">
        <v>53.8</v>
      </c>
      <c r="O19" t="n">
        <v>82.40000000000001</v>
      </c>
      <c r="P19" t="n">
        <v>102.9</v>
      </c>
      <c r="Q19" t="n">
        <v>130.7</v>
      </c>
      <c r="R19" t="n">
        <v>152.8</v>
      </c>
      <c r="S19" t="n">
        <v>176</v>
      </c>
      <c r="T19" t="n">
        <v>200.6</v>
      </c>
      <c r="U19" t="n">
        <v>235.2</v>
      </c>
      <c r="V19" t="n">
        <v>263.2</v>
      </c>
      <c r="W19" t="n">
        <v>292.8</v>
      </c>
      <c r="X19" t="n">
        <v>334.7</v>
      </c>
      <c r="Y19" t="n">
        <v>368.5</v>
      </c>
    </row>
    <row r="20">
      <c r="A20" s="6" t="n">
        <v>2022</v>
      </c>
      <c r="B20" s="7" t="n">
        <v>3.8</v>
      </c>
      <c r="C20" s="7" t="n">
        <v>7.2</v>
      </c>
      <c r="D20" s="7" t="n">
        <v>9.6</v>
      </c>
      <c r="E20" s="7" t="n">
        <v>15.2</v>
      </c>
      <c r="F20" s="7" t="n">
        <v>18.3</v>
      </c>
      <c r="G20" s="7" t="n">
        <v>20.2</v>
      </c>
      <c r="H20" s="7" t="n">
        <v>25.6</v>
      </c>
      <c r="I20" s="7" t="n">
        <v>26</v>
      </c>
      <c r="J20" s="7" t="n">
        <v>26</v>
      </c>
      <c r="K20" s="7" t="n">
        <v>26</v>
      </c>
      <c r="M20" t="n">
        <v>15</v>
      </c>
      <c r="N20" t="n">
        <v>45.7</v>
      </c>
      <c r="O20" t="n">
        <v>70.5</v>
      </c>
      <c r="P20" t="n">
        <v>88.2</v>
      </c>
      <c r="Q20" t="n">
        <v>112.2</v>
      </c>
      <c r="R20" t="n">
        <v>131.1</v>
      </c>
      <c r="S20" t="n">
        <v>150.9</v>
      </c>
      <c r="T20" t="n">
        <v>171.8</v>
      </c>
      <c r="U20" t="n">
        <v>201.2</v>
      </c>
      <c r="V20" t="n">
        <v>224.8</v>
      </c>
      <c r="W20" t="n">
        <v>249.8</v>
      </c>
      <c r="X20" t="n">
        <v>284.9</v>
      </c>
      <c r="Y20" t="n">
        <v>313.2</v>
      </c>
    </row>
    <row r="21">
      <c r="M21" t="n">
        <v>30</v>
      </c>
      <c r="N21" t="n">
        <v>31.7</v>
      </c>
      <c r="O21" t="n">
        <v>49.3</v>
      </c>
      <c r="P21" t="n">
        <v>61.6</v>
      </c>
      <c r="Q21" t="n">
        <v>77.90000000000001</v>
      </c>
      <c r="R21" t="n">
        <v>90.5</v>
      </c>
      <c r="S21" t="n">
        <v>103.6</v>
      </c>
      <c r="T21" t="n">
        <v>117.1</v>
      </c>
      <c r="U21" t="n">
        <v>135.7</v>
      </c>
      <c r="V21" t="n">
        <v>150.4</v>
      </c>
      <c r="W21" t="n">
        <v>165.7</v>
      </c>
      <c r="X21" t="n">
        <v>186.8</v>
      </c>
      <c r="Y21" t="n">
        <v>203.5</v>
      </c>
    </row>
    <row r="22">
      <c r="M22" t="n">
        <v>60</v>
      </c>
      <c r="N22" t="n">
        <v>19.9</v>
      </c>
      <c r="O22" t="n">
        <v>30.8</v>
      </c>
      <c r="P22" t="n">
        <v>38.4</v>
      </c>
      <c r="Q22" t="n">
        <v>48.3</v>
      </c>
      <c r="R22" t="n">
        <v>56</v>
      </c>
      <c r="S22" t="n">
        <v>63.8</v>
      </c>
      <c r="T22" t="n">
        <v>71.90000000000001</v>
      </c>
      <c r="U22" t="n">
        <v>82.90000000000001</v>
      </c>
      <c r="V22" t="n">
        <v>91.5</v>
      </c>
      <c r="W22" t="n">
        <v>100.4</v>
      </c>
      <c r="X22" t="n">
        <v>112.5</v>
      </c>
      <c r="Y22" t="n">
        <v>122.1</v>
      </c>
    </row>
    <row r="23">
      <c r="M23" t="n">
        <v>120</v>
      </c>
      <c r="N23" t="n">
        <v>11.6</v>
      </c>
      <c r="O23" t="n">
        <v>18.3</v>
      </c>
      <c r="P23" t="n">
        <v>23.2</v>
      </c>
      <c r="Q23" t="n">
        <v>29.6</v>
      </c>
      <c r="R23" t="n">
        <v>34.7</v>
      </c>
      <c r="S23" t="n">
        <v>40</v>
      </c>
      <c r="T23" t="n">
        <v>45.6</v>
      </c>
      <c r="U23" t="n">
        <v>53.4</v>
      </c>
      <c r="V23" t="n">
        <v>59.7</v>
      </c>
      <c r="W23" t="n">
        <v>66.2</v>
      </c>
      <c r="X23" t="n">
        <v>75.40000000000001</v>
      </c>
      <c r="Y23" t="n">
        <v>82.8</v>
      </c>
    </row>
    <row r="24">
      <c r="M24" t="n">
        <v>180</v>
      </c>
      <c r="N24" t="n">
        <v>8.199999999999999</v>
      </c>
      <c r="O24" t="n">
        <v>13.4</v>
      </c>
      <c r="P24" t="n">
        <v>17.3</v>
      </c>
      <c r="Q24" t="n">
        <v>22.7</v>
      </c>
      <c r="R24" t="n">
        <v>27.2</v>
      </c>
      <c r="S24" t="n">
        <v>32.1</v>
      </c>
      <c r="T24" t="n">
        <v>37.4</v>
      </c>
      <c r="U24" t="n">
        <v>45.2</v>
      </c>
      <c r="V24" t="n">
        <v>51.7</v>
      </c>
      <c r="W24" t="n">
        <v>58.9</v>
      </c>
      <c r="X24" t="n">
        <v>69.3</v>
      </c>
      <c r="Y24" t="n">
        <v>78</v>
      </c>
    </row>
    <row r="25">
      <c r="M25" t="n">
        <v>360</v>
      </c>
      <c r="N25" t="n">
        <v>4.6</v>
      </c>
      <c r="O25" t="n">
        <v>7.8</v>
      </c>
      <c r="P25" t="n">
        <v>10.2</v>
      </c>
      <c r="Q25" t="n">
        <v>13.6</v>
      </c>
      <c r="R25" t="n">
        <v>16.5</v>
      </c>
      <c r="S25" t="n">
        <v>19.7</v>
      </c>
      <c r="T25" t="n">
        <v>23.3</v>
      </c>
      <c r="U25" t="n">
        <v>28.5</v>
      </c>
      <c r="V25" t="n">
        <v>33</v>
      </c>
      <c r="W25" t="n">
        <v>38</v>
      </c>
      <c r="X25" t="n">
        <v>45.4</v>
      </c>
      <c r="Y25" t="n">
        <v>51.7</v>
      </c>
    </row>
    <row r="26">
      <c r="M26" t="n">
        <v>720</v>
      </c>
      <c r="N26" t="n">
        <v>2.6</v>
      </c>
      <c r="O26" t="n">
        <v>4.4</v>
      </c>
      <c r="P26" t="n">
        <v>5.8</v>
      </c>
      <c r="Q26" t="n">
        <v>7.8</v>
      </c>
      <c r="R26" t="n">
        <v>9.5</v>
      </c>
      <c r="S26" t="n">
        <v>11.4</v>
      </c>
      <c r="T26" t="n">
        <v>13.5</v>
      </c>
      <c r="U26" t="n">
        <v>16.6</v>
      </c>
      <c r="V26" t="n">
        <v>19.2</v>
      </c>
      <c r="W26" t="n">
        <v>22.1</v>
      </c>
      <c r="X26" t="n">
        <v>26.5</v>
      </c>
      <c r="Y26" t="n">
        <v>30.2</v>
      </c>
    </row>
    <row r="27">
      <c r="M27" t="n">
        <v>1440</v>
      </c>
      <c r="N27" t="n">
        <v>1.5</v>
      </c>
      <c r="O27" t="n">
        <v>2.5</v>
      </c>
      <c r="P27" t="n">
        <v>3.3</v>
      </c>
      <c r="Q27" t="n">
        <v>4.5</v>
      </c>
      <c r="R27" t="n">
        <v>5.4</v>
      </c>
      <c r="S27" t="n">
        <v>6.5</v>
      </c>
      <c r="T27" t="n">
        <v>7.6</v>
      </c>
      <c r="U27" t="n">
        <v>9.300000000000001</v>
      </c>
      <c r="V27" t="n">
        <v>10.7</v>
      </c>
      <c r="W27" t="n">
        <v>12.3</v>
      </c>
      <c r="X27" t="n">
        <v>14.6</v>
      </c>
      <c r="Y27" t="n">
        <v>16.5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Y6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</cols>
  <sheetData>
    <row r="1">
      <c r="A1" s="1" t="inlineStr">
        <is>
          <t>Gauge 65  |  FL443121AF  |  UPPER KHAFIFAH NEAR KHAFIFAH</t>
        </is>
      </c>
    </row>
    <row r="3">
      <c r="A3" s="2" t="inlineStr">
        <is>
          <t>AMS BEFORE gap filling (observed only, mm)</t>
        </is>
      </c>
      <c r="M3" s="3" t="inlineStr">
        <is>
          <t>IDF - design rainfall DEPTH (mm)</t>
        </is>
      </c>
    </row>
    <row r="4">
      <c r="A4" s="4" t="inlineStr">
        <is>
          <t>Water year</t>
        </is>
      </c>
      <c r="B4" s="5" t="inlineStr">
        <is>
          <t>5min</t>
        </is>
      </c>
      <c r="C4" s="5" t="inlineStr">
        <is>
          <t>10min</t>
        </is>
      </c>
      <c r="D4" s="5" t="inlineStr">
        <is>
          <t>15min</t>
        </is>
      </c>
      <c r="E4" s="5" t="inlineStr">
        <is>
          <t>30min</t>
        </is>
      </c>
      <c r="F4" s="5" t="inlineStr">
        <is>
          <t>1h</t>
        </is>
      </c>
      <c r="G4" s="5" t="inlineStr">
        <is>
          <t>2h</t>
        </is>
      </c>
      <c r="H4" s="5" t="inlineStr">
        <is>
          <t>3h</t>
        </is>
      </c>
      <c r="I4" s="5" t="inlineStr">
        <is>
          <t>6h</t>
        </is>
      </c>
      <c r="J4" s="5" t="inlineStr">
        <is>
          <t>12h</t>
        </is>
      </c>
      <c r="K4" s="5" t="inlineStr">
        <is>
          <t>24h</t>
        </is>
      </c>
      <c r="M4" s="4" t="inlineStr">
        <is>
          <t>Duration \ RP</t>
        </is>
      </c>
      <c r="N4" s="4" t="n">
        <v>2</v>
      </c>
      <c r="O4" s="4" t="n">
        <v>5</v>
      </c>
      <c r="P4" s="4" t="n">
        <v>10</v>
      </c>
      <c r="Q4" s="4" t="n">
        <v>25</v>
      </c>
      <c r="R4" s="4" t="n">
        <v>50</v>
      </c>
      <c r="S4" s="4" t="n">
        <v>100</v>
      </c>
      <c r="T4" s="4" t="n">
        <v>200</v>
      </c>
      <c r="U4" s="4" t="n">
        <v>500</v>
      </c>
      <c r="V4" s="4" t="n">
        <v>1000</v>
      </c>
      <c r="W4" s="4" t="n">
        <v>2000</v>
      </c>
      <c r="X4" s="4" t="n">
        <v>5000</v>
      </c>
      <c r="Y4" s="4" t="n">
        <v>10000</v>
      </c>
    </row>
    <row r="5">
      <c r="A5" s="6" t="n">
        <v>1993</v>
      </c>
      <c r="B5" s="7" t="n">
        <v>6.8</v>
      </c>
      <c r="C5" s="7" t="n">
        <v>11.2</v>
      </c>
      <c r="D5" s="7" t="n">
        <v>12</v>
      </c>
      <c r="E5" s="7" t="n">
        <v>18.6</v>
      </c>
      <c r="F5" s="7" t="n">
        <v>19</v>
      </c>
      <c r="G5" s="7" t="n">
        <v>19.1</v>
      </c>
      <c r="H5" s="7" t="n">
        <v>19.1</v>
      </c>
      <c r="I5" s="7" t="n">
        <v>19.3</v>
      </c>
      <c r="J5" s="7" t="n">
        <v>19.7</v>
      </c>
      <c r="K5" s="7" t="n">
        <v>20.4</v>
      </c>
      <c r="M5" s="6" t="inlineStr">
        <is>
          <t>5min</t>
        </is>
      </c>
      <c r="N5" s="6" t="n">
        <v>5.4</v>
      </c>
      <c r="O5" s="6" t="n">
        <v>8.199999999999999</v>
      </c>
      <c r="P5" s="6" t="n">
        <v>10.3</v>
      </c>
      <c r="Q5" s="6" t="n">
        <v>13.2</v>
      </c>
      <c r="R5" s="6" t="n">
        <v>15.6</v>
      </c>
      <c r="S5" s="6" t="n">
        <v>18.1</v>
      </c>
      <c r="T5" s="6" t="n">
        <v>20.9</v>
      </c>
      <c r="U5" s="6" t="n">
        <v>24.9</v>
      </c>
      <c r="V5" s="6" t="n">
        <v>28.2</v>
      </c>
      <c r="W5" s="6" t="n">
        <v>31.8</v>
      </c>
      <c r="X5" s="6" t="n">
        <v>37</v>
      </c>
      <c r="Y5" s="6" t="n">
        <v>41.3</v>
      </c>
    </row>
    <row r="6">
      <c r="A6" s="6" t="n">
        <v>1994</v>
      </c>
      <c r="B6" s="7" t="n">
        <v>6.8</v>
      </c>
      <c r="C6" s="7" t="n">
        <v>12.2</v>
      </c>
      <c r="D6" s="7" t="n">
        <v>15.6</v>
      </c>
      <c r="E6" s="7" t="n">
        <v>20</v>
      </c>
      <c r="F6" s="7" t="n">
        <v>31.4</v>
      </c>
      <c r="G6" s="7" t="n">
        <v>33.8</v>
      </c>
      <c r="H6" s="7" t="n">
        <v>33.8</v>
      </c>
      <c r="I6" s="7" t="n">
        <v>33.9</v>
      </c>
      <c r="J6" s="7" t="n">
        <v>34</v>
      </c>
      <c r="K6" s="7" t="n">
        <v>51.8</v>
      </c>
      <c r="M6" s="6" t="inlineStr">
        <is>
          <t>10min</t>
        </is>
      </c>
      <c r="N6" s="6" t="n">
        <v>8.800000000000001</v>
      </c>
      <c r="O6" s="6" t="n">
        <v>13.6</v>
      </c>
      <c r="P6" s="6" t="n">
        <v>17</v>
      </c>
      <c r="Q6" s="6" t="n">
        <v>21.8</v>
      </c>
      <c r="R6" s="6" t="n">
        <v>25.7</v>
      </c>
      <c r="S6" s="6" t="n">
        <v>29.8</v>
      </c>
      <c r="T6" s="6" t="n">
        <v>34.3</v>
      </c>
      <c r="U6" s="6" t="n">
        <v>40.6</v>
      </c>
      <c r="V6" s="6" t="n">
        <v>45.8</v>
      </c>
      <c r="W6" s="6" t="n">
        <v>51.4</v>
      </c>
      <c r="X6" s="6" t="n">
        <v>59.5</v>
      </c>
      <c r="Y6" s="6" t="n">
        <v>66.09999999999999</v>
      </c>
    </row>
    <row r="7">
      <c r="A7" s="6" t="n">
        <v>1995</v>
      </c>
      <c r="B7" s="7" t="n">
        <v>7</v>
      </c>
      <c r="C7" s="7" t="n">
        <v>13</v>
      </c>
      <c r="D7" s="7" t="n">
        <v>17</v>
      </c>
      <c r="E7" s="7" t="n">
        <v>31.6</v>
      </c>
      <c r="F7" s="7" t="n">
        <v>44.4</v>
      </c>
      <c r="G7" s="7" t="n">
        <v>54.4</v>
      </c>
      <c r="H7" s="7" t="n">
        <v>58.8</v>
      </c>
      <c r="I7" s="7" t="n">
        <v>59.8</v>
      </c>
      <c r="J7" s="7" t="n">
        <v>60.4</v>
      </c>
      <c r="K7" s="7" t="n">
        <v>61.6</v>
      </c>
      <c r="M7" s="6" t="inlineStr">
        <is>
          <t>15min</t>
        </is>
      </c>
      <c r="N7" s="6" t="n">
        <v>11.2</v>
      </c>
      <c r="O7" s="6" t="n">
        <v>17.4</v>
      </c>
      <c r="P7" s="6" t="n">
        <v>21.9</v>
      </c>
      <c r="Q7" s="6" t="n">
        <v>28</v>
      </c>
      <c r="R7" s="6" t="n">
        <v>32.9</v>
      </c>
      <c r="S7" s="6" t="n">
        <v>38.1</v>
      </c>
      <c r="T7" s="6" t="n">
        <v>43.7</v>
      </c>
      <c r="U7" s="6" t="n">
        <v>51.6</v>
      </c>
      <c r="V7" s="6" t="n">
        <v>58.1</v>
      </c>
      <c r="W7" s="6" t="n">
        <v>65</v>
      </c>
      <c r="X7" s="6" t="n">
        <v>74.8</v>
      </c>
      <c r="Y7" s="6" t="n">
        <v>82.90000000000001</v>
      </c>
    </row>
    <row r="8">
      <c r="A8" s="6" t="n">
        <v>1996</v>
      </c>
      <c r="B8" s="7" t="n">
        <v>9.800000000000001</v>
      </c>
      <c r="C8" s="7" t="n">
        <v>17</v>
      </c>
      <c r="D8" s="7" t="n">
        <v>24.2</v>
      </c>
      <c r="E8" s="7" t="n">
        <v>36.6</v>
      </c>
      <c r="F8" s="7" t="n">
        <v>61.8</v>
      </c>
      <c r="G8" s="7" t="n">
        <v>79.59999999999999</v>
      </c>
      <c r="H8" s="7" t="n">
        <v>83.40000000000001</v>
      </c>
      <c r="I8" s="7" t="n">
        <v>92</v>
      </c>
      <c r="J8" s="7" t="n">
        <v>114.4</v>
      </c>
      <c r="K8" s="7" t="n">
        <v>129</v>
      </c>
      <c r="M8" s="6" t="inlineStr">
        <is>
          <t>30min</t>
        </is>
      </c>
      <c r="N8" s="6" t="n">
        <v>15.6</v>
      </c>
      <c r="O8" s="6" t="n">
        <v>24.3</v>
      </c>
      <c r="P8" s="6" t="n">
        <v>30.5</v>
      </c>
      <c r="Q8" s="6" t="n">
        <v>38.7</v>
      </c>
      <c r="R8" s="6" t="n">
        <v>45.2</v>
      </c>
      <c r="S8" s="6" t="n">
        <v>52</v>
      </c>
      <c r="T8" s="6" t="n">
        <v>59</v>
      </c>
      <c r="U8" s="6" t="n">
        <v>68.90000000000001</v>
      </c>
      <c r="V8" s="6" t="n">
        <v>76.7</v>
      </c>
      <c r="W8" s="6" t="n">
        <v>85</v>
      </c>
      <c r="X8" s="6" t="n">
        <v>96.5</v>
      </c>
      <c r="Y8" s="6" t="n">
        <v>105.7</v>
      </c>
    </row>
    <row r="9">
      <c r="A9" s="6" t="n">
        <v>1997</v>
      </c>
      <c r="B9" s="7" t="n">
        <v>6.4</v>
      </c>
      <c r="C9" s="7" t="n">
        <v>7.8</v>
      </c>
      <c r="D9" s="7" t="n">
        <v>11.2</v>
      </c>
      <c r="E9" s="7" t="n">
        <v>18.6</v>
      </c>
      <c r="F9" s="7" t="n">
        <v>30.4</v>
      </c>
      <c r="G9" s="7" t="n">
        <v>33.6</v>
      </c>
      <c r="H9" s="7" t="n">
        <v>35.2</v>
      </c>
      <c r="I9" s="7" t="n">
        <v>41.2</v>
      </c>
      <c r="J9" s="7" t="n">
        <v>43</v>
      </c>
      <c r="K9" s="7" t="n">
        <v>54.3</v>
      </c>
      <c r="M9" s="6" t="inlineStr">
        <is>
          <t>1h</t>
        </is>
      </c>
      <c r="N9" s="6" t="n">
        <v>19.5</v>
      </c>
      <c r="O9" s="6" t="n">
        <v>30.4</v>
      </c>
      <c r="P9" s="6" t="n">
        <v>38.1</v>
      </c>
      <c r="Q9" s="6" t="n">
        <v>48.2</v>
      </c>
      <c r="R9" s="6" t="n">
        <v>56.1</v>
      </c>
      <c r="S9" s="6" t="n">
        <v>64.3</v>
      </c>
      <c r="T9" s="6" t="n">
        <v>72.90000000000001</v>
      </c>
      <c r="U9" s="6" t="n">
        <v>84.7</v>
      </c>
      <c r="V9" s="6" t="n">
        <v>94.09999999999999</v>
      </c>
      <c r="W9" s="6" t="n">
        <v>103.9</v>
      </c>
      <c r="X9" s="6" t="n">
        <v>117.4</v>
      </c>
      <c r="Y9" s="6" t="n">
        <v>128.2</v>
      </c>
    </row>
    <row r="10">
      <c r="A10" s="6" t="n">
        <v>1998</v>
      </c>
      <c r="B10" s="7" t="n">
        <v>7.4</v>
      </c>
      <c r="C10" s="7" t="n">
        <v>12.4</v>
      </c>
      <c r="D10" s="7" t="n">
        <v>18.2</v>
      </c>
      <c r="E10" s="7" t="n">
        <v>25</v>
      </c>
      <c r="F10" s="7" t="n">
        <v>25.8</v>
      </c>
      <c r="G10" s="7" t="n">
        <v>25.8</v>
      </c>
      <c r="H10" s="7" t="n">
        <v>25.9</v>
      </c>
      <c r="I10" s="7" t="n">
        <v>34.2</v>
      </c>
      <c r="J10" s="7" t="n">
        <v>37.8</v>
      </c>
      <c r="K10" s="7" t="n">
        <v>56.8</v>
      </c>
      <c r="M10" s="6" t="inlineStr">
        <is>
          <t>2h</t>
        </is>
      </c>
      <c r="N10" s="6" t="n">
        <v>22.7</v>
      </c>
      <c r="O10" s="6" t="n">
        <v>36.4</v>
      </c>
      <c r="P10" s="6" t="n">
        <v>46.2</v>
      </c>
      <c r="Q10" s="6" t="n">
        <v>59.7</v>
      </c>
      <c r="R10" s="6" t="n">
        <v>70.40000000000001</v>
      </c>
      <c r="S10" s="6" t="n">
        <v>81.8</v>
      </c>
      <c r="T10" s="6" t="n">
        <v>93.90000000000001</v>
      </c>
      <c r="U10" s="6" t="n">
        <v>111</v>
      </c>
      <c r="V10" s="6" t="n">
        <v>125</v>
      </c>
      <c r="W10" s="6" t="n">
        <v>139.9</v>
      </c>
      <c r="X10" s="6" t="n">
        <v>161</v>
      </c>
      <c r="Y10" s="6" t="n">
        <v>178.2</v>
      </c>
    </row>
    <row r="11">
      <c r="A11" s="6" t="n">
        <v>1999</v>
      </c>
      <c r="B11" s="7" t="n">
        <v>7.4</v>
      </c>
      <c r="C11" s="7" t="n">
        <v>12</v>
      </c>
      <c r="D11" s="7" t="n">
        <v>16</v>
      </c>
      <c r="E11" s="7" t="n">
        <v>26.6</v>
      </c>
      <c r="F11" s="7" t="n">
        <v>39.8</v>
      </c>
      <c r="G11" s="7" t="n">
        <v>43.8</v>
      </c>
      <c r="H11" s="7" t="n">
        <v>43.8</v>
      </c>
      <c r="I11" s="7" t="n">
        <v>44</v>
      </c>
      <c r="J11" s="7" t="n">
        <v>44.2</v>
      </c>
      <c r="K11" s="7" t="n">
        <v>44.6</v>
      </c>
      <c r="M11" s="6" t="inlineStr">
        <is>
          <t>3h</t>
        </is>
      </c>
      <c r="N11" s="6" t="n">
        <v>24.2</v>
      </c>
      <c r="O11" s="6" t="n">
        <v>39.8</v>
      </c>
      <c r="P11" s="6" t="n">
        <v>51.6</v>
      </c>
      <c r="Q11" s="6" t="n">
        <v>68.5</v>
      </c>
      <c r="R11" s="6" t="n">
        <v>82.59999999999999</v>
      </c>
      <c r="S11" s="6" t="n">
        <v>98.09999999999999</v>
      </c>
      <c r="T11" s="6" t="n">
        <v>115.2</v>
      </c>
      <c r="U11" s="6" t="n">
        <v>140.5</v>
      </c>
      <c r="V11" s="6" t="n">
        <v>162</v>
      </c>
      <c r="W11" s="6" t="n">
        <v>185.7</v>
      </c>
      <c r="X11" s="6" t="n">
        <v>220.9</v>
      </c>
      <c r="Y11" s="6" t="n">
        <v>250.8</v>
      </c>
    </row>
    <row r="12">
      <c r="A12" s="6" t="n">
        <v>2000</v>
      </c>
      <c r="B12" s="7" t="n">
        <v>3.4</v>
      </c>
      <c r="C12" s="7" t="n">
        <v>6</v>
      </c>
      <c r="D12" s="7" t="n">
        <v>7.2</v>
      </c>
      <c r="E12" s="7" t="n">
        <v>12.2</v>
      </c>
      <c r="F12" s="7" t="n">
        <v>16.6</v>
      </c>
      <c r="G12" s="7" t="n">
        <v>17.2</v>
      </c>
      <c r="H12" s="7" t="n">
        <v>17.2</v>
      </c>
      <c r="I12" s="7" t="n">
        <v>17.2</v>
      </c>
      <c r="J12" s="7" t="n">
        <v>17.3</v>
      </c>
      <c r="K12" s="7" t="n">
        <v>19.8</v>
      </c>
      <c r="M12" s="6" t="inlineStr">
        <is>
          <t>6h</t>
        </is>
      </c>
      <c r="N12" s="6" t="n">
        <v>27.1</v>
      </c>
      <c r="O12" s="6" t="n">
        <v>46.2</v>
      </c>
      <c r="P12" s="6" t="n">
        <v>60.9</v>
      </c>
      <c r="Q12" s="6" t="n">
        <v>82.3</v>
      </c>
      <c r="R12" s="6" t="n">
        <v>100.6</v>
      </c>
      <c r="S12" s="6" t="n">
        <v>120.9</v>
      </c>
      <c r="T12" s="6" t="n">
        <v>143.6</v>
      </c>
      <c r="U12" s="6" t="n">
        <v>177.9</v>
      </c>
      <c r="V12" s="6" t="n">
        <v>207.5</v>
      </c>
      <c r="W12" s="6" t="n">
        <v>240.7</v>
      </c>
      <c r="X12" s="6" t="n">
        <v>290.9</v>
      </c>
      <c r="Y12" s="6" t="n">
        <v>334.2</v>
      </c>
    </row>
    <row r="13">
      <c r="A13" s="6" t="n">
        <v>2001</v>
      </c>
      <c r="B13" s="7" t="n">
        <v>6.6</v>
      </c>
      <c r="C13" s="7" t="n">
        <v>11.8</v>
      </c>
      <c r="D13" s="7" t="n">
        <v>15.2</v>
      </c>
      <c r="E13" s="7" t="n">
        <v>25.6</v>
      </c>
      <c r="F13" s="7" t="n">
        <v>31.6</v>
      </c>
      <c r="G13" s="7" t="n">
        <v>31.8</v>
      </c>
      <c r="H13" s="7" t="n">
        <v>31.8</v>
      </c>
      <c r="I13" s="7" t="n">
        <v>31.8</v>
      </c>
      <c r="J13" s="7" t="n">
        <v>31.9</v>
      </c>
      <c r="K13" s="7" t="n">
        <v>32</v>
      </c>
      <c r="M13" s="6" t="inlineStr">
        <is>
          <t>12h</t>
        </is>
      </c>
      <c r="N13" s="6" t="n">
        <v>30.3</v>
      </c>
      <c r="O13" s="6" t="n">
        <v>52.8</v>
      </c>
      <c r="P13" s="6" t="n">
        <v>70.3</v>
      </c>
      <c r="Q13" s="6" t="n">
        <v>96</v>
      </c>
      <c r="R13" s="6" t="n">
        <v>118</v>
      </c>
      <c r="S13" s="6" t="n">
        <v>142.6</v>
      </c>
      <c r="T13" s="6" t="n">
        <v>170.4</v>
      </c>
      <c r="U13" s="6" t="n">
        <v>212.4</v>
      </c>
      <c r="V13" s="6" t="n">
        <v>249</v>
      </c>
      <c r="W13" s="6" t="n">
        <v>290.3</v>
      </c>
      <c r="X13" s="6" t="n">
        <v>353</v>
      </c>
      <c r="Y13" s="6" t="n">
        <v>407.6</v>
      </c>
    </row>
    <row r="14">
      <c r="A14" s="6" t="n">
        <v>2002</v>
      </c>
      <c r="B14" s="7" t="n">
        <v>4.8</v>
      </c>
      <c r="C14" s="7" t="n">
        <v>7</v>
      </c>
      <c r="D14" s="7" t="n">
        <v>9.4</v>
      </c>
      <c r="E14" s="7" t="n">
        <v>13.8</v>
      </c>
      <c r="F14" s="7" t="n">
        <v>20.8</v>
      </c>
      <c r="G14" s="7" t="n">
        <v>22.1</v>
      </c>
      <c r="H14" s="7" t="n">
        <v>24.6</v>
      </c>
      <c r="I14" s="7" t="n">
        <v>24.6</v>
      </c>
      <c r="J14" s="7" t="n">
        <v>24.7</v>
      </c>
      <c r="K14" s="7" t="n">
        <v>27.2</v>
      </c>
      <c r="M14" s="6" t="inlineStr">
        <is>
          <t>24h</t>
        </is>
      </c>
      <c r="N14" s="6" t="n">
        <v>34.8</v>
      </c>
      <c r="O14" s="6" t="n">
        <v>61</v>
      </c>
      <c r="P14" s="6" t="n">
        <v>81.2</v>
      </c>
      <c r="Q14" s="6" t="n">
        <v>110.3</v>
      </c>
      <c r="R14" s="6" t="n">
        <v>135</v>
      </c>
      <c r="S14" s="6" t="n">
        <v>162.4</v>
      </c>
      <c r="T14" s="6" t="n">
        <v>192.8</v>
      </c>
      <c r="U14" s="6" t="n">
        <v>238.5</v>
      </c>
      <c r="V14" s="6" t="n">
        <v>277.8</v>
      </c>
      <c r="W14" s="6" t="n">
        <v>321.6</v>
      </c>
      <c r="X14" s="6" t="n">
        <v>387.4</v>
      </c>
      <c r="Y14" s="6" t="n">
        <v>444</v>
      </c>
    </row>
    <row r="15">
      <c r="A15" s="6" t="n">
        <v>2003</v>
      </c>
      <c r="B15" s="7" t="n">
        <v>6.6</v>
      </c>
      <c r="C15" s="7" t="n">
        <v>10.2</v>
      </c>
      <c r="D15" s="7" t="n">
        <v>14.6</v>
      </c>
      <c r="E15" s="7" t="n">
        <v>23.8</v>
      </c>
      <c r="F15" s="7" t="n">
        <v>28.9</v>
      </c>
      <c r="G15" s="7" t="n">
        <v>29</v>
      </c>
      <c r="H15" s="7" t="n">
        <v>29</v>
      </c>
      <c r="I15" s="7" t="n">
        <v>30.7</v>
      </c>
      <c r="J15" s="7" t="n">
        <v>35.6</v>
      </c>
      <c r="K15" s="7" t="n">
        <v>38.1</v>
      </c>
    </row>
    <row r="16">
      <c r="A16" s="6" t="n">
        <v>2004</v>
      </c>
      <c r="B16" s="7" t="n">
        <v>3.8</v>
      </c>
      <c r="C16" s="7" t="n">
        <v>6.8</v>
      </c>
      <c r="D16" s="7" t="n">
        <v>10.4</v>
      </c>
      <c r="E16" s="7" t="n">
        <v>16.2</v>
      </c>
      <c r="F16" s="7" t="n">
        <v>16.8</v>
      </c>
      <c r="G16" s="7" t="n">
        <v>17</v>
      </c>
      <c r="H16" s="7" t="n">
        <v>17</v>
      </c>
      <c r="I16" s="7" t="n">
        <v>17</v>
      </c>
      <c r="J16" s="7" t="n">
        <v>17.1</v>
      </c>
      <c r="K16" s="7" t="n">
        <v>17.2</v>
      </c>
      <c r="M16" s="3" t="inlineStr">
        <is>
          <t>IDF - intensity (mm/hr) [x=duration(min)]</t>
        </is>
      </c>
    </row>
    <row r="17">
      <c r="A17" s="6" t="n">
        <v>2005</v>
      </c>
      <c r="B17" s="7" t="n">
        <v>3</v>
      </c>
      <c r="C17" s="7" t="n">
        <v>4.8</v>
      </c>
      <c r="D17" s="7" t="n">
        <v>6.2</v>
      </c>
      <c r="E17" s="7" t="n">
        <v>6.4</v>
      </c>
      <c r="F17" s="7" t="n">
        <v>6.5</v>
      </c>
      <c r="G17" s="7" t="n">
        <v>7.8</v>
      </c>
      <c r="H17" s="7" t="n">
        <v>8.800000000000001</v>
      </c>
      <c r="I17" s="7" t="n">
        <v>8.9</v>
      </c>
      <c r="J17" s="7" t="n">
        <v>11.5</v>
      </c>
      <c r="K17" s="7" t="n">
        <v>11.7</v>
      </c>
      <c r="M17" t="inlineStr">
        <is>
          <t>Duration(min)</t>
        </is>
      </c>
      <c r="N17" t="inlineStr">
        <is>
          <t>2 yr</t>
        </is>
      </c>
      <c r="O17" t="inlineStr">
        <is>
          <t>5 yr</t>
        </is>
      </c>
      <c r="P17" t="inlineStr">
        <is>
          <t>10 yr</t>
        </is>
      </c>
      <c r="Q17" t="inlineStr">
        <is>
          <t>25 yr</t>
        </is>
      </c>
      <c r="R17" t="inlineStr">
        <is>
          <t>50 yr</t>
        </is>
      </c>
      <c r="S17" t="inlineStr">
        <is>
          <t>100 yr</t>
        </is>
      </c>
      <c r="T17" t="inlineStr">
        <is>
          <t>200 yr</t>
        </is>
      </c>
      <c r="U17" t="inlineStr">
        <is>
          <t>500 yr</t>
        </is>
      </c>
      <c r="V17" t="inlineStr">
        <is>
          <t>1000 yr</t>
        </is>
      </c>
      <c r="W17" t="inlineStr">
        <is>
          <t>2000 yr</t>
        </is>
      </c>
      <c r="X17" t="inlineStr">
        <is>
          <t>5000 yr</t>
        </is>
      </c>
      <c r="Y17" t="inlineStr">
        <is>
          <t>10000 yr</t>
        </is>
      </c>
    </row>
    <row r="18">
      <c r="A18" s="6" t="n">
        <v>2006</v>
      </c>
      <c r="B18" s="7" t="n">
        <v>7.4</v>
      </c>
      <c r="C18" s="7" t="n">
        <v>12</v>
      </c>
      <c r="D18" s="7" t="n">
        <v>15.4</v>
      </c>
      <c r="E18" s="7" t="n">
        <v>21.4</v>
      </c>
      <c r="F18" s="7" t="n">
        <v>29.6</v>
      </c>
      <c r="G18" s="7" t="n">
        <v>29.8</v>
      </c>
      <c r="H18" s="7" t="n">
        <v>29.8</v>
      </c>
      <c r="I18" s="7" t="n">
        <v>29.9</v>
      </c>
      <c r="J18" s="7" t="n">
        <v>30.2</v>
      </c>
      <c r="K18" s="7" t="n">
        <v>42.2</v>
      </c>
      <c r="M18" t="n">
        <v>5</v>
      </c>
      <c r="N18" t="n">
        <v>64.59999999999999</v>
      </c>
      <c r="O18" t="n">
        <v>98.59999999999999</v>
      </c>
      <c r="P18" t="n">
        <v>123.7</v>
      </c>
      <c r="Q18" t="n">
        <v>158.6</v>
      </c>
      <c r="R18" t="n">
        <v>187.1</v>
      </c>
      <c r="S18" t="n">
        <v>217.7</v>
      </c>
      <c r="T18" t="n">
        <v>250.8</v>
      </c>
      <c r="U18" t="n">
        <v>298.6</v>
      </c>
      <c r="V18" t="n">
        <v>338.3</v>
      </c>
      <c r="W18" t="n">
        <v>381.2</v>
      </c>
      <c r="X18" t="n">
        <v>443.4</v>
      </c>
      <c r="Y18" t="n">
        <v>495</v>
      </c>
    </row>
    <row r="19">
      <c r="A19" s="6" t="n">
        <v>2007</v>
      </c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>
        <v>2.4</v>
      </c>
      <c r="M19" t="n">
        <v>10</v>
      </c>
      <c r="N19" t="n">
        <v>52.8</v>
      </c>
      <c r="O19" t="n">
        <v>81.3</v>
      </c>
      <c r="P19" t="n">
        <v>102.2</v>
      </c>
      <c r="Q19" t="n">
        <v>130.9</v>
      </c>
      <c r="R19" t="n">
        <v>154.1</v>
      </c>
      <c r="S19" t="n">
        <v>178.9</v>
      </c>
      <c r="T19" t="n">
        <v>205.5</v>
      </c>
      <c r="U19" t="n">
        <v>243.6</v>
      </c>
      <c r="V19" t="n">
        <v>274.9</v>
      </c>
      <c r="W19" t="n">
        <v>308.6</v>
      </c>
      <c r="X19" t="n">
        <v>356.9</v>
      </c>
      <c r="Y19" t="n">
        <v>396.6</v>
      </c>
    </row>
    <row r="20">
      <c r="A20" s="6" t="n">
        <v>2008</v>
      </c>
      <c r="B20" s="7" t="n">
        <v>4.2</v>
      </c>
      <c r="C20" s="7" t="n">
        <v>7.4</v>
      </c>
      <c r="D20" s="7" t="n">
        <v>9.800000000000001</v>
      </c>
      <c r="E20" s="7" t="n">
        <v>14.2</v>
      </c>
      <c r="F20" s="7" t="n">
        <v>14.2</v>
      </c>
      <c r="G20" s="7" t="n">
        <v>14.3</v>
      </c>
      <c r="H20" s="7" t="n">
        <v>14.4</v>
      </c>
      <c r="I20" s="7" t="n">
        <v>14.5</v>
      </c>
      <c r="J20" s="7" t="n">
        <v>14.6</v>
      </c>
      <c r="K20" s="7" t="n">
        <v>19.4</v>
      </c>
      <c r="M20" t="n">
        <v>15</v>
      </c>
      <c r="N20" t="n">
        <v>44.9</v>
      </c>
      <c r="O20" t="n">
        <v>69.59999999999999</v>
      </c>
      <c r="P20" t="n">
        <v>87.40000000000001</v>
      </c>
      <c r="Q20" t="n">
        <v>111.9</v>
      </c>
      <c r="R20" t="n">
        <v>131.6</v>
      </c>
      <c r="S20" t="n">
        <v>152.5</v>
      </c>
      <c r="T20" t="n">
        <v>174.7</v>
      </c>
      <c r="U20" t="n">
        <v>206.4</v>
      </c>
      <c r="V20" t="n">
        <v>232.3</v>
      </c>
      <c r="W20" t="n">
        <v>259.9</v>
      </c>
      <c r="X20" t="n">
        <v>299.4</v>
      </c>
      <c r="Y20" t="n">
        <v>331.6</v>
      </c>
    </row>
    <row r="21">
      <c r="A21" s="6" t="n">
        <v>2009</v>
      </c>
      <c r="B21" s="7" t="n">
        <v>4.2</v>
      </c>
      <c r="C21" s="7" t="n">
        <v>7.8</v>
      </c>
      <c r="D21" s="7" t="n">
        <v>9.800000000000001</v>
      </c>
      <c r="E21" s="7" t="n">
        <v>16.6</v>
      </c>
      <c r="F21" s="7" t="n">
        <v>17.8</v>
      </c>
      <c r="G21" s="7" t="n">
        <v>17.8</v>
      </c>
      <c r="H21" s="7" t="n">
        <v>17.8</v>
      </c>
      <c r="I21" s="7" t="n">
        <v>17.8</v>
      </c>
      <c r="J21" s="7" t="n">
        <v>18.1</v>
      </c>
      <c r="K21" s="7" t="n">
        <v>20.7</v>
      </c>
      <c r="M21" t="n">
        <v>30</v>
      </c>
      <c r="N21" t="n">
        <v>31.2</v>
      </c>
      <c r="O21" t="n">
        <v>48.7</v>
      </c>
      <c r="P21" t="n">
        <v>61</v>
      </c>
      <c r="Q21" t="n">
        <v>77.5</v>
      </c>
      <c r="R21" t="n">
        <v>90.5</v>
      </c>
      <c r="S21" t="n">
        <v>104</v>
      </c>
      <c r="T21" t="n">
        <v>118.1</v>
      </c>
      <c r="U21" t="n">
        <v>137.8</v>
      </c>
      <c r="V21" t="n">
        <v>153.5</v>
      </c>
      <c r="W21" t="n">
        <v>170</v>
      </c>
      <c r="X21" t="n">
        <v>193</v>
      </c>
      <c r="Y21" t="n">
        <v>211.4</v>
      </c>
    </row>
    <row r="22">
      <c r="A22" s="6" t="n">
        <v>2010</v>
      </c>
      <c r="B22" s="7" t="n">
        <v>11.2</v>
      </c>
      <c r="C22" s="7" t="n">
        <v>16.6</v>
      </c>
      <c r="D22" s="7" t="n">
        <v>21.8</v>
      </c>
      <c r="E22" s="7" t="n">
        <v>26.5</v>
      </c>
      <c r="F22" s="7" t="n">
        <v>31.4</v>
      </c>
      <c r="G22" s="7" t="n">
        <v>43.8</v>
      </c>
      <c r="H22" s="7" t="n">
        <v>52.6</v>
      </c>
      <c r="I22" s="7" t="n">
        <v>68.5</v>
      </c>
      <c r="J22" s="7" t="n">
        <v>71.8</v>
      </c>
      <c r="K22" s="7" t="n">
        <v>101.1</v>
      </c>
      <c r="M22" t="n">
        <v>60</v>
      </c>
      <c r="N22" t="n">
        <v>19.5</v>
      </c>
      <c r="O22" t="n">
        <v>30.4</v>
      </c>
      <c r="P22" t="n">
        <v>38.1</v>
      </c>
      <c r="Q22" t="n">
        <v>48.2</v>
      </c>
      <c r="R22" t="n">
        <v>56.1</v>
      </c>
      <c r="S22" t="n">
        <v>64.3</v>
      </c>
      <c r="T22" t="n">
        <v>72.90000000000001</v>
      </c>
      <c r="U22" t="n">
        <v>84.7</v>
      </c>
      <c r="V22" t="n">
        <v>94.09999999999999</v>
      </c>
      <c r="W22" t="n">
        <v>103.9</v>
      </c>
      <c r="X22" t="n">
        <v>117.4</v>
      </c>
      <c r="Y22" t="n">
        <v>128.2</v>
      </c>
    </row>
    <row r="23">
      <c r="A23" s="6" t="n">
        <v>2011</v>
      </c>
      <c r="B23" s="7" t="n">
        <v>7</v>
      </c>
      <c r="C23" s="7" t="n">
        <v>11.8</v>
      </c>
      <c r="D23" s="7" t="n">
        <v>13.2</v>
      </c>
      <c r="E23" s="7" t="n">
        <v>16.2</v>
      </c>
      <c r="F23" s="7" t="n">
        <v>19.8</v>
      </c>
      <c r="G23" s="7" t="n">
        <v>20.4</v>
      </c>
      <c r="H23" s="7" t="n">
        <v>20.4</v>
      </c>
      <c r="I23" s="7" t="n">
        <v>20.5</v>
      </c>
      <c r="J23" s="7" t="n">
        <v>20.6</v>
      </c>
      <c r="K23" s="7" t="n">
        <v>20.8</v>
      </c>
      <c r="M23" t="n">
        <v>120</v>
      </c>
      <c r="N23" t="n">
        <v>11.4</v>
      </c>
      <c r="O23" t="n">
        <v>18.2</v>
      </c>
      <c r="P23" t="n">
        <v>23.1</v>
      </c>
      <c r="Q23" t="n">
        <v>29.8</v>
      </c>
      <c r="R23" t="n">
        <v>35.2</v>
      </c>
      <c r="S23" t="n">
        <v>40.9</v>
      </c>
      <c r="T23" t="n">
        <v>46.9</v>
      </c>
      <c r="U23" t="n">
        <v>55.5</v>
      </c>
      <c r="V23" t="n">
        <v>62.5</v>
      </c>
      <c r="W23" t="n">
        <v>69.90000000000001</v>
      </c>
      <c r="X23" t="n">
        <v>80.5</v>
      </c>
      <c r="Y23" t="n">
        <v>89.09999999999999</v>
      </c>
    </row>
    <row r="24">
      <c r="A24" s="6" t="n">
        <v>2012</v>
      </c>
      <c r="B24" s="7" t="n">
        <v>8.199999999999999</v>
      </c>
      <c r="C24" s="7" t="n">
        <v>15.2</v>
      </c>
      <c r="D24" s="7" t="n">
        <v>19</v>
      </c>
      <c r="E24" s="7" t="n">
        <v>24.2</v>
      </c>
      <c r="F24" s="7" t="n">
        <v>33.6</v>
      </c>
      <c r="G24" s="7" t="n">
        <v>35.5</v>
      </c>
      <c r="H24" s="7" t="n">
        <v>37.6</v>
      </c>
      <c r="I24" s="7" t="n">
        <v>45</v>
      </c>
      <c r="J24" s="7" t="n">
        <v>49.6</v>
      </c>
      <c r="K24" s="7" t="n">
        <v>49.7</v>
      </c>
      <c r="M24" t="n">
        <v>180</v>
      </c>
      <c r="N24" t="n">
        <v>8.1</v>
      </c>
      <c r="O24" t="n">
        <v>13.3</v>
      </c>
      <c r="P24" t="n">
        <v>17.2</v>
      </c>
      <c r="Q24" t="n">
        <v>22.8</v>
      </c>
      <c r="R24" t="n">
        <v>27.5</v>
      </c>
      <c r="S24" t="n">
        <v>32.7</v>
      </c>
      <c r="T24" t="n">
        <v>38.4</v>
      </c>
      <c r="U24" t="n">
        <v>46.8</v>
      </c>
      <c r="V24" t="n">
        <v>54</v>
      </c>
      <c r="W24" t="n">
        <v>61.9</v>
      </c>
      <c r="X24" t="n">
        <v>73.59999999999999</v>
      </c>
      <c r="Y24" t="n">
        <v>83.59999999999999</v>
      </c>
    </row>
    <row r="25">
      <c r="A25" s="6" t="n">
        <v>2013</v>
      </c>
      <c r="B25" s="7" t="n">
        <v>10</v>
      </c>
      <c r="C25" s="7" t="n">
        <v>13.8</v>
      </c>
      <c r="D25" s="7" t="n">
        <v>15</v>
      </c>
      <c r="E25" s="7" t="n">
        <v>16.4</v>
      </c>
      <c r="F25" s="7" t="n">
        <v>22.4</v>
      </c>
      <c r="G25" s="7" t="n">
        <v>29.6</v>
      </c>
      <c r="H25" s="7" t="n">
        <v>32</v>
      </c>
      <c r="I25" s="7" t="n">
        <v>33.8</v>
      </c>
      <c r="J25" s="7" t="n">
        <v>33.9</v>
      </c>
      <c r="K25" s="7" t="n">
        <v>34</v>
      </c>
      <c r="M25" t="n">
        <v>360</v>
      </c>
      <c r="N25" t="n">
        <v>4.5</v>
      </c>
      <c r="O25" t="n">
        <v>7.7</v>
      </c>
      <c r="P25" t="n">
        <v>10.1</v>
      </c>
      <c r="Q25" t="n">
        <v>13.7</v>
      </c>
      <c r="R25" t="n">
        <v>16.8</v>
      </c>
      <c r="S25" t="n">
        <v>20.1</v>
      </c>
      <c r="T25" t="n">
        <v>23.9</v>
      </c>
      <c r="U25" t="n">
        <v>29.6</v>
      </c>
      <c r="V25" t="n">
        <v>34.6</v>
      </c>
      <c r="W25" t="n">
        <v>40.1</v>
      </c>
      <c r="X25" t="n">
        <v>48.5</v>
      </c>
      <c r="Y25" t="n">
        <v>55.7</v>
      </c>
    </row>
    <row r="26">
      <c r="A26" s="6" t="n">
        <v>2014</v>
      </c>
      <c r="B26" s="7" t="n">
        <v>9</v>
      </c>
      <c r="C26" s="7" t="n">
        <v>16.4</v>
      </c>
      <c r="D26" s="7" t="n">
        <v>18.6</v>
      </c>
      <c r="E26" s="7" t="n">
        <v>27.6</v>
      </c>
      <c r="F26" s="7" t="n">
        <v>41.4</v>
      </c>
      <c r="G26" s="7" t="n">
        <v>56.2</v>
      </c>
      <c r="H26" s="7" t="n">
        <v>56.2</v>
      </c>
      <c r="I26" s="7" t="n">
        <v>66.40000000000001</v>
      </c>
      <c r="J26" s="7" t="n">
        <v>91</v>
      </c>
      <c r="K26" s="7" t="n">
        <v>93.5</v>
      </c>
      <c r="M26" t="n">
        <v>720</v>
      </c>
      <c r="N26" t="n">
        <v>2.5</v>
      </c>
      <c r="O26" t="n">
        <v>4.4</v>
      </c>
      <c r="P26" t="n">
        <v>5.9</v>
      </c>
      <c r="Q26" t="n">
        <v>8</v>
      </c>
      <c r="R26" t="n">
        <v>9.800000000000001</v>
      </c>
      <c r="S26" t="n">
        <v>11.9</v>
      </c>
      <c r="T26" t="n">
        <v>14.2</v>
      </c>
      <c r="U26" t="n">
        <v>17.7</v>
      </c>
      <c r="V26" t="n">
        <v>20.8</v>
      </c>
      <c r="W26" t="n">
        <v>24.2</v>
      </c>
      <c r="X26" t="n">
        <v>29.4</v>
      </c>
      <c r="Y26" t="n">
        <v>34</v>
      </c>
    </row>
    <row r="27">
      <c r="A27" s="6" t="n">
        <v>2015</v>
      </c>
      <c r="B27" s="7" t="n">
        <v>6.6</v>
      </c>
      <c r="C27" s="7" t="n">
        <v>10.8</v>
      </c>
      <c r="D27" s="7" t="n">
        <v>14.2</v>
      </c>
      <c r="E27" s="7" t="n">
        <v>18.6</v>
      </c>
      <c r="F27" s="7" t="n">
        <v>21.4</v>
      </c>
      <c r="G27" s="7" t="n">
        <v>23.4</v>
      </c>
      <c r="H27" s="7" t="n">
        <v>23.4</v>
      </c>
      <c r="I27" s="7" t="n">
        <v>23.5</v>
      </c>
      <c r="J27" s="7" t="n">
        <v>23.5</v>
      </c>
      <c r="K27" s="7" t="n">
        <v>46.4</v>
      </c>
      <c r="M27" t="n">
        <v>1440</v>
      </c>
      <c r="N27" t="n">
        <v>1.4</v>
      </c>
      <c r="O27" t="n">
        <v>2.5</v>
      </c>
      <c r="P27" t="n">
        <v>3.4</v>
      </c>
      <c r="Q27" t="n">
        <v>4.6</v>
      </c>
      <c r="R27" t="n">
        <v>5.6</v>
      </c>
      <c r="S27" t="n">
        <v>6.8</v>
      </c>
      <c r="T27" t="n">
        <v>8</v>
      </c>
      <c r="U27" t="n">
        <v>9.9</v>
      </c>
      <c r="V27" t="n">
        <v>11.6</v>
      </c>
      <c r="W27" t="n">
        <v>13.4</v>
      </c>
      <c r="X27" t="n">
        <v>16.1</v>
      </c>
      <c r="Y27" t="n">
        <v>18.5</v>
      </c>
    </row>
    <row r="28">
      <c r="A28" s="6" t="n">
        <v>2017</v>
      </c>
      <c r="B28" s="7" t="n">
        <v>3</v>
      </c>
      <c r="C28" s="7" t="n">
        <v>4.8</v>
      </c>
      <c r="D28" s="7" t="n">
        <v>5.2</v>
      </c>
      <c r="E28" s="7" t="n">
        <v>6.4</v>
      </c>
      <c r="F28" s="7" t="n">
        <v>7</v>
      </c>
      <c r="G28" s="7" t="n">
        <v>7</v>
      </c>
      <c r="H28" s="7" t="n">
        <v>7</v>
      </c>
      <c r="I28" s="7" t="n">
        <v>7.1</v>
      </c>
      <c r="J28" s="7" t="n">
        <v>7.2</v>
      </c>
      <c r="K28" s="7" t="n">
        <v>7.4</v>
      </c>
    </row>
    <row r="29">
      <c r="A29" s="6" t="n">
        <v>2018</v>
      </c>
      <c r="B29" s="7" t="n">
        <v>5</v>
      </c>
      <c r="C29" s="7" t="n">
        <v>8</v>
      </c>
      <c r="D29" s="7" t="n">
        <v>12.4</v>
      </c>
      <c r="E29" s="7" t="n">
        <v>19.4</v>
      </c>
      <c r="F29" s="7" t="n">
        <v>21.7</v>
      </c>
      <c r="G29" s="7" t="n">
        <v>22</v>
      </c>
      <c r="H29" s="7" t="n">
        <v>22</v>
      </c>
      <c r="I29" s="7" t="n">
        <v>22</v>
      </c>
      <c r="J29" s="7" t="n">
        <v>22.1</v>
      </c>
      <c r="K29" s="7" t="n">
        <v>22.2</v>
      </c>
    </row>
    <row r="30">
      <c r="A30" s="6" t="n">
        <v>2019</v>
      </c>
      <c r="B30" s="7" t="n">
        <v>9.6</v>
      </c>
      <c r="C30" s="7" t="n">
        <v>16.6</v>
      </c>
      <c r="D30" s="7" t="n">
        <v>22.8</v>
      </c>
      <c r="E30" s="7" t="n">
        <v>33.8</v>
      </c>
      <c r="F30" s="7" t="n">
        <v>36</v>
      </c>
      <c r="G30" s="7" t="n">
        <v>36</v>
      </c>
      <c r="H30" s="7" t="n">
        <v>36</v>
      </c>
      <c r="I30" s="7" t="n">
        <v>36</v>
      </c>
      <c r="J30" s="7" t="n">
        <v>37.4</v>
      </c>
      <c r="K30" s="7" t="n">
        <v>47.7</v>
      </c>
    </row>
    <row r="31">
      <c r="A31" s="6" t="n">
        <v>2020</v>
      </c>
      <c r="B31" s="7" t="n">
        <v>9.4</v>
      </c>
      <c r="C31" s="7" t="n">
        <v>18</v>
      </c>
      <c r="D31" s="7" t="n">
        <v>23.8</v>
      </c>
      <c r="E31" s="7" t="n">
        <v>33.8</v>
      </c>
      <c r="F31" s="7" t="n">
        <v>39.8</v>
      </c>
      <c r="G31" s="7" t="n">
        <v>71</v>
      </c>
      <c r="H31" s="7" t="n">
        <v>94</v>
      </c>
      <c r="I31" s="7" t="n">
        <v>95.40000000000001</v>
      </c>
      <c r="J31" s="7" t="n">
        <v>95.5</v>
      </c>
      <c r="K31" s="7" t="n">
        <v>95.59999999999999</v>
      </c>
    </row>
    <row r="32">
      <c r="A32" s="6" t="n">
        <v>2021</v>
      </c>
      <c r="B32" s="7" t="n">
        <v>8.199999999999999</v>
      </c>
      <c r="C32" s="7" t="n">
        <v>14.6</v>
      </c>
      <c r="D32" s="7" t="n">
        <v>20</v>
      </c>
      <c r="E32" s="7" t="n">
        <v>27.4</v>
      </c>
      <c r="F32" s="7" t="n">
        <v>37.8</v>
      </c>
      <c r="G32" s="7" t="n">
        <v>43.9</v>
      </c>
      <c r="H32" s="7" t="n">
        <v>49.4</v>
      </c>
      <c r="I32" s="7" t="n">
        <v>49.6</v>
      </c>
      <c r="J32" s="7" t="n">
        <v>49.9</v>
      </c>
      <c r="K32" s="7" t="n">
        <v>55.2</v>
      </c>
    </row>
    <row r="33">
      <c r="A33" s="6" t="n">
        <v>2022</v>
      </c>
      <c r="B33" s="7" t="n">
        <v>9.4</v>
      </c>
      <c r="C33" s="7" t="n">
        <v>14.8</v>
      </c>
      <c r="D33" s="7" t="n">
        <v>19.2</v>
      </c>
      <c r="E33" s="7" t="n">
        <v>23.8</v>
      </c>
      <c r="F33" s="7" t="n">
        <v>30</v>
      </c>
      <c r="G33" s="7" t="n">
        <v>33.2</v>
      </c>
      <c r="H33" s="7" t="n">
        <v>33.2</v>
      </c>
      <c r="I33" s="7" t="n">
        <v>33.2</v>
      </c>
      <c r="J33" s="7" t="n">
        <v>33.3</v>
      </c>
      <c r="K33" s="7" t="n">
        <v>33.4</v>
      </c>
    </row>
    <row r="36">
      <c r="A36" s="2" t="inlineStr">
        <is>
          <t>AMS AFTER gap filling (mm)  -  yellow = added or changed by gap filling</t>
        </is>
      </c>
    </row>
    <row r="37">
      <c r="A37" s="4" t="inlineStr">
        <is>
          <t>Water year</t>
        </is>
      </c>
      <c r="B37" s="5" t="inlineStr">
        <is>
          <t>5min</t>
        </is>
      </c>
      <c r="C37" s="5" t="inlineStr">
        <is>
          <t>10min</t>
        </is>
      </c>
      <c r="D37" s="5" t="inlineStr">
        <is>
          <t>15min</t>
        </is>
      </c>
      <c r="E37" s="5" t="inlineStr">
        <is>
          <t>30min</t>
        </is>
      </c>
      <c r="F37" s="5" t="inlineStr">
        <is>
          <t>1h</t>
        </is>
      </c>
      <c r="G37" s="5" t="inlineStr">
        <is>
          <t>2h</t>
        </is>
      </c>
      <c r="H37" s="5" t="inlineStr">
        <is>
          <t>3h</t>
        </is>
      </c>
      <c r="I37" s="5" t="inlineStr">
        <is>
          <t>6h</t>
        </is>
      </c>
      <c r="J37" s="5" t="inlineStr">
        <is>
          <t>12h</t>
        </is>
      </c>
      <c r="K37" s="5" t="inlineStr">
        <is>
          <t>24h</t>
        </is>
      </c>
    </row>
    <row r="38">
      <c r="A38" s="6" t="n">
        <v>1993</v>
      </c>
      <c r="B38" s="7" t="n">
        <v>6.8</v>
      </c>
      <c r="C38" s="7" t="n">
        <v>11.2</v>
      </c>
      <c r="D38" s="7" t="n">
        <v>12</v>
      </c>
      <c r="E38" s="7" t="n">
        <v>18.6</v>
      </c>
      <c r="F38" s="7" t="n">
        <v>19</v>
      </c>
      <c r="G38" s="7" t="n">
        <v>19.1</v>
      </c>
      <c r="H38" s="7" t="n">
        <v>19.1</v>
      </c>
      <c r="I38" s="7" t="n">
        <v>19.3</v>
      </c>
      <c r="J38" s="7" t="n">
        <v>19.7</v>
      </c>
      <c r="K38" s="7" t="n">
        <v>20.4</v>
      </c>
    </row>
    <row r="39">
      <c r="A39" s="6" t="n">
        <v>1994</v>
      </c>
      <c r="B39" s="7" t="n">
        <v>6.8</v>
      </c>
      <c r="C39" s="7" t="n">
        <v>12.2</v>
      </c>
      <c r="D39" s="7" t="n">
        <v>15.6</v>
      </c>
      <c r="E39" s="7" t="n">
        <v>20</v>
      </c>
      <c r="F39" s="7" t="n">
        <v>31.4</v>
      </c>
      <c r="G39" s="7" t="n">
        <v>33.8</v>
      </c>
      <c r="H39" s="7" t="n">
        <v>33.8</v>
      </c>
      <c r="I39" s="7" t="n">
        <v>33.9</v>
      </c>
      <c r="J39" s="7" t="n">
        <v>34</v>
      </c>
      <c r="K39" s="7" t="n">
        <v>51.8</v>
      </c>
    </row>
    <row r="40">
      <c r="A40" s="6" t="n">
        <v>1995</v>
      </c>
      <c r="B40" s="7" t="n">
        <v>7</v>
      </c>
      <c r="C40" s="7" t="n">
        <v>13</v>
      </c>
      <c r="D40" s="7" t="n">
        <v>17</v>
      </c>
      <c r="E40" s="7" t="n">
        <v>31.6</v>
      </c>
      <c r="F40" s="7" t="n">
        <v>44.4</v>
      </c>
      <c r="G40" s="7" t="n">
        <v>54.4</v>
      </c>
      <c r="H40" s="7" t="n">
        <v>58.8</v>
      </c>
      <c r="I40" s="7" t="n">
        <v>59.8</v>
      </c>
      <c r="J40" s="7" t="n">
        <v>60.4</v>
      </c>
      <c r="K40" s="7" t="n">
        <v>61.6</v>
      </c>
    </row>
    <row r="41">
      <c r="A41" s="6" t="n">
        <v>1996</v>
      </c>
      <c r="B41" s="7" t="n">
        <v>9.800000000000001</v>
      </c>
      <c r="C41" s="7" t="n">
        <v>17</v>
      </c>
      <c r="D41" s="7" t="n">
        <v>24.2</v>
      </c>
      <c r="E41" s="7" t="n">
        <v>36.6</v>
      </c>
      <c r="F41" s="7" t="n">
        <v>61.8</v>
      </c>
      <c r="G41" s="7" t="n">
        <v>79.59999999999999</v>
      </c>
      <c r="H41" s="7" t="n">
        <v>83.40000000000001</v>
      </c>
      <c r="I41" s="7" t="n">
        <v>92</v>
      </c>
      <c r="J41" s="7" t="n">
        <v>114.4</v>
      </c>
      <c r="K41" s="7" t="n">
        <v>129</v>
      </c>
    </row>
    <row r="42">
      <c r="A42" s="6" t="n">
        <v>1997</v>
      </c>
      <c r="B42" s="7" t="n">
        <v>6.4</v>
      </c>
      <c r="C42" s="7" t="n">
        <v>7.8</v>
      </c>
      <c r="D42" s="7" t="n">
        <v>11.2</v>
      </c>
      <c r="E42" s="7" t="n">
        <v>18.6</v>
      </c>
      <c r="F42" s="7" t="n">
        <v>30.4</v>
      </c>
      <c r="G42" s="7" t="n">
        <v>33.6</v>
      </c>
      <c r="H42" s="7" t="n">
        <v>35.2</v>
      </c>
      <c r="I42" s="7" t="n">
        <v>41.2</v>
      </c>
      <c r="J42" s="7" t="n">
        <v>43</v>
      </c>
      <c r="K42" s="7" t="n">
        <v>54.3</v>
      </c>
    </row>
    <row r="43">
      <c r="A43" s="6" t="n">
        <v>1998</v>
      </c>
      <c r="B43" s="7" t="n">
        <v>7.4</v>
      </c>
      <c r="C43" s="7" t="n">
        <v>12.4</v>
      </c>
      <c r="D43" s="7" t="n">
        <v>18.2</v>
      </c>
      <c r="E43" s="7" t="n">
        <v>25</v>
      </c>
      <c r="F43" s="7" t="n">
        <v>25.8</v>
      </c>
      <c r="G43" s="7" t="n">
        <v>25.8</v>
      </c>
      <c r="H43" s="7" t="n">
        <v>25.9</v>
      </c>
      <c r="I43" s="7" t="n">
        <v>34.2</v>
      </c>
      <c r="J43" s="7" t="n">
        <v>37.8</v>
      </c>
      <c r="K43" s="7" t="n">
        <v>56.8</v>
      </c>
    </row>
    <row r="44">
      <c r="A44" s="6" t="n">
        <v>1999</v>
      </c>
      <c r="B44" s="7" t="n">
        <v>7.4</v>
      </c>
      <c r="C44" s="7" t="n">
        <v>12</v>
      </c>
      <c r="D44" s="7" t="n">
        <v>16</v>
      </c>
      <c r="E44" s="7" t="n">
        <v>26.6</v>
      </c>
      <c r="F44" s="7" t="n">
        <v>39.8</v>
      </c>
      <c r="G44" s="7" t="n">
        <v>43.8</v>
      </c>
      <c r="H44" s="7" t="n">
        <v>43.8</v>
      </c>
      <c r="I44" s="7" t="n">
        <v>44</v>
      </c>
      <c r="J44" s="7" t="n">
        <v>44.2</v>
      </c>
      <c r="K44" s="7" t="n">
        <v>44.6</v>
      </c>
    </row>
    <row r="45">
      <c r="A45" s="6" t="n">
        <v>2000</v>
      </c>
      <c r="B45" s="7" t="n">
        <v>3.4</v>
      </c>
      <c r="C45" s="7" t="n">
        <v>6</v>
      </c>
      <c r="D45" s="7" t="n">
        <v>7.2</v>
      </c>
      <c r="E45" s="7" t="n">
        <v>12.2</v>
      </c>
      <c r="F45" s="7" t="n">
        <v>16.6</v>
      </c>
      <c r="G45" s="8" t="n">
        <v>20.4</v>
      </c>
      <c r="H45" s="8" t="n">
        <v>23.6</v>
      </c>
      <c r="I45" s="8" t="n">
        <v>23.6</v>
      </c>
      <c r="J45" s="8" t="n">
        <v>23.7</v>
      </c>
      <c r="K45" s="8" t="n">
        <v>23.7</v>
      </c>
    </row>
    <row r="46">
      <c r="A46" s="6" t="n">
        <v>2001</v>
      </c>
      <c r="B46" s="7" t="n">
        <v>6.6</v>
      </c>
      <c r="C46" s="7" t="n">
        <v>11.8</v>
      </c>
      <c r="D46" s="7" t="n">
        <v>15.2</v>
      </c>
      <c r="E46" s="7" t="n">
        <v>25.6</v>
      </c>
      <c r="F46" s="7" t="n">
        <v>31.6</v>
      </c>
      <c r="G46" s="7" t="n">
        <v>31.8</v>
      </c>
      <c r="H46" s="7" t="n">
        <v>31.8</v>
      </c>
      <c r="I46" s="7" t="n">
        <v>31.8</v>
      </c>
      <c r="J46" s="7" t="n">
        <v>31.9</v>
      </c>
      <c r="K46" s="7" t="n">
        <v>32</v>
      </c>
    </row>
    <row r="47">
      <c r="A47" s="6" t="n">
        <v>2002</v>
      </c>
      <c r="B47" s="7" t="n">
        <v>4.8</v>
      </c>
      <c r="C47" s="7" t="n">
        <v>7</v>
      </c>
      <c r="D47" s="7" t="n">
        <v>9.4</v>
      </c>
      <c r="E47" s="7" t="n">
        <v>13.8</v>
      </c>
      <c r="F47" s="7" t="n">
        <v>20.8</v>
      </c>
      <c r="G47" s="7" t="n">
        <v>22.1</v>
      </c>
      <c r="H47" s="7" t="n">
        <v>24.6</v>
      </c>
      <c r="I47" s="7" t="n">
        <v>24.6</v>
      </c>
      <c r="J47" s="7" t="n">
        <v>24.7</v>
      </c>
      <c r="K47" s="7" t="n">
        <v>27.2</v>
      </c>
    </row>
    <row r="48">
      <c r="A48" s="6" t="n">
        <v>2003</v>
      </c>
      <c r="B48" s="7" t="n">
        <v>6.6</v>
      </c>
      <c r="C48" s="7" t="n">
        <v>10.2</v>
      </c>
      <c r="D48" s="7" t="n">
        <v>14.6</v>
      </c>
      <c r="E48" s="7" t="n">
        <v>23.8</v>
      </c>
      <c r="F48" s="7" t="n">
        <v>28.9</v>
      </c>
      <c r="G48" s="7" t="n">
        <v>29</v>
      </c>
      <c r="H48" s="7" t="n">
        <v>29</v>
      </c>
      <c r="I48" s="7" t="n">
        <v>30.7</v>
      </c>
      <c r="J48" s="7" t="n">
        <v>35.6</v>
      </c>
      <c r="K48" s="7" t="n">
        <v>38.1</v>
      </c>
    </row>
    <row r="49">
      <c r="A49" s="6" t="n">
        <v>2004</v>
      </c>
      <c r="B49" s="7" t="n">
        <v>3.8</v>
      </c>
      <c r="C49" s="7" t="n">
        <v>6.8</v>
      </c>
      <c r="D49" s="7" t="n">
        <v>10.4</v>
      </c>
      <c r="E49" s="7" t="n">
        <v>16.2</v>
      </c>
      <c r="F49" s="7" t="n">
        <v>16.8</v>
      </c>
      <c r="G49" s="7" t="n">
        <v>17</v>
      </c>
      <c r="H49" s="7" t="n">
        <v>17</v>
      </c>
      <c r="I49" s="7" t="n">
        <v>17</v>
      </c>
      <c r="J49" s="7" t="n">
        <v>17.1</v>
      </c>
      <c r="K49" s="8" t="n">
        <v>22.2</v>
      </c>
    </row>
    <row r="50">
      <c r="A50" s="6" t="n">
        <v>2005</v>
      </c>
      <c r="B50" s="8" t="n">
        <v>3.4</v>
      </c>
      <c r="C50" s="8" t="n">
        <v>6.5</v>
      </c>
      <c r="D50" s="8" t="n">
        <v>7.3</v>
      </c>
      <c r="E50" s="8" t="n">
        <v>9.4</v>
      </c>
      <c r="F50" s="8" t="n">
        <v>16.5</v>
      </c>
      <c r="G50" s="8" t="n">
        <v>26.4</v>
      </c>
      <c r="H50" s="8" t="n">
        <v>31</v>
      </c>
      <c r="I50" s="8" t="n">
        <v>47.4</v>
      </c>
      <c r="J50" s="8" t="n">
        <v>64.09999999999999</v>
      </c>
      <c r="K50" s="8" t="n">
        <v>97.8</v>
      </c>
    </row>
    <row r="51">
      <c r="A51" s="6" t="n">
        <v>2006</v>
      </c>
      <c r="B51" s="7" t="n">
        <v>7.4</v>
      </c>
      <c r="C51" s="7" t="n">
        <v>12</v>
      </c>
      <c r="D51" s="7" t="n">
        <v>15.4</v>
      </c>
      <c r="E51" s="7" t="n">
        <v>21.4</v>
      </c>
      <c r="F51" s="7" t="n">
        <v>29.6</v>
      </c>
      <c r="G51" s="7" t="n">
        <v>29.8</v>
      </c>
      <c r="H51" s="7" t="n">
        <v>29.8</v>
      </c>
      <c r="I51" s="7" t="n">
        <v>29.9</v>
      </c>
      <c r="J51" s="7" t="n">
        <v>30.2</v>
      </c>
      <c r="K51" s="7" t="n">
        <v>42.2</v>
      </c>
    </row>
    <row r="52">
      <c r="A52" s="6" t="n">
        <v>2007</v>
      </c>
      <c r="B52" s="7" t="n"/>
      <c r="C52" s="7" t="n"/>
      <c r="D52" s="7" t="n"/>
      <c r="E52" s="7" t="n"/>
      <c r="F52" s="7" t="n"/>
      <c r="G52" s="7" t="n"/>
      <c r="H52" s="7" t="n"/>
      <c r="I52" s="7" t="n"/>
      <c r="J52" s="7" t="n"/>
      <c r="K52" s="8" t="n">
        <v>52.8</v>
      </c>
    </row>
    <row r="53">
      <c r="A53" s="6" t="n">
        <v>2008</v>
      </c>
      <c r="B53" s="7" t="n">
        <v>4.2</v>
      </c>
      <c r="C53" s="7" t="n">
        <v>7.4</v>
      </c>
      <c r="D53" s="7" t="n">
        <v>9.800000000000001</v>
      </c>
      <c r="E53" s="7" t="n">
        <v>14.2</v>
      </c>
      <c r="F53" s="8" t="n">
        <v>15.7</v>
      </c>
      <c r="G53" s="8" t="n">
        <v>15.7</v>
      </c>
      <c r="H53" s="8" t="n">
        <v>15.8</v>
      </c>
      <c r="I53" s="8" t="n">
        <v>15.8</v>
      </c>
      <c r="J53" s="8" t="n">
        <v>15.8</v>
      </c>
      <c r="K53" s="7" t="n">
        <v>19.4</v>
      </c>
    </row>
    <row r="54">
      <c r="A54" s="6" t="n">
        <v>2009</v>
      </c>
      <c r="B54" s="7" t="n">
        <v>4.2</v>
      </c>
      <c r="C54" s="7" t="n">
        <v>7.8</v>
      </c>
      <c r="D54" s="7" t="n">
        <v>9.800000000000001</v>
      </c>
      <c r="E54" s="7" t="n">
        <v>16.6</v>
      </c>
      <c r="F54" s="7" t="n">
        <v>17.8</v>
      </c>
      <c r="G54" s="7" t="n">
        <v>17.8</v>
      </c>
      <c r="H54" s="7" t="n">
        <v>17.8</v>
      </c>
      <c r="I54" s="7" t="n">
        <v>17.8</v>
      </c>
      <c r="J54" s="7" t="n">
        <v>18.1</v>
      </c>
      <c r="K54" s="7" t="n">
        <v>20.7</v>
      </c>
    </row>
    <row r="55">
      <c r="A55" s="6" t="n">
        <v>2010</v>
      </c>
      <c r="B55" s="8" t="n">
        <v>12.4</v>
      </c>
      <c r="C55" s="8" t="n">
        <v>20.7</v>
      </c>
      <c r="D55" s="8" t="n">
        <v>29.6</v>
      </c>
      <c r="E55" s="8" t="n">
        <v>29.6</v>
      </c>
      <c r="F55" s="7" t="n">
        <v>31.4</v>
      </c>
      <c r="G55" s="7" t="n">
        <v>43.8</v>
      </c>
      <c r="H55" s="7" t="n">
        <v>52.6</v>
      </c>
      <c r="I55" s="7" t="n">
        <v>68.5</v>
      </c>
      <c r="J55" s="7" t="n">
        <v>71.8</v>
      </c>
      <c r="K55" s="7" t="n">
        <v>101.1</v>
      </c>
    </row>
    <row r="56">
      <c r="A56" s="6" t="n">
        <v>2011</v>
      </c>
      <c r="B56" s="8" t="n">
        <v>34.3</v>
      </c>
      <c r="C56" s="8" t="n">
        <v>53.7</v>
      </c>
      <c r="D56" s="8" t="n">
        <v>57.7</v>
      </c>
      <c r="E56" s="8" t="n">
        <v>89.2</v>
      </c>
      <c r="F56" s="8" t="n">
        <v>98.09999999999999</v>
      </c>
      <c r="G56" s="8" t="n">
        <v>101.9</v>
      </c>
      <c r="H56" s="8" t="n">
        <v>136.6</v>
      </c>
      <c r="I56" s="8" t="n">
        <v>147.9</v>
      </c>
      <c r="J56" s="8" t="n">
        <v>148.1</v>
      </c>
      <c r="K56" s="8" t="n">
        <v>148.4</v>
      </c>
    </row>
    <row r="57">
      <c r="A57" s="6" t="n">
        <v>2012</v>
      </c>
      <c r="B57" s="7" t="n">
        <v>8.199999999999999</v>
      </c>
      <c r="C57" s="7" t="n">
        <v>15.2</v>
      </c>
      <c r="D57" s="7" t="n">
        <v>19</v>
      </c>
      <c r="E57" s="7" t="n">
        <v>24.2</v>
      </c>
      <c r="F57" s="7" t="n">
        <v>33.6</v>
      </c>
      <c r="G57" s="7" t="n">
        <v>35.5</v>
      </c>
      <c r="H57" s="7" t="n">
        <v>37.6</v>
      </c>
      <c r="I57" s="7" t="n">
        <v>45</v>
      </c>
      <c r="J57" s="7" t="n">
        <v>49.6</v>
      </c>
      <c r="K57" s="7" t="n">
        <v>49.7</v>
      </c>
    </row>
    <row r="58">
      <c r="A58" s="6" t="n">
        <v>2013</v>
      </c>
      <c r="B58" s="7" t="n">
        <v>10</v>
      </c>
      <c r="C58" s="7" t="n">
        <v>13.8</v>
      </c>
      <c r="D58" s="7" t="n">
        <v>15</v>
      </c>
      <c r="E58" s="7" t="n">
        <v>16.4</v>
      </c>
      <c r="F58" s="7" t="n">
        <v>22.4</v>
      </c>
      <c r="G58" s="7" t="n">
        <v>29.6</v>
      </c>
      <c r="H58" s="7" t="n">
        <v>32</v>
      </c>
      <c r="I58" s="7" t="n">
        <v>33.8</v>
      </c>
      <c r="J58" s="7" t="n">
        <v>33.9</v>
      </c>
      <c r="K58" s="7" t="n">
        <v>34</v>
      </c>
    </row>
    <row r="59">
      <c r="A59" s="6" t="n">
        <v>2014</v>
      </c>
      <c r="B59" s="7" t="n">
        <v>9</v>
      </c>
      <c r="C59" s="7" t="n">
        <v>16.4</v>
      </c>
      <c r="D59" s="7" t="n">
        <v>18.6</v>
      </c>
      <c r="E59" s="7" t="n">
        <v>27.6</v>
      </c>
      <c r="F59" s="7" t="n">
        <v>41.4</v>
      </c>
      <c r="G59" s="7" t="n">
        <v>56.2</v>
      </c>
      <c r="H59" s="7" t="n">
        <v>56.2</v>
      </c>
      <c r="I59" s="7" t="n">
        <v>66.40000000000001</v>
      </c>
      <c r="J59" s="7" t="n">
        <v>91</v>
      </c>
      <c r="K59" s="7" t="n">
        <v>93.5</v>
      </c>
    </row>
    <row r="60">
      <c r="A60" s="6" t="n">
        <v>2015</v>
      </c>
      <c r="B60" s="7" t="n">
        <v>6.6</v>
      </c>
      <c r="C60" s="7" t="n">
        <v>10.8</v>
      </c>
      <c r="D60" s="7" t="n">
        <v>14.2</v>
      </c>
      <c r="E60" s="7" t="n">
        <v>18.6</v>
      </c>
      <c r="F60" s="7" t="n">
        <v>21.4</v>
      </c>
      <c r="G60" s="7" t="n">
        <v>23.4</v>
      </c>
      <c r="H60" s="7" t="n">
        <v>23.4</v>
      </c>
      <c r="I60" s="7" t="n">
        <v>23.5</v>
      </c>
      <c r="J60" s="7" t="n">
        <v>23.5</v>
      </c>
      <c r="K60" s="7" t="n">
        <v>46.4</v>
      </c>
    </row>
    <row r="61">
      <c r="A61" s="6" t="n">
        <v>2017</v>
      </c>
      <c r="B61" s="8" t="n">
        <v>4.4</v>
      </c>
      <c r="C61" s="8" t="n">
        <v>5.5</v>
      </c>
      <c r="D61" s="8" t="n">
        <v>7.4</v>
      </c>
      <c r="E61" s="8" t="n">
        <v>9.5</v>
      </c>
      <c r="F61" s="8" t="n">
        <v>10.9</v>
      </c>
      <c r="G61" s="8" t="n">
        <v>12.4</v>
      </c>
      <c r="H61" s="8" t="n">
        <v>12.5</v>
      </c>
      <c r="I61" s="8" t="n">
        <v>12.6</v>
      </c>
      <c r="J61" s="8" t="n">
        <v>12.7</v>
      </c>
      <c r="K61" s="8" t="n">
        <v>12.9</v>
      </c>
    </row>
    <row r="62">
      <c r="A62" s="6" t="n">
        <v>2018</v>
      </c>
      <c r="B62" s="7" t="n">
        <v>5</v>
      </c>
      <c r="C62" s="7" t="n">
        <v>8</v>
      </c>
      <c r="D62" s="7" t="n">
        <v>12.4</v>
      </c>
      <c r="E62" s="7" t="n">
        <v>19.4</v>
      </c>
      <c r="F62" s="7" t="n">
        <v>21.7</v>
      </c>
      <c r="G62" s="7" t="n">
        <v>22</v>
      </c>
      <c r="H62" s="7" t="n">
        <v>22</v>
      </c>
      <c r="I62" s="7" t="n">
        <v>22</v>
      </c>
      <c r="J62" s="7" t="n">
        <v>22.1</v>
      </c>
      <c r="K62" s="7" t="n">
        <v>22.2</v>
      </c>
    </row>
    <row r="63">
      <c r="A63" s="6" t="n">
        <v>2019</v>
      </c>
      <c r="B63" s="7" t="n">
        <v>9.6</v>
      </c>
      <c r="C63" s="7" t="n">
        <v>16.6</v>
      </c>
      <c r="D63" s="7" t="n">
        <v>22.8</v>
      </c>
      <c r="E63" s="7" t="n">
        <v>33.8</v>
      </c>
      <c r="F63" s="7" t="n">
        <v>36</v>
      </c>
      <c r="G63" s="7" t="n">
        <v>36</v>
      </c>
      <c r="H63" s="7" t="n">
        <v>36</v>
      </c>
      <c r="I63" s="7" t="n">
        <v>36</v>
      </c>
      <c r="J63" s="7" t="n">
        <v>37.4</v>
      </c>
      <c r="K63" s="7" t="n">
        <v>47.7</v>
      </c>
    </row>
    <row r="64">
      <c r="A64" s="6" t="n">
        <v>2020</v>
      </c>
      <c r="B64" s="7" t="n">
        <v>9.4</v>
      </c>
      <c r="C64" s="7" t="n">
        <v>18</v>
      </c>
      <c r="D64" s="7" t="n">
        <v>23.8</v>
      </c>
      <c r="E64" s="7" t="n">
        <v>33.8</v>
      </c>
      <c r="F64" s="7" t="n">
        <v>39.8</v>
      </c>
      <c r="G64" s="7" t="n">
        <v>71</v>
      </c>
      <c r="H64" s="7" t="n">
        <v>94</v>
      </c>
      <c r="I64" s="7" t="n">
        <v>95.40000000000001</v>
      </c>
      <c r="J64" s="7" t="n">
        <v>95.5</v>
      </c>
      <c r="K64" s="7" t="n">
        <v>95.59999999999999</v>
      </c>
    </row>
    <row r="65">
      <c r="A65" s="6" t="n">
        <v>2021</v>
      </c>
      <c r="B65" s="7" t="n">
        <v>8.199999999999999</v>
      </c>
      <c r="C65" s="7" t="n">
        <v>14.6</v>
      </c>
      <c r="D65" s="7" t="n">
        <v>20</v>
      </c>
      <c r="E65" s="7" t="n">
        <v>27.4</v>
      </c>
      <c r="F65" s="7" t="n">
        <v>37.8</v>
      </c>
      <c r="G65" s="7" t="n">
        <v>43.9</v>
      </c>
      <c r="H65" s="7" t="n">
        <v>49.4</v>
      </c>
      <c r="I65" s="7" t="n">
        <v>49.6</v>
      </c>
      <c r="J65" s="7" t="n">
        <v>49.9</v>
      </c>
      <c r="K65" s="7" t="n">
        <v>55.2</v>
      </c>
    </row>
    <row r="66">
      <c r="A66" s="6" t="n">
        <v>2022</v>
      </c>
      <c r="B66" s="7" t="n">
        <v>9.4</v>
      </c>
      <c r="C66" s="7" t="n">
        <v>14.8</v>
      </c>
      <c r="D66" s="7" t="n">
        <v>19.2</v>
      </c>
      <c r="E66" s="7" t="n">
        <v>23.8</v>
      </c>
      <c r="F66" s="7" t="n">
        <v>30</v>
      </c>
      <c r="G66" s="7" t="n">
        <v>33.2</v>
      </c>
      <c r="H66" s="7" t="n">
        <v>33.2</v>
      </c>
      <c r="I66" s="7" t="n">
        <v>33.2</v>
      </c>
      <c r="J66" s="7" t="n">
        <v>33.3</v>
      </c>
      <c r="K66" s="7" t="n">
        <v>33.4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Y6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</cols>
  <sheetData>
    <row r="1">
      <c r="A1" s="1" t="inlineStr">
        <is>
          <t>Gauge 66  |  FL544208AF  |  GETEFI NEAR GETEFI</t>
        </is>
      </c>
    </row>
    <row r="3">
      <c r="A3" s="2" t="inlineStr">
        <is>
          <t>AMS BEFORE gap filling (observed only, mm)</t>
        </is>
      </c>
      <c r="M3" s="3" t="inlineStr">
        <is>
          <t>IDF - design rainfall DEPTH (mm)</t>
        </is>
      </c>
    </row>
    <row r="4">
      <c r="A4" s="4" t="inlineStr">
        <is>
          <t>Water year</t>
        </is>
      </c>
      <c r="B4" s="5" t="inlineStr">
        <is>
          <t>5min</t>
        </is>
      </c>
      <c r="C4" s="5" t="inlineStr">
        <is>
          <t>10min</t>
        </is>
      </c>
      <c r="D4" s="5" t="inlineStr">
        <is>
          <t>15min</t>
        </is>
      </c>
      <c r="E4" s="5" t="inlineStr">
        <is>
          <t>30min</t>
        </is>
      </c>
      <c r="F4" s="5" t="inlineStr">
        <is>
          <t>1h</t>
        </is>
      </c>
      <c r="G4" s="5" t="inlineStr">
        <is>
          <t>2h</t>
        </is>
      </c>
      <c r="H4" s="5" t="inlineStr">
        <is>
          <t>3h</t>
        </is>
      </c>
      <c r="I4" s="5" t="inlineStr">
        <is>
          <t>6h</t>
        </is>
      </c>
      <c r="J4" s="5" t="inlineStr">
        <is>
          <t>12h</t>
        </is>
      </c>
      <c r="K4" s="5" t="inlineStr">
        <is>
          <t>24h</t>
        </is>
      </c>
      <c r="M4" s="4" t="inlineStr">
        <is>
          <t>Duration \ RP</t>
        </is>
      </c>
      <c r="N4" s="4" t="n">
        <v>2</v>
      </c>
      <c r="O4" s="4" t="n">
        <v>5</v>
      </c>
      <c r="P4" s="4" t="n">
        <v>10</v>
      </c>
      <c r="Q4" s="4" t="n">
        <v>25</v>
      </c>
      <c r="R4" s="4" t="n">
        <v>50</v>
      </c>
      <c r="S4" s="4" t="n">
        <v>100</v>
      </c>
      <c r="T4" s="4" t="n">
        <v>200</v>
      </c>
      <c r="U4" s="4" t="n">
        <v>500</v>
      </c>
      <c r="V4" s="4" t="n">
        <v>1000</v>
      </c>
      <c r="W4" s="4" t="n">
        <v>2000</v>
      </c>
      <c r="X4" s="4" t="n">
        <v>5000</v>
      </c>
      <c r="Y4" s="4" t="n">
        <v>10000</v>
      </c>
    </row>
    <row r="5">
      <c r="A5" s="6" t="n">
        <v>1993</v>
      </c>
      <c r="B5" s="7" t="n">
        <v>3</v>
      </c>
      <c r="C5" s="7" t="n">
        <v>4.4</v>
      </c>
      <c r="D5" s="7" t="n">
        <v>5</v>
      </c>
      <c r="E5" s="7" t="n">
        <v>6</v>
      </c>
      <c r="F5" s="7" t="n">
        <v>7.9</v>
      </c>
      <c r="G5" s="7" t="n">
        <v>9.5</v>
      </c>
      <c r="H5" s="7" t="n">
        <v>9.6</v>
      </c>
      <c r="I5" s="7" t="n">
        <v>9.800000000000001</v>
      </c>
      <c r="J5" s="7" t="n">
        <v>9.9</v>
      </c>
      <c r="K5" s="7" t="n">
        <v>10.6</v>
      </c>
      <c r="M5" s="6" t="inlineStr">
        <is>
          <t>5min</t>
        </is>
      </c>
      <c r="N5" s="6" t="n">
        <v>5.5</v>
      </c>
      <c r="O5" s="6" t="n">
        <v>8.4</v>
      </c>
      <c r="P5" s="6" t="n">
        <v>10.4</v>
      </c>
      <c r="Q5" s="6" t="n">
        <v>13</v>
      </c>
      <c r="R5" s="6" t="n">
        <v>15.1</v>
      </c>
      <c r="S5" s="6" t="n">
        <v>17.2</v>
      </c>
      <c r="T5" s="6" t="n">
        <v>19.3</v>
      </c>
      <c r="U5" s="6" t="n">
        <v>22.4</v>
      </c>
      <c r="V5" s="6" t="n">
        <v>24.7</v>
      </c>
      <c r="W5" s="6" t="n">
        <v>27.2</v>
      </c>
      <c r="X5" s="6" t="n">
        <v>30.6</v>
      </c>
      <c r="Y5" s="6" t="n">
        <v>33.3</v>
      </c>
    </row>
    <row r="6">
      <c r="A6" s="6" t="n">
        <v>1994</v>
      </c>
      <c r="B6" s="7" t="n">
        <v>8.800000000000001</v>
      </c>
      <c r="C6" s="7" t="n">
        <v>16.6</v>
      </c>
      <c r="D6" s="7" t="n">
        <v>23.4</v>
      </c>
      <c r="E6" s="7" t="n">
        <v>42.4</v>
      </c>
      <c r="F6" s="7" t="n">
        <v>57.6</v>
      </c>
      <c r="G6" s="7" t="n">
        <v>59.7</v>
      </c>
      <c r="H6" s="7" t="n">
        <v>59.8</v>
      </c>
      <c r="I6" s="7" t="n">
        <v>59.9</v>
      </c>
      <c r="J6" s="7" t="n">
        <v>60</v>
      </c>
      <c r="K6" s="7" t="n">
        <v>65</v>
      </c>
      <c r="M6" s="6" t="inlineStr">
        <is>
          <t>10min</t>
        </is>
      </c>
      <c r="N6" s="6" t="n">
        <v>9.1</v>
      </c>
      <c r="O6" s="6" t="n">
        <v>13.9</v>
      </c>
      <c r="P6" s="6" t="n">
        <v>17.2</v>
      </c>
      <c r="Q6" s="6" t="n">
        <v>21.6</v>
      </c>
      <c r="R6" s="6" t="n">
        <v>25.1</v>
      </c>
      <c r="S6" s="6" t="n">
        <v>28.6</v>
      </c>
      <c r="T6" s="6" t="n">
        <v>32.3</v>
      </c>
      <c r="U6" s="6" t="n">
        <v>37.4</v>
      </c>
      <c r="V6" s="6" t="n">
        <v>41.4</v>
      </c>
      <c r="W6" s="6" t="n">
        <v>45.5</v>
      </c>
      <c r="X6" s="6" t="n">
        <v>51.2</v>
      </c>
      <c r="Y6" s="6" t="n">
        <v>55.8</v>
      </c>
    </row>
    <row r="7">
      <c r="A7" s="6" t="n">
        <v>1995</v>
      </c>
      <c r="B7" s="7" t="n">
        <v>6.2</v>
      </c>
      <c r="C7" s="7" t="n">
        <v>12.2</v>
      </c>
      <c r="D7" s="7" t="n">
        <v>17.2</v>
      </c>
      <c r="E7" s="7" t="n">
        <v>24</v>
      </c>
      <c r="F7" s="7" t="n">
        <v>27.7</v>
      </c>
      <c r="G7" s="7" t="n">
        <v>28.3</v>
      </c>
      <c r="H7" s="7" t="n">
        <v>28.9</v>
      </c>
      <c r="I7" s="7" t="n">
        <v>30</v>
      </c>
      <c r="J7" s="7" t="n">
        <v>30.1</v>
      </c>
      <c r="K7" s="7" t="n">
        <v>31.6</v>
      </c>
      <c r="M7" s="6" t="inlineStr">
        <is>
          <t>15min</t>
        </is>
      </c>
      <c r="N7" s="6" t="n">
        <v>11.5</v>
      </c>
      <c r="O7" s="6" t="n">
        <v>17.8</v>
      </c>
      <c r="P7" s="6" t="n">
        <v>22.2</v>
      </c>
      <c r="Q7" s="6" t="n">
        <v>28</v>
      </c>
      <c r="R7" s="6" t="n">
        <v>32.5</v>
      </c>
      <c r="S7" s="6" t="n">
        <v>37.1</v>
      </c>
      <c r="T7" s="6" t="n">
        <v>41.9</v>
      </c>
      <c r="U7" s="6" t="n">
        <v>48.6</v>
      </c>
      <c r="V7" s="6" t="n">
        <v>53.9</v>
      </c>
      <c r="W7" s="6" t="n">
        <v>59.3</v>
      </c>
      <c r="X7" s="6" t="n">
        <v>66.90000000000001</v>
      </c>
      <c r="Y7" s="6" t="n">
        <v>72.90000000000001</v>
      </c>
    </row>
    <row r="8">
      <c r="A8" s="6" t="n">
        <v>1996</v>
      </c>
      <c r="B8" s="7" t="n">
        <v>6.4</v>
      </c>
      <c r="C8" s="7" t="n">
        <v>11.6</v>
      </c>
      <c r="D8" s="7" t="n">
        <v>13.8</v>
      </c>
      <c r="E8" s="7" t="n">
        <v>13.9</v>
      </c>
      <c r="F8" s="7" t="n">
        <v>24.2</v>
      </c>
      <c r="G8" s="7" t="n">
        <v>34.4</v>
      </c>
      <c r="H8" s="7" t="n">
        <v>41.4</v>
      </c>
      <c r="I8" s="7" t="n">
        <v>51.8</v>
      </c>
      <c r="J8" s="7" t="n">
        <v>72.59999999999999</v>
      </c>
      <c r="K8" s="7" t="n">
        <v>96.90000000000001</v>
      </c>
      <c r="M8" s="6" t="inlineStr">
        <is>
          <t>30min</t>
        </is>
      </c>
      <c r="N8" s="6" t="n">
        <v>15.9</v>
      </c>
      <c r="O8" s="6" t="n">
        <v>24.9</v>
      </c>
      <c r="P8" s="6" t="n">
        <v>31.1</v>
      </c>
      <c r="Q8" s="6" t="n">
        <v>39.4</v>
      </c>
      <c r="R8" s="6" t="n">
        <v>45.7</v>
      </c>
      <c r="S8" s="6" t="n">
        <v>52.2</v>
      </c>
      <c r="T8" s="6" t="n">
        <v>58.9</v>
      </c>
      <c r="U8" s="6" t="n">
        <v>68.09999999999999</v>
      </c>
      <c r="V8" s="6" t="n">
        <v>75.40000000000001</v>
      </c>
      <c r="W8" s="6" t="n">
        <v>82.8</v>
      </c>
      <c r="X8" s="6" t="n">
        <v>93.09999999999999</v>
      </c>
      <c r="Y8" s="6" t="n">
        <v>101.2</v>
      </c>
    </row>
    <row r="9">
      <c r="A9" s="6" t="n">
        <v>1997</v>
      </c>
      <c r="B9" s="7" t="n">
        <v>6.2</v>
      </c>
      <c r="C9" s="7" t="n">
        <v>11.6</v>
      </c>
      <c r="D9" s="7" t="n">
        <v>13.4</v>
      </c>
      <c r="E9" s="7" t="n">
        <v>18.4</v>
      </c>
      <c r="F9" s="7" t="n">
        <v>25.4</v>
      </c>
      <c r="G9" s="7" t="n">
        <v>31</v>
      </c>
      <c r="H9" s="7" t="n">
        <v>33</v>
      </c>
      <c r="I9" s="7" t="n">
        <v>49.6</v>
      </c>
      <c r="J9" s="7" t="n">
        <v>60.5</v>
      </c>
      <c r="K9" s="7" t="n">
        <v>63.3</v>
      </c>
      <c r="M9" s="6" t="inlineStr">
        <is>
          <t>1h</t>
        </is>
      </c>
      <c r="N9" s="6" t="n">
        <v>19.8</v>
      </c>
      <c r="O9" s="6" t="n">
        <v>31.3</v>
      </c>
      <c r="P9" s="6" t="n">
        <v>39.4</v>
      </c>
      <c r="Q9" s="6" t="n">
        <v>50.3</v>
      </c>
      <c r="R9" s="6" t="n">
        <v>58.8</v>
      </c>
      <c r="S9" s="6" t="n">
        <v>67.7</v>
      </c>
      <c r="T9" s="6" t="n">
        <v>77</v>
      </c>
      <c r="U9" s="6" t="n">
        <v>90</v>
      </c>
      <c r="V9" s="6" t="n">
        <v>100.4</v>
      </c>
      <c r="W9" s="6" t="n">
        <v>111.2</v>
      </c>
      <c r="X9" s="6" t="n">
        <v>126.4</v>
      </c>
      <c r="Y9" s="6" t="n">
        <v>138.6</v>
      </c>
    </row>
    <row r="10">
      <c r="A10" s="6" t="n">
        <v>1998</v>
      </c>
      <c r="B10" s="7" t="n">
        <v>8.199999999999999</v>
      </c>
      <c r="C10" s="7" t="n">
        <v>9.699999999999999</v>
      </c>
      <c r="D10" s="7" t="n">
        <v>12.4</v>
      </c>
      <c r="E10" s="7" t="n">
        <v>19.2</v>
      </c>
      <c r="F10" s="7" t="n">
        <v>31</v>
      </c>
      <c r="G10" s="7" t="n">
        <v>31.1</v>
      </c>
      <c r="H10" s="7" t="n">
        <v>31.2</v>
      </c>
      <c r="I10" s="7" t="n">
        <v>39.2</v>
      </c>
      <c r="J10" s="7" t="n">
        <v>42.8</v>
      </c>
      <c r="K10" s="7" t="n">
        <v>54.2</v>
      </c>
      <c r="M10" s="6" t="inlineStr">
        <is>
          <t>2h</t>
        </is>
      </c>
      <c r="N10" s="6" t="n">
        <v>23</v>
      </c>
      <c r="O10" s="6" t="n">
        <v>37.5</v>
      </c>
      <c r="P10" s="6" t="n">
        <v>48.2</v>
      </c>
      <c r="Q10" s="6" t="n">
        <v>63.1</v>
      </c>
      <c r="R10" s="6" t="n">
        <v>75.2</v>
      </c>
      <c r="S10" s="6" t="n">
        <v>88.2</v>
      </c>
      <c r="T10" s="6" t="n">
        <v>102.3</v>
      </c>
      <c r="U10" s="6" t="n">
        <v>122.6</v>
      </c>
      <c r="V10" s="6" t="n">
        <v>139.4</v>
      </c>
      <c r="W10" s="6" t="n">
        <v>157.6</v>
      </c>
      <c r="X10" s="6" t="n">
        <v>184</v>
      </c>
      <c r="Y10" s="6" t="n">
        <v>205.8</v>
      </c>
    </row>
    <row r="11">
      <c r="A11" s="6" t="n">
        <v>1999</v>
      </c>
      <c r="B11" s="7" t="n">
        <v>6.2</v>
      </c>
      <c r="C11" s="7" t="n">
        <v>9</v>
      </c>
      <c r="D11" s="7" t="n">
        <v>11.6</v>
      </c>
      <c r="E11" s="7" t="n">
        <v>15.6</v>
      </c>
      <c r="F11" s="7" t="n">
        <v>18.4</v>
      </c>
      <c r="G11" s="7" t="n">
        <v>21.2</v>
      </c>
      <c r="H11" s="7" t="n">
        <v>23.4</v>
      </c>
      <c r="I11" s="7" t="n">
        <v>24.9</v>
      </c>
      <c r="J11" s="7" t="n">
        <v>37.2</v>
      </c>
      <c r="K11" s="7" t="n">
        <v>38.7</v>
      </c>
      <c r="M11" s="6" t="inlineStr">
        <is>
          <t>3h</t>
        </is>
      </c>
      <c r="N11" s="6" t="n">
        <v>24.5</v>
      </c>
      <c r="O11" s="6" t="n">
        <v>41</v>
      </c>
      <c r="P11" s="6" t="n">
        <v>53.9</v>
      </c>
      <c r="Q11" s="6" t="n">
        <v>72.8</v>
      </c>
      <c r="R11" s="6" t="n">
        <v>88.90000000000001</v>
      </c>
      <c r="S11" s="6" t="n">
        <v>107</v>
      </c>
      <c r="T11" s="6" t="n">
        <v>127.2</v>
      </c>
      <c r="U11" s="6" t="n">
        <v>158</v>
      </c>
      <c r="V11" s="6" t="n">
        <v>184.6</v>
      </c>
      <c r="W11" s="6" t="n">
        <v>214.6</v>
      </c>
      <c r="X11" s="6" t="n">
        <v>260.2</v>
      </c>
      <c r="Y11" s="6" t="n">
        <v>299.7</v>
      </c>
    </row>
    <row r="12">
      <c r="A12" s="6" t="n">
        <v>2000</v>
      </c>
      <c r="B12" s="7" t="n">
        <v>10</v>
      </c>
      <c r="C12" s="7" t="n">
        <v>18.4</v>
      </c>
      <c r="D12" s="7" t="n">
        <v>22.2</v>
      </c>
      <c r="E12" s="7" t="n">
        <v>25.7</v>
      </c>
      <c r="F12" s="7" t="n">
        <v>28.3</v>
      </c>
      <c r="G12" s="7" t="n">
        <v>38.2</v>
      </c>
      <c r="H12" s="7" t="n">
        <v>43.7</v>
      </c>
      <c r="I12" s="7" t="n">
        <v>63.1</v>
      </c>
      <c r="J12" s="7" t="n">
        <v>66.59999999999999</v>
      </c>
      <c r="K12" s="7" t="n">
        <v>66.7</v>
      </c>
      <c r="M12" s="6" t="inlineStr">
        <is>
          <t>6h</t>
        </is>
      </c>
      <c r="N12" s="6" t="n">
        <v>27.3</v>
      </c>
      <c r="O12" s="6" t="n">
        <v>47.5</v>
      </c>
      <c r="P12" s="6" t="n">
        <v>63.8</v>
      </c>
      <c r="Q12" s="6" t="n">
        <v>88.5</v>
      </c>
      <c r="R12" s="6" t="n">
        <v>110.2</v>
      </c>
      <c r="S12" s="6" t="n">
        <v>135.1</v>
      </c>
      <c r="T12" s="6" t="n">
        <v>163.9</v>
      </c>
      <c r="U12" s="6" t="n">
        <v>208.8</v>
      </c>
      <c r="V12" s="6" t="n">
        <v>249</v>
      </c>
      <c r="W12" s="6" t="n">
        <v>295.5</v>
      </c>
      <c r="X12" s="6" t="n">
        <v>368.2</v>
      </c>
      <c r="Y12" s="6" t="n">
        <v>433.3</v>
      </c>
    </row>
    <row r="13">
      <c r="A13" s="6" t="n">
        <v>2001</v>
      </c>
      <c r="B13" s="7" t="n">
        <v>12.4</v>
      </c>
      <c r="C13" s="7" t="n">
        <v>20.8</v>
      </c>
      <c r="D13" s="7" t="n">
        <v>26</v>
      </c>
      <c r="E13" s="7" t="n">
        <v>37.6</v>
      </c>
      <c r="F13" s="7" t="n">
        <v>45.2</v>
      </c>
      <c r="G13" s="7" t="n">
        <v>46</v>
      </c>
      <c r="H13" s="7" t="n">
        <v>46.2</v>
      </c>
      <c r="I13" s="7" t="n">
        <v>46.2</v>
      </c>
      <c r="J13" s="7" t="n">
        <v>46.3</v>
      </c>
      <c r="K13" s="7" t="n">
        <v>46.4</v>
      </c>
      <c r="M13" s="6" t="inlineStr">
        <is>
          <t>12h</t>
        </is>
      </c>
      <c r="N13" s="6" t="n">
        <v>30.3</v>
      </c>
      <c r="O13" s="6" t="n">
        <v>54.1</v>
      </c>
      <c r="P13" s="6" t="n">
        <v>73.7</v>
      </c>
      <c r="Q13" s="6" t="n">
        <v>103.9</v>
      </c>
      <c r="R13" s="6" t="n">
        <v>130.9</v>
      </c>
      <c r="S13" s="6" t="n">
        <v>162.5</v>
      </c>
      <c r="T13" s="6" t="n">
        <v>199.4</v>
      </c>
      <c r="U13" s="6" t="n">
        <v>258.2</v>
      </c>
      <c r="V13" s="6" t="n">
        <v>311.6</v>
      </c>
      <c r="W13" s="6" t="n">
        <v>374.3</v>
      </c>
      <c r="X13" s="6" t="n">
        <v>474.1</v>
      </c>
      <c r="Y13" s="6" t="n">
        <v>565</v>
      </c>
    </row>
    <row r="14">
      <c r="A14" s="6" t="n">
        <v>2002</v>
      </c>
      <c r="B14" s="7" t="n">
        <v>4.2</v>
      </c>
      <c r="C14" s="7" t="n">
        <v>8.199999999999999</v>
      </c>
      <c r="D14" s="7" t="n">
        <v>10.4</v>
      </c>
      <c r="E14" s="7" t="n">
        <v>16</v>
      </c>
      <c r="F14" s="7" t="n">
        <v>16.2</v>
      </c>
      <c r="G14" s="7" t="n">
        <v>16.2</v>
      </c>
      <c r="H14" s="7" t="n">
        <v>16.2</v>
      </c>
      <c r="I14" s="7" t="n">
        <v>16.2</v>
      </c>
      <c r="J14" s="7" t="n">
        <v>16.3</v>
      </c>
      <c r="K14" s="7" t="n">
        <v>16.4</v>
      </c>
      <c r="M14" s="6" t="inlineStr">
        <is>
          <t>24h</t>
        </is>
      </c>
      <c r="N14" s="6" t="n">
        <v>34.9</v>
      </c>
      <c r="O14" s="6" t="n">
        <v>62.8</v>
      </c>
      <c r="P14" s="6" t="n">
        <v>85.40000000000001</v>
      </c>
      <c r="Q14" s="6" t="n">
        <v>119.5</v>
      </c>
      <c r="R14" s="6" t="n">
        <v>149.6</v>
      </c>
      <c r="S14" s="6" t="n">
        <v>184.2</v>
      </c>
      <c r="T14" s="6" t="n">
        <v>224.3</v>
      </c>
      <c r="U14" s="6" t="n">
        <v>286.9</v>
      </c>
      <c r="V14" s="6" t="n">
        <v>343</v>
      </c>
      <c r="W14" s="6" t="n">
        <v>407.9</v>
      </c>
      <c r="X14" s="6" t="n">
        <v>509.7</v>
      </c>
      <c r="Y14" s="6" t="n">
        <v>600.9</v>
      </c>
    </row>
    <row r="15">
      <c r="A15" s="6" t="n">
        <v>2003</v>
      </c>
      <c r="B15" s="7" t="n">
        <v>3.6</v>
      </c>
      <c r="C15" s="7" t="n">
        <v>6.6</v>
      </c>
      <c r="D15" s="7" t="n">
        <v>8.4</v>
      </c>
      <c r="E15" s="7" t="n">
        <v>11.2</v>
      </c>
      <c r="F15" s="7" t="n">
        <v>11.2</v>
      </c>
      <c r="G15" s="7" t="n">
        <v>11.2</v>
      </c>
      <c r="H15" s="7" t="n">
        <v>12.6</v>
      </c>
      <c r="I15" s="7" t="n">
        <v>18.6</v>
      </c>
      <c r="J15" s="7" t="n">
        <v>23</v>
      </c>
      <c r="K15" s="7" t="n">
        <v>24</v>
      </c>
    </row>
    <row r="16">
      <c r="A16" s="6" t="n">
        <v>2004</v>
      </c>
      <c r="B16" s="7" t="n">
        <v>10.8</v>
      </c>
      <c r="C16" s="7" t="n">
        <v>15.2</v>
      </c>
      <c r="D16" s="7" t="n">
        <v>19.8</v>
      </c>
      <c r="E16" s="7" t="n">
        <v>23</v>
      </c>
      <c r="F16" s="7" t="n">
        <v>23.2</v>
      </c>
      <c r="G16" s="7" t="n">
        <v>23.2</v>
      </c>
      <c r="H16" s="7" t="n">
        <v>23.2</v>
      </c>
      <c r="I16" s="7" t="n">
        <v>23.3</v>
      </c>
      <c r="J16" s="7" t="n">
        <v>23.3</v>
      </c>
      <c r="K16" s="7" t="n">
        <v>24.4</v>
      </c>
      <c r="M16" s="3" t="inlineStr">
        <is>
          <t>IDF - intensity (mm/hr) [x=duration(min)]</t>
        </is>
      </c>
    </row>
    <row r="17">
      <c r="A17" s="6" t="n">
        <v>2005</v>
      </c>
      <c r="B17" s="7" t="n">
        <v>4.8</v>
      </c>
      <c r="C17" s="7" t="n">
        <v>9.4</v>
      </c>
      <c r="D17" s="7" t="n">
        <v>11.6</v>
      </c>
      <c r="E17" s="7" t="n">
        <v>16.6</v>
      </c>
      <c r="F17" s="7" t="n">
        <v>20.6</v>
      </c>
      <c r="G17" s="7" t="n">
        <v>24.2</v>
      </c>
      <c r="H17" s="7" t="n">
        <v>30.6</v>
      </c>
      <c r="I17" s="7" t="n">
        <v>52.2</v>
      </c>
      <c r="J17" s="7" t="n">
        <v>72.3</v>
      </c>
      <c r="K17" s="7" t="n">
        <v>96.8</v>
      </c>
      <c r="M17" t="inlineStr">
        <is>
          <t>Duration(min)</t>
        </is>
      </c>
      <c r="N17" t="inlineStr">
        <is>
          <t>2 yr</t>
        </is>
      </c>
      <c r="O17" t="inlineStr">
        <is>
          <t>5 yr</t>
        </is>
      </c>
      <c r="P17" t="inlineStr">
        <is>
          <t>10 yr</t>
        </is>
      </c>
      <c r="Q17" t="inlineStr">
        <is>
          <t>25 yr</t>
        </is>
      </c>
      <c r="R17" t="inlineStr">
        <is>
          <t>50 yr</t>
        </is>
      </c>
      <c r="S17" t="inlineStr">
        <is>
          <t>100 yr</t>
        </is>
      </c>
      <c r="T17" t="inlineStr">
        <is>
          <t>200 yr</t>
        </is>
      </c>
      <c r="U17" t="inlineStr">
        <is>
          <t>500 yr</t>
        </is>
      </c>
      <c r="V17" t="inlineStr">
        <is>
          <t>1000 yr</t>
        </is>
      </c>
      <c r="W17" t="inlineStr">
        <is>
          <t>2000 yr</t>
        </is>
      </c>
      <c r="X17" t="inlineStr">
        <is>
          <t>5000 yr</t>
        </is>
      </c>
      <c r="Y17" t="inlineStr">
        <is>
          <t>10000 yr</t>
        </is>
      </c>
    </row>
    <row r="18">
      <c r="A18" s="6" t="n">
        <v>2006</v>
      </c>
      <c r="B18" s="7" t="n">
        <v>6.6</v>
      </c>
      <c r="C18" s="7" t="n">
        <v>12.4</v>
      </c>
      <c r="D18" s="7" t="n">
        <v>18.6</v>
      </c>
      <c r="E18" s="7" t="n">
        <v>34.8</v>
      </c>
      <c r="F18" s="7" t="n">
        <v>46.4</v>
      </c>
      <c r="G18" s="7" t="n">
        <v>55.5</v>
      </c>
      <c r="H18" s="7" t="n">
        <v>61.2</v>
      </c>
      <c r="I18" s="7" t="n">
        <v>69.2</v>
      </c>
      <c r="J18" s="7" t="n">
        <v>69.2</v>
      </c>
      <c r="K18" s="7" t="n">
        <v>69.3</v>
      </c>
      <c r="M18" t="n">
        <v>5</v>
      </c>
      <c r="N18" t="n">
        <v>66.5</v>
      </c>
      <c r="O18" t="n">
        <v>100.7</v>
      </c>
      <c r="P18" t="n">
        <v>124.6</v>
      </c>
      <c r="Q18" t="n">
        <v>156.2</v>
      </c>
      <c r="R18" t="n">
        <v>180.7</v>
      </c>
      <c r="S18" t="n">
        <v>206</v>
      </c>
      <c r="T18" t="n">
        <v>232.2</v>
      </c>
      <c r="U18" t="n">
        <v>268.3</v>
      </c>
      <c r="V18" t="n">
        <v>296.8</v>
      </c>
      <c r="W18" t="n">
        <v>326.5</v>
      </c>
      <c r="X18" t="n">
        <v>367.4</v>
      </c>
      <c r="Y18" t="n">
        <v>399.8</v>
      </c>
    </row>
    <row r="19">
      <c r="A19" s="6" t="n">
        <v>2007</v>
      </c>
      <c r="B19" s="7" t="n">
        <v>1.8</v>
      </c>
      <c r="C19" s="7" t="n">
        <v>3.4</v>
      </c>
      <c r="D19" s="7" t="n">
        <v>3.8</v>
      </c>
      <c r="E19" s="7" t="n">
        <v>4</v>
      </c>
      <c r="F19" s="7" t="n">
        <v>4</v>
      </c>
      <c r="G19" s="7" t="n">
        <v>4</v>
      </c>
      <c r="H19" s="7" t="n">
        <v>5</v>
      </c>
      <c r="I19" s="7" t="n">
        <v>5</v>
      </c>
      <c r="J19" s="7" t="n">
        <v>5.1</v>
      </c>
      <c r="K19" s="7" t="n">
        <v>8</v>
      </c>
      <c r="M19" t="n">
        <v>10</v>
      </c>
      <c r="N19" t="n">
        <v>54.4</v>
      </c>
      <c r="O19" t="n">
        <v>83.2</v>
      </c>
      <c r="P19" t="n">
        <v>103.3</v>
      </c>
      <c r="Q19" t="n">
        <v>129.9</v>
      </c>
      <c r="R19" t="n">
        <v>150.5</v>
      </c>
      <c r="S19" t="n">
        <v>171.8</v>
      </c>
      <c r="T19" t="n">
        <v>193.8</v>
      </c>
      <c r="U19" t="n">
        <v>224.2</v>
      </c>
      <c r="V19" t="n">
        <v>248.2</v>
      </c>
      <c r="W19" t="n">
        <v>273.1</v>
      </c>
      <c r="X19" t="n">
        <v>307.5</v>
      </c>
      <c r="Y19" t="n">
        <v>334.7</v>
      </c>
    </row>
    <row r="20">
      <c r="A20" s="6" t="n">
        <v>2008</v>
      </c>
      <c r="B20" s="7" t="n">
        <v>6.2</v>
      </c>
      <c r="C20" s="7" t="n">
        <v>12</v>
      </c>
      <c r="D20" s="7" t="n">
        <v>16</v>
      </c>
      <c r="E20" s="7" t="n">
        <v>25.4</v>
      </c>
      <c r="F20" s="7" t="n">
        <v>32</v>
      </c>
      <c r="G20" s="7" t="n">
        <v>32</v>
      </c>
      <c r="H20" s="7" t="n">
        <v>32</v>
      </c>
      <c r="I20" s="7" t="n">
        <v>32</v>
      </c>
      <c r="J20" s="7" t="n">
        <v>32.1</v>
      </c>
      <c r="K20" s="7" t="n">
        <v>32.2</v>
      </c>
      <c r="M20" t="n">
        <v>15</v>
      </c>
      <c r="N20" t="n">
        <v>46</v>
      </c>
      <c r="O20" t="n">
        <v>71.09999999999999</v>
      </c>
      <c r="P20" t="n">
        <v>88.59999999999999</v>
      </c>
      <c r="Q20" t="n">
        <v>111.8</v>
      </c>
      <c r="R20" t="n">
        <v>129.9</v>
      </c>
      <c r="S20" t="n">
        <v>148.5</v>
      </c>
      <c r="T20" t="n">
        <v>167.8</v>
      </c>
      <c r="U20" t="n">
        <v>194.4</v>
      </c>
      <c r="V20" t="n">
        <v>215.5</v>
      </c>
      <c r="W20" t="n">
        <v>237.3</v>
      </c>
      <c r="X20" t="n">
        <v>267.6</v>
      </c>
      <c r="Y20" t="n">
        <v>291.5</v>
      </c>
    </row>
    <row r="21">
      <c r="A21" s="6" t="n">
        <v>2009</v>
      </c>
      <c r="B21" s="7" t="n">
        <v>10.4</v>
      </c>
      <c r="C21" s="7" t="n">
        <v>18.4</v>
      </c>
      <c r="D21" s="7" t="n">
        <v>20.8</v>
      </c>
      <c r="E21" s="7" t="n">
        <v>21</v>
      </c>
      <c r="F21" s="7" t="n">
        <v>21.1</v>
      </c>
      <c r="G21" s="7" t="n">
        <v>21.2</v>
      </c>
      <c r="H21" s="7" t="n">
        <v>21.6</v>
      </c>
      <c r="I21" s="7" t="n">
        <v>22</v>
      </c>
      <c r="J21" s="7" t="n">
        <v>23.3</v>
      </c>
      <c r="K21" s="7" t="n">
        <v>30.1</v>
      </c>
      <c r="M21" t="n">
        <v>30</v>
      </c>
      <c r="N21" t="n">
        <v>31.7</v>
      </c>
      <c r="O21" t="n">
        <v>49.8</v>
      </c>
      <c r="P21" t="n">
        <v>62.3</v>
      </c>
      <c r="Q21" t="n">
        <v>78.7</v>
      </c>
      <c r="R21" t="n">
        <v>91.40000000000001</v>
      </c>
      <c r="S21" t="n">
        <v>104.4</v>
      </c>
      <c r="T21" t="n">
        <v>117.9</v>
      </c>
      <c r="U21" t="n">
        <v>136.3</v>
      </c>
      <c r="V21" t="n">
        <v>150.7</v>
      </c>
      <c r="W21" t="n">
        <v>165.7</v>
      </c>
      <c r="X21" t="n">
        <v>186.2</v>
      </c>
      <c r="Y21" t="n">
        <v>202.3</v>
      </c>
    </row>
    <row r="22">
      <c r="A22" s="6" t="n">
        <v>2010</v>
      </c>
      <c r="B22" s="7" t="n">
        <v>4.6</v>
      </c>
      <c r="C22" s="7" t="n">
        <v>6.8</v>
      </c>
      <c r="D22" s="7" t="n">
        <v>9.199999999999999</v>
      </c>
      <c r="E22" s="7" t="n">
        <v>14.4</v>
      </c>
      <c r="F22" s="7" t="n">
        <v>15.8</v>
      </c>
      <c r="G22" s="7" t="n">
        <v>18.4</v>
      </c>
      <c r="H22" s="7" t="n">
        <v>19.6</v>
      </c>
      <c r="I22" s="7" t="n">
        <v>21</v>
      </c>
      <c r="J22" s="7" t="n">
        <v>21.1</v>
      </c>
      <c r="K22" s="7" t="n">
        <v>36</v>
      </c>
      <c r="M22" t="n">
        <v>60</v>
      </c>
      <c r="N22" t="n">
        <v>19.8</v>
      </c>
      <c r="O22" t="n">
        <v>31.3</v>
      </c>
      <c r="P22" t="n">
        <v>39.4</v>
      </c>
      <c r="Q22" t="n">
        <v>50.3</v>
      </c>
      <c r="R22" t="n">
        <v>58.8</v>
      </c>
      <c r="S22" t="n">
        <v>67.7</v>
      </c>
      <c r="T22" t="n">
        <v>77</v>
      </c>
      <c r="U22" t="n">
        <v>90</v>
      </c>
      <c r="V22" t="n">
        <v>100.4</v>
      </c>
      <c r="W22" t="n">
        <v>111.2</v>
      </c>
      <c r="X22" t="n">
        <v>126.4</v>
      </c>
      <c r="Y22" t="n">
        <v>138.6</v>
      </c>
    </row>
    <row r="23">
      <c r="A23" s="6" t="n">
        <v>2011</v>
      </c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  <c r="M23" t="n">
        <v>120</v>
      </c>
      <c r="N23" t="n">
        <v>11.5</v>
      </c>
      <c r="O23" t="n">
        <v>18.8</v>
      </c>
      <c r="P23" t="n">
        <v>24.1</v>
      </c>
      <c r="Q23" t="n">
        <v>31.5</v>
      </c>
      <c r="R23" t="n">
        <v>37.6</v>
      </c>
      <c r="S23" t="n">
        <v>44.1</v>
      </c>
      <c r="T23" t="n">
        <v>51.1</v>
      </c>
      <c r="U23" t="n">
        <v>61.3</v>
      </c>
      <c r="V23" t="n">
        <v>69.7</v>
      </c>
      <c r="W23" t="n">
        <v>78.8</v>
      </c>
      <c r="X23" t="n">
        <v>92</v>
      </c>
      <c r="Y23" t="n">
        <v>102.9</v>
      </c>
    </row>
    <row r="24">
      <c r="A24" s="6" t="n">
        <v>2012</v>
      </c>
      <c r="B24" s="7" t="n">
        <v>3</v>
      </c>
      <c r="C24" s="7" t="n">
        <v>4.6</v>
      </c>
      <c r="D24" s="7" t="n">
        <v>5.4</v>
      </c>
      <c r="E24" s="7" t="n">
        <v>5.7</v>
      </c>
      <c r="F24" s="7" t="n">
        <v>5.8</v>
      </c>
      <c r="G24" s="7" t="n">
        <v>6.5</v>
      </c>
      <c r="H24" s="7" t="n">
        <v>6.6</v>
      </c>
      <c r="I24" s="7" t="n">
        <v>6.7</v>
      </c>
      <c r="J24" s="7" t="n">
        <v>7</v>
      </c>
      <c r="K24" s="7" t="n">
        <v>11.9</v>
      </c>
      <c r="M24" t="n">
        <v>180</v>
      </c>
      <c r="N24" t="n">
        <v>8.199999999999999</v>
      </c>
      <c r="O24" t="n">
        <v>13.7</v>
      </c>
      <c r="P24" t="n">
        <v>18</v>
      </c>
      <c r="Q24" t="n">
        <v>24.3</v>
      </c>
      <c r="R24" t="n">
        <v>29.6</v>
      </c>
      <c r="S24" t="n">
        <v>35.7</v>
      </c>
      <c r="T24" t="n">
        <v>42.4</v>
      </c>
      <c r="U24" t="n">
        <v>52.7</v>
      </c>
      <c r="V24" t="n">
        <v>61.5</v>
      </c>
      <c r="W24" t="n">
        <v>71.5</v>
      </c>
      <c r="X24" t="n">
        <v>86.7</v>
      </c>
      <c r="Y24" t="n">
        <v>99.90000000000001</v>
      </c>
    </row>
    <row r="25">
      <c r="A25" s="6" t="n">
        <v>2013</v>
      </c>
      <c r="B25" s="7" t="n">
        <v>9.800000000000001</v>
      </c>
      <c r="C25" s="7" t="n">
        <v>12.8</v>
      </c>
      <c r="D25" s="7" t="n">
        <v>15.6</v>
      </c>
      <c r="E25" s="7" t="n">
        <v>30</v>
      </c>
      <c r="F25" s="7" t="n">
        <v>40.6</v>
      </c>
      <c r="G25" s="7" t="n">
        <v>44.1</v>
      </c>
      <c r="H25" s="7" t="n">
        <v>45.8</v>
      </c>
      <c r="I25" s="7" t="n">
        <v>47.2</v>
      </c>
      <c r="J25" s="7" t="n">
        <v>47.3</v>
      </c>
      <c r="K25" s="7" t="n">
        <v>47.5</v>
      </c>
      <c r="M25" t="n">
        <v>360</v>
      </c>
      <c r="N25" t="n">
        <v>4.5</v>
      </c>
      <c r="O25" t="n">
        <v>7.9</v>
      </c>
      <c r="P25" t="n">
        <v>10.6</v>
      </c>
      <c r="Q25" t="n">
        <v>14.7</v>
      </c>
      <c r="R25" t="n">
        <v>18.4</v>
      </c>
      <c r="S25" t="n">
        <v>22.5</v>
      </c>
      <c r="T25" t="n">
        <v>27.3</v>
      </c>
      <c r="U25" t="n">
        <v>34.8</v>
      </c>
      <c r="V25" t="n">
        <v>41.5</v>
      </c>
      <c r="W25" t="n">
        <v>49.3</v>
      </c>
      <c r="X25" t="n">
        <v>61.4</v>
      </c>
      <c r="Y25" t="n">
        <v>72.2</v>
      </c>
    </row>
    <row r="26">
      <c r="A26" s="6" t="n">
        <v>2014</v>
      </c>
      <c r="B26" s="7" t="n">
        <v>9.6</v>
      </c>
      <c r="C26" s="7" t="n">
        <v>17</v>
      </c>
      <c r="D26" s="7" t="n">
        <v>20.8</v>
      </c>
      <c r="E26" s="7" t="n">
        <v>26</v>
      </c>
      <c r="F26" s="7" t="n">
        <v>29.4</v>
      </c>
      <c r="G26" s="7" t="n">
        <v>48</v>
      </c>
      <c r="H26" s="7" t="n">
        <v>51</v>
      </c>
      <c r="I26" s="7" t="n">
        <v>61.3</v>
      </c>
      <c r="J26" s="7" t="n">
        <v>73.8</v>
      </c>
      <c r="K26" s="7" t="n">
        <v>84.90000000000001</v>
      </c>
      <c r="M26" t="n">
        <v>720</v>
      </c>
      <c r="N26" t="n">
        <v>2.5</v>
      </c>
      <c r="O26" t="n">
        <v>4.5</v>
      </c>
      <c r="P26" t="n">
        <v>6.1</v>
      </c>
      <c r="Q26" t="n">
        <v>8.699999999999999</v>
      </c>
      <c r="R26" t="n">
        <v>10.9</v>
      </c>
      <c r="S26" t="n">
        <v>13.5</v>
      </c>
      <c r="T26" t="n">
        <v>16.6</v>
      </c>
      <c r="U26" t="n">
        <v>21.5</v>
      </c>
      <c r="V26" t="n">
        <v>26</v>
      </c>
      <c r="W26" t="n">
        <v>31.2</v>
      </c>
      <c r="X26" t="n">
        <v>39.5</v>
      </c>
      <c r="Y26" t="n">
        <v>47.1</v>
      </c>
    </row>
    <row r="27">
      <c r="A27" s="6" t="n">
        <v>2015</v>
      </c>
      <c r="B27" s="7" t="n">
        <v>1.6</v>
      </c>
      <c r="C27" s="7" t="n">
        <v>2.8</v>
      </c>
      <c r="D27" s="7" t="n">
        <v>3.2</v>
      </c>
      <c r="E27" s="7" t="n">
        <v>3.8</v>
      </c>
      <c r="F27" s="7" t="n">
        <v>4.4</v>
      </c>
      <c r="G27" s="7" t="n">
        <v>4.6</v>
      </c>
      <c r="H27" s="7" t="n">
        <v>4.6</v>
      </c>
      <c r="I27" s="7" t="n">
        <v>4.6</v>
      </c>
      <c r="J27" s="7" t="n">
        <v>4.7</v>
      </c>
      <c r="K27" s="7" t="n">
        <v>4.8</v>
      </c>
      <c r="M27" t="n">
        <v>1440</v>
      </c>
      <c r="N27" t="n">
        <v>1.5</v>
      </c>
      <c r="O27" t="n">
        <v>2.6</v>
      </c>
      <c r="P27" t="n">
        <v>3.6</v>
      </c>
      <c r="Q27" t="n">
        <v>5</v>
      </c>
      <c r="R27" t="n">
        <v>6.2</v>
      </c>
      <c r="S27" t="n">
        <v>7.7</v>
      </c>
      <c r="T27" t="n">
        <v>9.300000000000001</v>
      </c>
      <c r="U27" t="n">
        <v>12</v>
      </c>
      <c r="V27" t="n">
        <v>14.3</v>
      </c>
      <c r="W27" t="n">
        <v>17</v>
      </c>
      <c r="X27" t="n">
        <v>21.2</v>
      </c>
      <c r="Y27" t="n">
        <v>25</v>
      </c>
    </row>
    <row r="28">
      <c r="A28" s="6" t="n">
        <v>2017</v>
      </c>
      <c r="B28" s="7" t="n">
        <v>11.4</v>
      </c>
      <c r="C28" s="7" t="n">
        <v>17</v>
      </c>
      <c r="D28" s="7" t="n">
        <v>22.2</v>
      </c>
      <c r="E28" s="7" t="n">
        <v>23.8</v>
      </c>
      <c r="F28" s="7" t="n">
        <v>23.8</v>
      </c>
      <c r="G28" s="7" t="n">
        <v>23.9</v>
      </c>
      <c r="H28" s="7" t="n">
        <v>23.9</v>
      </c>
      <c r="I28" s="7" t="n">
        <v>24</v>
      </c>
      <c r="J28" s="7" t="n">
        <v>24.1</v>
      </c>
      <c r="K28" s="7" t="n">
        <v>24.3</v>
      </c>
    </row>
    <row r="29">
      <c r="A29" s="6" t="n">
        <v>2018</v>
      </c>
      <c r="B29" s="7" t="n">
        <v>3</v>
      </c>
      <c r="C29" s="7" t="n">
        <v>4.2</v>
      </c>
      <c r="D29" s="7" t="n">
        <v>5.4</v>
      </c>
      <c r="E29" s="7" t="n">
        <v>7.6</v>
      </c>
      <c r="F29" s="7" t="n">
        <v>10.6</v>
      </c>
      <c r="G29" s="7" t="n">
        <v>10.6</v>
      </c>
      <c r="H29" s="7" t="n">
        <v>10.7</v>
      </c>
      <c r="I29" s="7" t="n">
        <v>10.7</v>
      </c>
      <c r="J29" s="7" t="n">
        <v>14.7</v>
      </c>
      <c r="K29" s="7" t="n">
        <v>19</v>
      </c>
    </row>
    <row r="30">
      <c r="A30" s="6" t="n">
        <v>2019</v>
      </c>
      <c r="B30" s="7" t="n">
        <v>3.4</v>
      </c>
      <c r="C30" s="7" t="n">
        <v>5.6</v>
      </c>
      <c r="D30" s="7" t="n">
        <v>7.6</v>
      </c>
      <c r="E30" s="7" t="n">
        <v>11.8</v>
      </c>
      <c r="F30" s="7" t="n">
        <v>12.2</v>
      </c>
      <c r="G30" s="7" t="n">
        <v>13.2</v>
      </c>
      <c r="H30" s="7" t="n">
        <v>14.4</v>
      </c>
      <c r="I30" s="7" t="n">
        <v>14.5</v>
      </c>
      <c r="J30" s="7" t="n">
        <v>14.6</v>
      </c>
      <c r="K30" s="7" t="n">
        <v>19.3</v>
      </c>
    </row>
    <row r="31">
      <c r="A31" s="6" t="n">
        <v>2020</v>
      </c>
      <c r="B31" s="7" t="n"/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</row>
    <row r="32">
      <c r="A32" s="6" t="n">
        <v>2021</v>
      </c>
      <c r="B32" s="7" t="n"/>
      <c r="C32" s="7" t="n"/>
      <c r="D32" s="7" t="n"/>
      <c r="E32" s="7" t="n"/>
      <c r="F32" s="7" t="n"/>
      <c r="G32" s="7" t="n"/>
      <c r="H32" s="7" t="n"/>
      <c r="I32" s="7" t="n"/>
      <c r="J32" s="7" t="n"/>
      <c r="K32" s="7" t="n"/>
    </row>
    <row r="33">
      <c r="A33" s="6" t="n">
        <v>2022</v>
      </c>
      <c r="B33" s="7" t="n">
        <v>4.8</v>
      </c>
      <c r="C33" s="7" t="n">
        <v>8.6</v>
      </c>
      <c r="D33" s="7" t="n">
        <v>13</v>
      </c>
      <c r="E33" s="7" t="n">
        <v>24.3</v>
      </c>
      <c r="F33" s="7" t="n">
        <v>33.5</v>
      </c>
      <c r="G33" s="7" t="n">
        <v>36.4</v>
      </c>
      <c r="H33" s="7" t="n">
        <v>36.6</v>
      </c>
      <c r="I33" s="7" t="n">
        <v>36.6</v>
      </c>
      <c r="J33" s="7" t="n">
        <v>36.6</v>
      </c>
      <c r="K33" s="7" t="n">
        <v>36.6</v>
      </c>
    </row>
    <row r="36">
      <c r="A36" s="2" t="inlineStr">
        <is>
          <t>AMS AFTER gap filling (mm)  -  yellow = added or changed by gap filling</t>
        </is>
      </c>
    </row>
    <row r="37">
      <c r="A37" s="4" t="inlineStr">
        <is>
          <t>Water year</t>
        </is>
      </c>
      <c r="B37" s="5" t="inlineStr">
        <is>
          <t>5min</t>
        </is>
      </c>
      <c r="C37" s="5" t="inlineStr">
        <is>
          <t>10min</t>
        </is>
      </c>
      <c r="D37" s="5" t="inlineStr">
        <is>
          <t>15min</t>
        </is>
      </c>
      <c r="E37" s="5" t="inlineStr">
        <is>
          <t>30min</t>
        </is>
      </c>
      <c r="F37" s="5" t="inlineStr">
        <is>
          <t>1h</t>
        </is>
      </c>
      <c r="G37" s="5" t="inlineStr">
        <is>
          <t>2h</t>
        </is>
      </c>
      <c r="H37" s="5" t="inlineStr">
        <is>
          <t>3h</t>
        </is>
      </c>
      <c r="I37" s="5" t="inlineStr">
        <is>
          <t>6h</t>
        </is>
      </c>
      <c r="J37" s="5" t="inlineStr">
        <is>
          <t>12h</t>
        </is>
      </c>
      <c r="K37" s="5" t="inlineStr">
        <is>
          <t>24h</t>
        </is>
      </c>
    </row>
    <row r="38">
      <c r="A38" s="6" t="n">
        <v>1993</v>
      </c>
      <c r="B38" s="7" t="n">
        <v>3</v>
      </c>
      <c r="C38" s="8" t="n">
        <v>4.5</v>
      </c>
      <c r="D38" s="8" t="n">
        <v>5.5</v>
      </c>
      <c r="E38" s="8" t="n">
        <v>8.300000000000001</v>
      </c>
      <c r="F38" s="8" t="n">
        <v>12.7</v>
      </c>
      <c r="G38" s="8" t="n">
        <v>20.3</v>
      </c>
      <c r="H38" s="8" t="n">
        <v>20.4</v>
      </c>
      <c r="I38" s="8" t="n">
        <v>20.9</v>
      </c>
      <c r="J38" s="8" t="n">
        <v>21.2</v>
      </c>
      <c r="K38" s="8" t="n">
        <v>21.7</v>
      </c>
    </row>
    <row r="39">
      <c r="A39" s="6" t="n">
        <v>1994</v>
      </c>
      <c r="B39" s="7" t="n">
        <v>8.800000000000001</v>
      </c>
      <c r="C39" s="7" t="n">
        <v>16.6</v>
      </c>
      <c r="D39" s="7" t="n">
        <v>23.4</v>
      </c>
      <c r="E39" s="7" t="n">
        <v>42.4</v>
      </c>
      <c r="F39" s="7" t="n">
        <v>57.6</v>
      </c>
      <c r="G39" s="7" t="n">
        <v>59.7</v>
      </c>
      <c r="H39" s="7" t="n">
        <v>59.8</v>
      </c>
      <c r="I39" s="7" t="n">
        <v>59.9</v>
      </c>
      <c r="J39" s="7" t="n">
        <v>60</v>
      </c>
      <c r="K39" s="7" t="n">
        <v>65</v>
      </c>
    </row>
    <row r="40">
      <c r="A40" s="6" t="n">
        <v>1995</v>
      </c>
      <c r="B40" s="7" t="n">
        <v>6.2</v>
      </c>
      <c r="C40" s="7" t="n">
        <v>12.2</v>
      </c>
      <c r="D40" s="7" t="n">
        <v>17.2</v>
      </c>
      <c r="E40" s="7" t="n">
        <v>24</v>
      </c>
      <c r="F40" s="7" t="n">
        <v>27.7</v>
      </c>
      <c r="G40" s="7" t="n">
        <v>28.3</v>
      </c>
      <c r="H40" s="7" t="n">
        <v>28.9</v>
      </c>
      <c r="I40" s="7" t="n">
        <v>30</v>
      </c>
      <c r="J40" s="7" t="n">
        <v>30.1</v>
      </c>
      <c r="K40" s="7" t="n">
        <v>31.6</v>
      </c>
    </row>
    <row r="41">
      <c r="A41" s="6" t="n">
        <v>1996</v>
      </c>
      <c r="B41" s="7" t="n">
        <v>6.4</v>
      </c>
      <c r="C41" s="7" t="n">
        <v>11.6</v>
      </c>
      <c r="D41" s="7" t="n">
        <v>13.8</v>
      </c>
      <c r="E41" s="7" t="n">
        <v>13.9</v>
      </c>
      <c r="F41" s="7" t="n">
        <v>24.2</v>
      </c>
      <c r="G41" s="7" t="n">
        <v>34.4</v>
      </c>
      <c r="H41" s="7" t="n">
        <v>41.4</v>
      </c>
      <c r="I41" s="7" t="n">
        <v>51.8</v>
      </c>
      <c r="J41" s="7" t="n">
        <v>72.59999999999999</v>
      </c>
      <c r="K41" s="7" t="n">
        <v>96.90000000000001</v>
      </c>
    </row>
    <row r="42">
      <c r="A42" s="6" t="n">
        <v>1997</v>
      </c>
      <c r="B42" s="7" t="n">
        <v>6.2</v>
      </c>
      <c r="C42" s="7" t="n">
        <v>11.6</v>
      </c>
      <c r="D42" s="7" t="n">
        <v>13.4</v>
      </c>
      <c r="E42" s="7" t="n">
        <v>18.4</v>
      </c>
      <c r="F42" s="7" t="n">
        <v>25.4</v>
      </c>
      <c r="G42" s="7" t="n">
        <v>31</v>
      </c>
      <c r="H42" s="7" t="n">
        <v>33</v>
      </c>
      <c r="I42" s="7" t="n">
        <v>49.6</v>
      </c>
      <c r="J42" s="7" t="n">
        <v>60.5</v>
      </c>
      <c r="K42" s="7" t="n">
        <v>63.3</v>
      </c>
    </row>
    <row r="43">
      <c r="A43" s="6" t="n">
        <v>1998</v>
      </c>
      <c r="B43" s="7" t="n">
        <v>8.199999999999999</v>
      </c>
      <c r="C43" s="7" t="n">
        <v>9.699999999999999</v>
      </c>
      <c r="D43" s="7" t="n">
        <v>12.4</v>
      </c>
      <c r="E43" s="7" t="n">
        <v>19.2</v>
      </c>
      <c r="F43" s="7" t="n">
        <v>31</v>
      </c>
      <c r="G43" s="7" t="n">
        <v>31.1</v>
      </c>
      <c r="H43" s="7" t="n">
        <v>31.2</v>
      </c>
      <c r="I43" s="7" t="n">
        <v>39.2</v>
      </c>
      <c r="J43" s="7" t="n">
        <v>42.8</v>
      </c>
      <c r="K43" s="7" t="n">
        <v>54.2</v>
      </c>
    </row>
    <row r="44">
      <c r="A44" s="6" t="n">
        <v>1999</v>
      </c>
      <c r="B44" s="7" t="n">
        <v>6.2</v>
      </c>
      <c r="C44" s="7" t="n">
        <v>9</v>
      </c>
      <c r="D44" s="7" t="n">
        <v>11.6</v>
      </c>
      <c r="E44" s="7" t="n">
        <v>15.6</v>
      </c>
      <c r="F44" s="7" t="n">
        <v>18.4</v>
      </c>
      <c r="G44" s="7" t="n">
        <v>21.2</v>
      </c>
      <c r="H44" s="7" t="n">
        <v>23.4</v>
      </c>
      <c r="I44" s="7" t="n">
        <v>24.9</v>
      </c>
      <c r="J44" s="7" t="n">
        <v>37.2</v>
      </c>
      <c r="K44" s="7" t="n">
        <v>38.7</v>
      </c>
    </row>
    <row r="45">
      <c r="A45" s="6" t="n">
        <v>2000</v>
      </c>
      <c r="B45" s="7" t="n">
        <v>10</v>
      </c>
      <c r="C45" s="7" t="n">
        <v>18.4</v>
      </c>
      <c r="D45" s="7" t="n">
        <v>22.2</v>
      </c>
      <c r="E45" s="7" t="n">
        <v>25.7</v>
      </c>
      <c r="F45" s="7" t="n">
        <v>28.3</v>
      </c>
      <c r="G45" s="7" t="n">
        <v>38.2</v>
      </c>
      <c r="H45" s="7" t="n">
        <v>43.7</v>
      </c>
      <c r="I45" s="7" t="n">
        <v>63.1</v>
      </c>
      <c r="J45" s="7" t="n">
        <v>66.59999999999999</v>
      </c>
      <c r="K45" s="7" t="n">
        <v>66.7</v>
      </c>
    </row>
    <row r="46">
      <c r="A46" s="6" t="n">
        <v>2001</v>
      </c>
      <c r="B46" s="7" t="n">
        <v>12.4</v>
      </c>
      <c r="C46" s="7" t="n">
        <v>20.8</v>
      </c>
      <c r="D46" s="7" t="n">
        <v>26</v>
      </c>
      <c r="E46" s="7" t="n">
        <v>37.6</v>
      </c>
      <c r="F46" s="7" t="n">
        <v>45.2</v>
      </c>
      <c r="G46" s="7" t="n">
        <v>46</v>
      </c>
      <c r="H46" s="7" t="n">
        <v>46.2</v>
      </c>
      <c r="I46" s="7" t="n">
        <v>46.2</v>
      </c>
      <c r="J46" s="7" t="n">
        <v>46.3</v>
      </c>
      <c r="K46" s="7" t="n">
        <v>46.4</v>
      </c>
    </row>
    <row r="47">
      <c r="A47" s="6" t="n">
        <v>2002</v>
      </c>
      <c r="B47" s="7" t="n">
        <v>4.2</v>
      </c>
      <c r="C47" s="7" t="n">
        <v>8.199999999999999</v>
      </c>
      <c r="D47" s="7" t="n">
        <v>10.4</v>
      </c>
      <c r="E47" s="7" t="n">
        <v>16</v>
      </c>
      <c r="F47" s="7" t="n">
        <v>16.2</v>
      </c>
      <c r="G47" s="7" t="n">
        <v>16.2</v>
      </c>
      <c r="H47" s="7" t="n">
        <v>16.2</v>
      </c>
      <c r="I47" s="7" t="n">
        <v>16.2</v>
      </c>
      <c r="J47" s="7" t="n">
        <v>16.3</v>
      </c>
      <c r="K47" s="7" t="n">
        <v>16.4</v>
      </c>
    </row>
    <row r="48">
      <c r="A48" s="6" t="n">
        <v>2003</v>
      </c>
      <c r="B48" s="7" t="n">
        <v>3.6</v>
      </c>
      <c r="C48" s="7" t="n">
        <v>6.6</v>
      </c>
      <c r="D48" s="7" t="n">
        <v>8.4</v>
      </c>
      <c r="E48" s="7" t="n">
        <v>11.2</v>
      </c>
      <c r="F48" s="8" t="n">
        <v>14.4</v>
      </c>
      <c r="G48" s="8" t="n">
        <v>19.6</v>
      </c>
      <c r="H48" s="8" t="n">
        <v>21.7</v>
      </c>
      <c r="I48" s="8" t="n">
        <v>23</v>
      </c>
      <c r="J48" s="8" t="n">
        <v>25.7</v>
      </c>
      <c r="K48" s="8" t="n">
        <v>28.4</v>
      </c>
    </row>
    <row r="49">
      <c r="A49" s="6" t="n">
        <v>2004</v>
      </c>
      <c r="B49" s="7" t="n">
        <v>10.8</v>
      </c>
      <c r="C49" s="7" t="n">
        <v>15.2</v>
      </c>
      <c r="D49" s="7" t="n">
        <v>19.8</v>
      </c>
      <c r="E49" s="7" t="n">
        <v>23</v>
      </c>
      <c r="F49" s="7" t="n">
        <v>23.2</v>
      </c>
      <c r="G49" s="7" t="n">
        <v>23.2</v>
      </c>
      <c r="H49" s="7" t="n">
        <v>23.2</v>
      </c>
      <c r="I49" s="7" t="n">
        <v>23.3</v>
      </c>
      <c r="J49" s="7" t="n">
        <v>23.3</v>
      </c>
      <c r="K49" s="7" t="n">
        <v>24.4</v>
      </c>
    </row>
    <row r="50">
      <c r="A50" s="6" t="n">
        <v>2005</v>
      </c>
      <c r="B50" s="7" t="n">
        <v>4.8</v>
      </c>
      <c r="C50" s="7" t="n">
        <v>9.4</v>
      </c>
      <c r="D50" s="7" t="n">
        <v>11.6</v>
      </c>
      <c r="E50" s="7" t="n">
        <v>16.6</v>
      </c>
      <c r="F50" s="7" t="n">
        <v>20.6</v>
      </c>
      <c r="G50" s="7" t="n">
        <v>24.2</v>
      </c>
      <c r="H50" s="7" t="n">
        <v>30.6</v>
      </c>
      <c r="I50" s="7" t="n">
        <v>52.2</v>
      </c>
      <c r="J50" s="7" t="n">
        <v>72.3</v>
      </c>
      <c r="K50" s="7" t="n">
        <v>96.8</v>
      </c>
    </row>
    <row r="51">
      <c r="A51" s="6" t="n">
        <v>2006</v>
      </c>
      <c r="B51" s="7" t="n">
        <v>6.6</v>
      </c>
      <c r="C51" s="7" t="n">
        <v>12.4</v>
      </c>
      <c r="D51" s="7" t="n">
        <v>18.6</v>
      </c>
      <c r="E51" s="7" t="n">
        <v>34.8</v>
      </c>
      <c r="F51" s="7" t="n">
        <v>46.4</v>
      </c>
      <c r="G51" s="7" t="n">
        <v>55.5</v>
      </c>
      <c r="H51" s="7" t="n">
        <v>61.2</v>
      </c>
      <c r="I51" s="7" t="n">
        <v>69.2</v>
      </c>
      <c r="J51" s="7" t="n">
        <v>69.2</v>
      </c>
      <c r="K51" s="7" t="n">
        <v>69.3</v>
      </c>
    </row>
    <row r="52">
      <c r="A52" s="6" t="n">
        <v>2007</v>
      </c>
      <c r="B52" s="8" t="n">
        <v>5</v>
      </c>
      <c r="C52" s="8" t="n">
        <v>6.8</v>
      </c>
      <c r="D52" s="8" t="n">
        <v>9.1</v>
      </c>
      <c r="E52" s="8" t="n">
        <v>12.9</v>
      </c>
      <c r="F52" s="8" t="n">
        <v>19.8</v>
      </c>
      <c r="G52" s="8" t="n">
        <v>25.1</v>
      </c>
      <c r="H52" s="8" t="n">
        <v>27.4</v>
      </c>
      <c r="I52" s="8" t="n">
        <v>47.2</v>
      </c>
      <c r="J52" s="8" t="n">
        <v>55.1</v>
      </c>
      <c r="K52" s="8" t="n">
        <v>60.2</v>
      </c>
    </row>
    <row r="53">
      <c r="A53" s="6" t="n">
        <v>2008</v>
      </c>
      <c r="B53" s="7" t="n">
        <v>6.2</v>
      </c>
      <c r="C53" s="7" t="n">
        <v>12</v>
      </c>
      <c r="D53" s="7" t="n">
        <v>16</v>
      </c>
      <c r="E53" s="7" t="n">
        <v>25.4</v>
      </c>
      <c r="F53" s="7" t="n">
        <v>32</v>
      </c>
      <c r="G53" s="7" t="n">
        <v>32</v>
      </c>
      <c r="H53" s="7" t="n">
        <v>32</v>
      </c>
      <c r="I53" s="7" t="n">
        <v>32</v>
      </c>
      <c r="J53" s="7" t="n">
        <v>32.1</v>
      </c>
      <c r="K53" s="7" t="n">
        <v>32.2</v>
      </c>
    </row>
    <row r="54">
      <c r="A54" s="6" t="n">
        <v>2009</v>
      </c>
      <c r="B54" s="7" t="n">
        <v>10.4</v>
      </c>
      <c r="C54" s="7" t="n">
        <v>18.4</v>
      </c>
      <c r="D54" s="7" t="n">
        <v>20.8</v>
      </c>
      <c r="E54" s="7" t="n">
        <v>21</v>
      </c>
      <c r="F54" s="7" t="n">
        <v>21.1</v>
      </c>
      <c r="G54" s="7" t="n">
        <v>21.2</v>
      </c>
      <c r="H54" s="7" t="n">
        <v>21.6</v>
      </c>
      <c r="I54" s="7" t="n">
        <v>22</v>
      </c>
      <c r="J54" s="7" t="n">
        <v>23.3</v>
      </c>
      <c r="K54" s="7" t="n">
        <v>30.1</v>
      </c>
    </row>
    <row r="55">
      <c r="A55" s="6" t="n">
        <v>2010</v>
      </c>
      <c r="B55" s="8" t="n">
        <v>27.8</v>
      </c>
      <c r="C55" s="8" t="n">
        <v>47.9</v>
      </c>
      <c r="D55" s="8" t="n">
        <v>64.2</v>
      </c>
      <c r="E55" s="8" t="n">
        <v>78.2</v>
      </c>
      <c r="F55" s="8" t="n">
        <v>86.59999999999999</v>
      </c>
      <c r="G55" s="8" t="n">
        <v>117.8</v>
      </c>
      <c r="H55" s="8" t="n">
        <v>128.7</v>
      </c>
      <c r="I55" s="8" t="n">
        <v>160.8</v>
      </c>
      <c r="J55" s="8" t="n">
        <v>176.8</v>
      </c>
      <c r="K55" s="8" t="n">
        <v>180.5</v>
      </c>
    </row>
    <row r="56">
      <c r="A56" s="6" t="n">
        <v>2011</v>
      </c>
      <c r="B56" s="8" t="n">
        <v>21</v>
      </c>
      <c r="C56" s="8" t="n">
        <v>32.8</v>
      </c>
      <c r="D56" s="8" t="n">
        <v>37</v>
      </c>
      <c r="E56" s="8" t="n">
        <v>57.9</v>
      </c>
      <c r="F56" s="8" t="n">
        <v>64.3</v>
      </c>
      <c r="G56" s="8" t="n">
        <v>69.40000000000001</v>
      </c>
      <c r="H56" s="8" t="n">
        <v>91.7</v>
      </c>
      <c r="I56" s="8" t="n">
        <v>105</v>
      </c>
      <c r="J56" s="8" t="n">
        <v>105.8</v>
      </c>
      <c r="K56" s="8" t="n">
        <v>106</v>
      </c>
    </row>
    <row r="57">
      <c r="A57" s="6" t="n">
        <v>2012</v>
      </c>
      <c r="B57" s="8" t="n">
        <v>24.5</v>
      </c>
      <c r="C57" s="8" t="n">
        <v>38.4</v>
      </c>
      <c r="D57" s="8" t="n">
        <v>45.1</v>
      </c>
      <c r="E57" s="8" t="n">
        <v>60.6</v>
      </c>
      <c r="F57" s="8" t="n">
        <v>76.40000000000001</v>
      </c>
      <c r="G57" s="8" t="n">
        <v>81.90000000000001</v>
      </c>
      <c r="H57" s="8" t="n">
        <v>87.09999999999999</v>
      </c>
      <c r="I57" s="8" t="n">
        <v>93.09999999999999</v>
      </c>
      <c r="J57" s="8" t="n">
        <v>102.1</v>
      </c>
      <c r="K57" s="8" t="n">
        <v>104.7</v>
      </c>
    </row>
    <row r="58">
      <c r="A58" s="6" t="n">
        <v>2013</v>
      </c>
      <c r="B58" s="7" t="n">
        <v>9.800000000000001</v>
      </c>
      <c r="C58" s="7" t="n">
        <v>12.8</v>
      </c>
      <c r="D58" s="7" t="n">
        <v>15.6</v>
      </c>
      <c r="E58" s="7" t="n">
        <v>30</v>
      </c>
      <c r="F58" s="7" t="n">
        <v>40.6</v>
      </c>
      <c r="G58" s="7" t="n">
        <v>44.1</v>
      </c>
      <c r="H58" s="7" t="n">
        <v>45.8</v>
      </c>
      <c r="I58" s="7" t="n">
        <v>47.2</v>
      </c>
      <c r="J58" s="7" t="n">
        <v>47.3</v>
      </c>
      <c r="K58" s="7" t="n">
        <v>47.5</v>
      </c>
    </row>
    <row r="59">
      <c r="A59" s="6" t="n">
        <v>2014</v>
      </c>
      <c r="B59" s="7" t="n">
        <v>9.6</v>
      </c>
      <c r="C59" s="7" t="n">
        <v>17</v>
      </c>
      <c r="D59" s="7" t="n">
        <v>20.8</v>
      </c>
      <c r="E59" s="7" t="n">
        <v>26</v>
      </c>
      <c r="F59" s="7" t="n">
        <v>29.4</v>
      </c>
      <c r="G59" s="7" t="n">
        <v>48</v>
      </c>
      <c r="H59" s="7" t="n">
        <v>51</v>
      </c>
      <c r="I59" s="7" t="n">
        <v>61.3</v>
      </c>
      <c r="J59" s="7" t="n">
        <v>73.8</v>
      </c>
      <c r="K59" s="7" t="n">
        <v>84.90000000000001</v>
      </c>
    </row>
    <row r="60">
      <c r="A60" s="6" t="n">
        <v>2015</v>
      </c>
      <c r="B60" s="7" t="n">
        <v>1.6</v>
      </c>
      <c r="C60" s="7" t="n">
        <v>2.8</v>
      </c>
      <c r="D60" s="7" t="n">
        <v>3.2</v>
      </c>
      <c r="E60" s="7" t="n">
        <v>3.8</v>
      </c>
      <c r="F60" s="7" t="n">
        <v>4.4</v>
      </c>
      <c r="G60" s="7" t="n">
        <v>4.6</v>
      </c>
      <c r="H60" s="7" t="n">
        <v>4.6</v>
      </c>
      <c r="I60" s="7" t="n">
        <v>4.6</v>
      </c>
      <c r="J60" s="7" t="n">
        <v>4.7</v>
      </c>
      <c r="K60" s="7" t="n">
        <v>4.8</v>
      </c>
    </row>
    <row r="61">
      <c r="A61" s="6" t="n">
        <v>2017</v>
      </c>
      <c r="B61" s="7" t="n">
        <v>11.4</v>
      </c>
      <c r="C61" s="7" t="n">
        <v>17</v>
      </c>
      <c r="D61" s="7" t="n">
        <v>22.2</v>
      </c>
      <c r="E61" s="7" t="n">
        <v>23.8</v>
      </c>
      <c r="F61" s="7" t="n">
        <v>23.8</v>
      </c>
      <c r="G61" s="7" t="n">
        <v>23.9</v>
      </c>
      <c r="H61" s="7" t="n">
        <v>23.9</v>
      </c>
      <c r="I61" s="7" t="n">
        <v>24</v>
      </c>
      <c r="J61" s="7" t="n">
        <v>24.1</v>
      </c>
      <c r="K61" s="7" t="n">
        <v>24.3</v>
      </c>
    </row>
    <row r="62">
      <c r="A62" s="6" t="n">
        <v>2018</v>
      </c>
      <c r="B62" s="7" t="n">
        <v>3</v>
      </c>
      <c r="C62" s="7" t="n">
        <v>4.2</v>
      </c>
      <c r="D62" s="7" t="n">
        <v>5.4</v>
      </c>
      <c r="E62" s="7" t="n">
        <v>7.6</v>
      </c>
      <c r="F62" s="7" t="n">
        <v>10.6</v>
      </c>
      <c r="G62" s="7" t="n">
        <v>10.6</v>
      </c>
      <c r="H62" s="7" t="n">
        <v>10.7</v>
      </c>
      <c r="I62" s="7" t="n">
        <v>10.7</v>
      </c>
      <c r="J62" s="7" t="n">
        <v>14.7</v>
      </c>
      <c r="K62" s="7" t="n">
        <v>19</v>
      </c>
    </row>
    <row r="63">
      <c r="A63" s="6" t="n">
        <v>2019</v>
      </c>
      <c r="B63" s="7" t="n">
        <v>3.4</v>
      </c>
      <c r="C63" s="7" t="n">
        <v>5.6</v>
      </c>
      <c r="D63" s="7" t="n">
        <v>7.6</v>
      </c>
      <c r="E63" s="7" t="n">
        <v>11.8</v>
      </c>
      <c r="F63" s="7" t="n">
        <v>12.2</v>
      </c>
      <c r="G63" s="7" t="n">
        <v>13.2</v>
      </c>
      <c r="H63" s="7" t="n">
        <v>14.4</v>
      </c>
      <c r="I63" s="7" t="n">
        <v>14.5</v>
      </c>
      <c r="J63" s="7" t="n">
        <v>14.6</v>
      </c>
      <c r="K63" s="7" t="n">
        <v>19.3</v>
      </c>
    </row>
    <row r="64">
      <c r="A64" s="6" t="n">
        <v>2020</v>
      </c>
      <c r="B64" s="8" t="n">
        <v>7.1</v>
      </c>
      <c r="C64" s="8" t="n">
        <v>12.3</v>
      </c>
      <c r="D64" s="8" t="n">
        <v>16.1</v>
      </c>
      <c r="E64" s="8" t="n">
        <v>24.1</v>
      </c>
      <c r="F64" s="8" t="n">
        <v>27.6</v>
      </c>
      <c r="G64" s="8" t="n">
        <v>45.6</v>
      </c>
      <c r="H64" s="8" t="n">
        <v>63.9</v>
      </c>
      <c r="I64" s="8" t="n">
        <v>81</v>
      </c>
      <c r="J64" s="8" t="n">
        <v>81.5</v>
      </c>
      <c r="K64" s="8" t="n">
        <v>81.59999999999999</v>
      </c>
    </row>
    <row r="65">
      <c r="A65" s="6" t="n">
        <v>2021</v>
      </c>
      <c r="B65" s="8" t="n">
        <v>0.6</v>
      </c>
      <c r="C65" s="8" t="n">
        <v>1</v>
      </c>
      <c r="D65" s="8" t="n">
        <v>1.4</v>
      </c>
      <c r="E65" s="8" t="n">
        <v>1.8</v>
      </c>
      <c r="F65" s="8" t="n">
        <v>1.8</v>
      </c>
      <c r="G65" s="8" t="n">
        <v>1.8</v>
      </c>
      <c r="H65" s="8" t="n">
        <v>1.8</v>
      </c>
      <c r="I65" s="8" t="n">
        <v>1.8</v>
      </c>
      <c r="J65" s="8" t="n">
        <v>1.8</v>
      </c>
      <c r="K65" s="8" t="n">
        <v>1.8</v>
      </c>
    </row>
    <row r="66">
      <c r="A66" s="6" t="n">
        <v>2022</v>
      </c>
      <c r="B66" s="7" t="n">
        <v>4.8</v>
      </c>
      <c r="C66" s="7" t="n">
        <v>8.6</v>
      </c>
      <c r="D66" s="7" t="n">
        <v>13</v>
      </c>
      <c r="E66" s="7" t="n">
        <v>24.3</v>
      </c>
      <c r="F66" s="7" t="n">
        <v>33.5</v>
      </c>
      <c r="G66" s="7" t="n">
        <v>36.4</v>
      </c>
      <c r="H66" s="7" t="n">
        <v>36.6</v>
      </c>
      <c r="I66" s="7" t="n">
        <v>36.6</v>
      </c>
      <c r="J66" s="7" t="n">
        <v>36.6</v>
      </c>
      <c r="K66" s="7" t="n">
        <v>36.6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Y27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</cols>
  <sheetData>
    <row r="1">
      <c r="A1" s="1" t="inlineStr">
        <is>
          <t>Gauge 67  |  FL844896AF  |  Al Hara at Jabal Abyadh</t>
        </is>
      </c>
    </row>
    <row r="3">
      <c r="A3" s="2" t="inlineStr">
        <is>
          <t>AMS BEFORE gap filling (observed only, mm)</t>
        </is>
      </c>
      <c r="M3" s="3" t="inlineStr">
        <is>
          <t>IDF - design rainfall DEPTH (mm)</t>
        </is>
      </c>
    </row>
    <row r="4">
      <c r="A4" s="4" t="inlineStr">
        <is>
          <t>Water year</t>
        </is>
      </c>
      <c r="B4" s="5" t="inlineStr">
        <is>
          <t>5min</t>
        </is>
      </c>
      <c r="C4" s="5" t="inlineStr">
        <is>
          <t>10min</t>
        </is>
      </c>
      <c r="D4" s="5" t="inlineStr">
        <is>
          <t>15min</t>
        </is>
      </c>
      <c r="E4" s="5" t="inlineStr">
        <is>
          <t>30min</t>
        </is>
      </c>
      <c r="F4" s="5" t="inlineStr">
        <is>
          <t>1h</t>
        </is>
      </c>
      <c r="G4" s="5" t="inlineStr">
        <is>
          <t>2h</t>
        </is>
      </c>
      <c r="H4" s="5" t="inlineStr">
        <is>
          <t>3h</t>
        </is>
      </c>
      <c r="I4" s="5" t="inlineStr">
        <is>
          <t>6h</t>
        </is>
      </c>
      <c r="J4" s="5" t="inlineStr">
        <is>
          <t>12h</t>
        </is>
      </c>
      <c r="K4" s="5" t="inlineStr">
        <is>
          <t>24h</t>
        </is>
      </c>
      <c r="M4" s="4" t="inlineStr">
        <is>
          <t>Duration \ RP</t>
        </is>
      </c>
      <c r="N4" s="4" t="n">
        <v>2</v>
      </c>
      <c r="O4" s="4" t="n">
        <v>5</v>
      </c>
      <c r="P4" s="4" t="n">
        <v>10</v>
      </c>
      <c r="Q4" s="4" t="n">
        <v>25</v>
      </c>
      <c r="R4" s="4" t="n">
        <v>50</v>
      </c>
      <c r="S4" s="4" t="n">
        <v>100</v>
      </c>
      <c r="T4" s="4" t="n">
        <v>200</v>
      </c>
      <c r="U4" s="4" t="n">
        <v>500</v>
      </c>
      <c r="V4" s="4" t="n">
        <v>1000</v>
      </c>
      <c r="W4" s="4" t="n">
        <v>2000</v>
      </c>
      <c r="X4" s="4" t="n">
        <v>5000</v>
      </c>
      <c r="Y4" s="4" t="n">
        <v>10000</v>
      </c>
    </row>
    <row r="5">
      <c r="A5" s="6" t="n">
        <v>2019</v>
      </c>
      <c r="B5" s="7" t="n">
        <v>13.4</v>
      </c>
      <c r="C5" s="7" t="n">
        <v>26.6</v>
      </c>
      <c r="D5" s="7" t="n">
        <v>33.2</v>
      </c>
      <c r="E5" s="7" t="n">
        <v>37.6</v>
      </c>
      <c r="F5" s="7" t="n">
        <v>38.4</v>
      </c>
      <c r="G5" s="7" t="n">
        <v>38.5</v>
      </c>
      <c r="H5" s="7" t="n">
        <v>39</v>
      </c>
      <c r="I5" s="7" t="n">
        <v>40.8</v>
      </c>
      <c r="J5" s="7" t="n">
        <v>41.1</v>
      </c>
      <c r="K5" s="7" t="n">
        <v>45.8</v>
      </c>
      <c r="M5" s="6" t="inlineStr">
        <is>
          <t>5min</t>
        </is>
      </c>
      <c r="N5" s="6" t="n">
        <v>5.6</v>
      </c>
      <c r="O5" s="6" t="n">
        <v>8.5</v>
      </c>
      <c r="P5" s="6" t="n">
        <v>10.3</v>
      </c>
      <c r="Q5" s="6" t="n">
        <v>12.6</v>
      </c>
      <c r="R5" s="6" t="n">
        <v>14.3</v>
      </c>
      <c r="S5" s="6" t="n">
        <v>16</v>
      </c>
      <c r="T5" s="6" t="n">
        <v>17.6</v>
      </c>
      <c r="U5" s="6" t="n">
        <v>19.7</v>
      </c>
      <c r="V5" s="6" t="n">
        <v>21.2</v>
      </c>
      <c r="W5" s="6" t="n">
        <v>22.7</v>
      </c>
      <c r="X5" s="6" t="n">
        <v>24.7</v>
      </c>
      <c r="Y5" s="6" t="n">
        <v>26.2</v>
      </c>
    </row>
    <row r="6">
      <c r="M6" s="6" t="inlineStr">
        <is>
          <t>10min</t>
        </is>
      </c>
      <c r="N6" s="6" t="n">
        <v>9.199999999999999</v>
      </c>
      <c r="O6" s="6" t="n">
        <v>14</v>
      </c>
      <c r="P6" s="6" t="n">
        <v>17</v>
      </c>
      <c r="Q6" s="6" t="n">
        <v>20.9</v>
      </c>
      <c r="R6" s="6" t="n">
        <v>23.7</v>
      </c>
      <c r="S6" s="6" t="n">
        <v>26.4</v>
      </c>
      <c r="T6" s="6" t="n">
        <v>29.1</v>
      </c>
      <c r="U6" s="6" t="n">
        <v>32.6</v>
      </c>
      <c r="V6" s="6" t="n">
        <v>35.1</v>
      </c>
      <c r="W6" s="6" t="n">
        <v>37.7</v>
      </c>
      <c r="X6" s="6" t="n">
        <v>41</v>
      </c>
      <c r="Y6" s="6" t="n">
        <v>43.5</v>
      </c>
    </row>
    <row r="7">
      <c r="M7" s="6" t="inlineStr">
        <is>
          <t>15min</t>
        </is>
      </c>
      <c r="N7" s="6" t="n">
        <v>11.6</v>
      </c>
      <c r="O7" s="6" t="n">
        <v>17.8</v>
      </c>
      <c r="P7" s="6" t="n">
        <v>22</v>
      </c>
      <c r="Q7" s="6" t="n">
        <v>27.3</v>
      </c>
      <c r="R7" s="6" t="n">
        <v>31.3</v>
      </c>
      <c r="S7" s="6" t="n">
        <v>35.2</v>
      </c>
      <c r="T7" s="6" t="n">
        <v>39.2</v>
      </c>
      <c r="U7" s="6" t="n">
        <v>44.6</v>
      </c>
      <c r="V7" s="6" t="n">
        <v>48.6</v>
      </c>
      <c r="W7" s="6" t="n">
        <v>52.7</v>
      </c>
      <c r="X7" s="6" t="n">
        <v>58.2</v>
      </c>
      <c r="Y7" s="6" t="n">
        <v>62.3</v>
      </c>
    </row>
    <row r="8">
      <c r="A8" s="2" t="inlineStr">
        <is>
          <t>AMS AFTER gap filling (mm)  -  yellow = added or changed by gap filling</t>
        </is>
      </c>
      <c r="M8" s="6" t="inlineStr">
        <is>
          <t>30min</t>
        </is>
      </c>
      <c r="N8" s="6" t="n">
        <v>15.7</v>
      </c>
      <c r="O8" s="6" t="n">
        <v>24.8</v>
      </c>
      <c r="P8" s="6" t="n">
        <v>31.1</v>
      </c>
      <c r="Q8" s="6" t="n">
        <v>39.5</v>
      </c>
      <c r="R8" s="6" t="n">
        <v>45.9</v>
      </c>
      <c r="S8" s="6" t="n">
        <v>52.6</v>
      </c>
      <c r="T8" s="6" t="n">
        <v>59.5</v>
      </c>
      <c r="U8" s="6" t="n">
        <v>69</v>
      </c>
      <c r="V8" s="6" t="n">
        <v>76.5</v>
      </c>
      <c r="W8" s="6" t="n">
        <v>84.3</v>
      </c>
      <c r="X8" s="6" t="n">
        <v>95</v>
      </c>
      <c r="Y8" s="6" t="n">
        <v>103.5</v>
      </c>
    </row>
    <row r="9">
      <c r="A9" s="4" t="inlineStr">
        <is>
          <t>Water year</t>
        </is>
      </c>
      <c r="B9" s="5" t="inlineStr">
        <is>
          <t>5min</t>
        </is>
      </c>
      <c r="C9" s="5" t="inlineStr">
        <is>
          <t>10min</t>
        </is>
      </c>
      <c r="D9" s="5" t="inlineStr">
        <is>
          <t>15min</t>
        </is>
      </c>
      <c r="E9" s="5" t="inlineStr">
        <is>
          <t>30min</t>
        </is>
      </c>
      <c r="F9" s="5" t="inlineStr">
        <is>
          <t>1h</t>
        </is>
      </c>
      <c r="G9" s="5" t="inlineStr">
        <is>
          <t>2h</t>
        </is>
      </c>
      <c r="H9" s="5" t="inlineStr">
        <is>
          <t>3h</t>
        </is>
      </c>
      <c r="I9" s="5" t="inlineStr">
        <is>
          <t>6h</t>
        </is>
      </c>
      <c r="J9" s="5" t="inlineStr">
        <is>
          <t>12h</t>
        </is>
      </c>
      <c r="K9" s="5" t="inlineStr">
        <is>
          <t>24h</t>
        </is>
      </c>
      <c r="M9" s="6" t="inlineStr">
        <is>
          <t>1h</t>
        </is>
      </c>
      <c r="N9" s="6" t="n">
        <v>19.4</v>
      </c>
      <c r="O9" s="6" t="n">
        <v>31.1</v>
      </c>
      <c r="P9" s="6" t="n">
        <v>39.6</v>
      </c>
      <c r="Q9" s="6" t="n">
        <v>51.3</v>
      </c>
      <c r="R9" s="6" t="n">
        <v>60.7</v>
      </c>
      <c r="S9" s="6" t="n">
        <v>70.8</v>
      </c>
      <c r="T9" s="6" t="n">
        <v>81.5</v>
      </c>
      <c r="U9" s="6" t="n">
        <v>96.90000000000001</v>
      </c>
      <c r="V9" s="6" t="n">
        <v>109.5</v>
      </c>
      <c r="W9" s="6" t="n">
        <v>123.1</v>
      </c>
      <c r="X9" s="6" t="n">
        <v>142.5</v>
      </c>
      <c r="Y9" s="6" t="n">
        <v>158.4</v>
      </c>
    </row>
    <row r="10">
      <c r="A10" s="6" t="n">
        <v>2019</v>
      </c>
      <c r="B10" s="7" t="n">
        <v>13.4</v>
      </c>
      <c r="C10" s="7" t="n">
        <v>26.6</v>
      </c>
      <c r="D10" s="7" t="n">
        <v>33.2</v>
      </c>
      <c r="E10" s="7" t="n">
        <v>37.6</v>
      </c>
      <c r="F10" s="7" t="n">
        <v>38.4</v>
      </c>
      <c r="G10" s="7" t="n">
        <v>38.5</v>
      </c>
      <c r="H10" s="7" t="n">
        <v>39</v>
      </c>
      <c r="I10" s="7" t="n">
        <v>40.8</v>
      </c>
      <c r="J10" s="7" t="n">
        <v>41.1</v>
      </c>
      <c r="K10" s="7" t="n">
        <v>45.8</v>
      </c>
      <c r="M10" s="6" t="inlineStr">
        <is>
          <t>2h</t>
        </is>
      </c>
      <c r="N10" s="6" t="n">
        <v>22.5</v>
      </c>
      <c r="O10" s="6" t="n">
        <v>36.9</v>
      </c>
      <c r="P10" s="6" t="n">
        <v>48</v>
      </c>
      <c r="Q10" s="6" t="n">
        <v>64</v>
      </c>
      <c r="R10" s="6" t="n">
        <v>77.5</v>
      </c>
      <c r="S10" s="6" t="n">
        <v>92.40000000000001</v>
      </c>
      <c r="T10" s="6" t="n">
        <v>109</v>
      </c>
      <c r="U10" s="6" t="n">
        <v>134</v>
      </c>
      <c r="V10" s="6" t="n">
        <v>155.4</v>
      </c>
      <c r="W10" s="6" t="n">
        <v>179.2</v>
      </c>
      <c r="X10" s="6" t="n">
        <v>215</v>
      </c>
      <c r="Y10" s="6" t="n">
        <v>245.7</v>
      </c>
    </row>
    <row r="11">
      <c r="M11" s="6" t="inlineStr">
        <is>
          <t>3h</t>
        </is>
      </c>
      <c r="N11" s="6" t="n">
        <v>24.2</v>
      </c>
      <c r="O11" s="6" t="n">
        <v>40.2</v>
      </c>
      <c r="P11" s="6" t="n">
        <v>52.9</v>
      </c>
      <c r="Q11" s="6" t="n">
        <v>71.7</v>
      </c>
      <c r="R11" s="6" t="n">
        <v>88</v>
      </c>
      <c r="S11" s="6" t="n">
        <v>106.5</v>
      </c>
      <c r="T11" s="6" t="n">
        <v>127.6</v>
      </c>
      <c r="U11" s="6" t="n">
        <v>160</v>
      </c>
      <c r="V11" s="6" t="n">
        <v>188.6</v>
      </c>
      <c r="W11" s="6" t="n">
        <v>221.1</v>
      </c>
      <c r="X11" s="6" t="n">
        <v>271.4</v>
      </c>
      <c r="Y11" s="6" t="n">
        <v>315.7</v>
      </c>
    </row>
    <row r="12">
      <c r="M12" s="6" t="inlineStr">
        <is>
          <t>6h</t>
        </is>
      </c>
      <c r="N12" s="6" t="n">
        <v>27.4</v>
      </c>
      <c r="O12" s="6" t="n">
        <v>47.2</v>
      </c>
      <c r="P12" s="6" t="n">
        <v>63.4</v>
      </c>
      <c r="Q12" s="6" t="n">
        <v>88.3</v>
      </c>
      <c r="R12" s="6" t="n">
        <v>110.5</v>
      </c>
      <c r="S12" s="6" t="n">
        <v>136.5</v>
      </c>
      <c r="T12" s="6" t="n">
        <v>166.8</v>
      </c>
      <c r="U12" s="6" t="n">
        <v>214.8</v>
      </c>
      <c r="V12" s="6" t="n">
        <v>258.5</v>
      </c>
      <c r="W12" s="6" t="n">
        <v>309.6</v>
      </c>
      <c r="X12" s="6" t="n">
        <v>390.9</v>
      </c>
      <c r="Y12" s="6" t="n">
        <v>464.7</v>
      </c>
    </row>
    <row r="13">
      <c r="M13" s="6" t="inlineStr">
        <is>
          <t>12h</t>
        </is>
      </c>
      <c r="N13" s="6" t="n">
        <v>30.3</v>
      </c>
      <c r="O13" s="6" t="n">
        <v>54.8</v>
      </c>
      <c r="P13" s="6" t="n">
        <v>76.3</v>
      </c>
      <c r="Q13" s="6" t="n">
        <v>111.4</v>
      </c>
      <c r="R13" s="6" t="n">
        <v>144.6</v>
      </c>
      <c r="S13" s="6" t="n">
        <v>185.4</v>
      </c>
      <c r="T13" s="6" t="n">
        <v>235.4</v>
      </c>
      <c r="U13" s="6" t="n">
        <v>319.5</v>
      </c>
      <c r="V13" s="6" t="n">
        <v>400.3</v>
      </c>
      <c r="W13" s="6" t="n">
        <v>499.8</v>
      </c>
      <c r="X13" s="6" t="n">
        <v>667.3</v>
      </c>
      <c r="Y13" s="6" t="n">
        <v>828.4</v>
      </c>
    </row>
    <row r="14">
      <c r="M14" s="6" t="inlineStr">
        <is>
          <t>24h</t>
        </is>
      </c>
      <c r="N14" s="6" t="n">
        <v>35.7</v>
      </c>
      <c r="O14" s="6" t="n">
        <v>65.5</v>
      </c>
      <c r="P14" s="6" t="n">
        <v>90.90000000000001</v>
      </c>
      <c r="Q14" s="6" t="n">
        <v>131.6</v>
      </c>
      <c r="R14" s="6" t="n">
        <v>169.4</v>
      </c>
      <c r="S14" s="6" t="n">
        <v>215</v>
      </c>
      <c r="T14" s="6" t="n">
        <v>269.9</v>
      </c>
      <c r="U14" s="6" t="n">
        <v>360.5</v>
      </c>
      <c r="V14" s="6" t="n">
        <v>445.8</v>
      </c>
      <c r="W14" s="6" t="n">
        <v>549</v>
      </c>
      <c r="X14" s="6" t="n">
        <v>719.4</v>
      </c>
      <c r="Y14" s="6" t="n">
        <v>880.1</v>
      </c>
    </row>
    <row r="16">
      <c r="M16" s="3" t="inlineStr">
        <is>
          <t>IDF - intensity (mm/hr) [x=duration(min)]</t>
        </is>
      </c>
    </row>
    <row r="17">
      <c r="M17" t="inlineStr">
        <is>
          <t>Duration(min)</t>
        </is>
      </c>
      <c r="N17" t="inlineStr">
        <is>
          <t>2 yr</t>
        </is>
      </c>
      <c r="O17" t="inlineStr">
        <is>
          <t>5 yr</t>
        </is>
      </c>
      <c r="P17" t="inlineStr">
        <is>
          <t>10 yr</t>
        </is>
      </c>
      <c r="Q17" t="inlineStr">
        <is>
          <t>25 yr</t>
        </is>
      </c>
      <c r="R17" t="inlineStr">
        <is>
          <t>50 yr</t>
        </is>
      </c>
      <c r="S17" t="inlineStr">
        <is>
          <t>100 yr</t>
        </is>
      </c>
      <c r="T17" t="inlineStr">
        <is>
          <t>200 yr</t>
        </is>
      </c>
      <c r="U17" t="inlineStr">
        <is>
          <t>500 yr</t>
        </is>
      </c>
      <c r="V17" t="inlineStr">
        <is>
          <t>1000 yr</t>
        </is>
      </c>
      <c r="W17" t="inlineStr">
        <is>
          <t>2000 yr</t>
        </is>
      </c>
      <c r="X17" t="inlineStr">
        <is>
          <t>5000 yr</t>
        </is>
      </c>
      <c r="Y17" t="inlineStr">
        <is>
          <t>10000 yr</t>
        </is>
      </c>
    </row>
    <row r="18">
      <c r="M18" t="n">
        <v>5</v>
      </c>
      <c r="N18" t="n">
        <v>66.8</v>
      </c>
      <c r="O18" t="n">
        <v>101.4</v>
      </c>
      <c r="P18" t="n">
        <v>123.9</v>
      </c>
      <c r="Q18" t="n">
        <v>151.6</v>
      </c>
      <c r="R18" t="n">
        <v>171.8</v>
      </c>
      <c r="S18" t="n">
        <v>191.6</v>
      </c>
      <c r="T18" t="n">
        <v>210.9</v>
      </c>
      <c r="U18" t="n">
        <v>235.9</v>
      </c>
      <c r="V18" t="n">
        <v>254.5</v>
      </c>
      <c r="W18" t="n">
        <v>272.8</v>
      </c>
      <c r="X18" t="n">
        <v>296.4</v>
      </c>
      <c r="Y18" t="n">
        <v>314</v>
      </c>
    </row>
    <row r="19">
      <c r="M19" t="n">
        <v>10</v>
      </c>
      <c r="N19" t="n">
        <v>55.3</v>
      </c>
      <c r="O19" t="n">
        <v>83.8</v>
      </c>
      <c r="P19" t="n">
        <v>102.3</v>
      </c>
      <c r="Q19" t="n">
        <v>125.2</v>
      </c>
      <c r="R19" t="n">
        <v>142</v>
      </c>
      <c r="S19" t="n">
        <v>158.3</v>
      </c>
      <c r="T19" t="n">
        <v>174.4</v>
      </c>
      <c r="U19" t="n">
        <v>195.3</v>
      </c>
      <c r="V19" t="n">
        <v>210.9</v>
      </c>
      <c r="W19" t="n">
        <v>226.2</v>
      </c>
      <c r="X19" t="n">
        <v>246.1</v>
      </c>
      <c r="Y19" t="n">
        <v>260.9</v>
      </c>
    </row>
    <row r="20">
      <c r="M20" t="n">
        <v>15</v>
      </c>
      <c r="N20" t="n">
        <v>46.2</v>
      </c>
      <c r="O20" t="n">
        <v>71.2</v>
      </c>
      <c r="P20" t="n">
        <v>87.8</v>
      </c>
      <c r="Q20" t="n">
        <v>109.1</v>
      </c>
      <c r="R20" t="n">
        <v>125</v>
      </c>
      <c r="S20" t="n">
        <v>141</v>
      </c>
      <c r="T20" t="n">
        <v>156.9</v>
      </c>
      <c r="U20" t="n">
        <v>178.2</v>
      </c>
      <c r="V20" t="n">
        <v>194.5</v>
      </c>
      <c r="W20" t="n">
        <v>210.8</v>
      </c>
      <c r="X20" t="n">
        <v>232.6</v>
      </c>
      <c r="Y20" t="n">
        <v>249.3</v>
      </c>
    </row>
    <row r="21">
      <c r="M21" t="n">
        <v>30</v>
      </c>
      <c r="N21" t="n">
        <v>31.5</v>
      </c>
      <c r="O21" t="n">
        <v>49.6</v>
      </c>
      <c r="P21" t="n">
        <v>62.2</v>
      </c>
      <c r="Q21" t="n">
        <v>78.90000000000001</v>
      </c>
      <c r="R21" t="n">
        <v>91.90000000000001</v>
      </c>
      <c r="S21" t="n">
        <v>105.2</v>
      </c>
      <c r="T21" t="n">
        <v>119</v>
      </c>
      <c r="U21" t="n">
        <v>138</v>
      </c>
      <c r="V21" t="n">
        <v>153</v>
      </c>
      <c r="W21" t="n">
        <v>168.5</v>
      </c>
      <c r="X21" t="n">
        <v>190</v>
      </c>
      <c r="Y21" t="n">
        <v>206.9</v>
      </c>
    </row>
    <row r="22">
      <c r="M22" t="n">
        <v>60</v>
      </c>
      <c r="N22" t="n">
        <v>19.4</v>
      </c>
      <c r="O22" t="n">
        <v>31.1</v>
      </c>
      <c r="P22" t="n">
        <v>39.6</v>
      </c>
      <c r="Q22" t="n">
        <v>51.3</v>
      </c>
      <c r="R22" t="n">
        <v>60.7</v>
      </c>
      <c r="S22" t="n">
        <v>70.8</v>
      </c>
      <c r="T22" t="n">
        <v>81.5</v>
      </c>
      <c r="U22" t="n">
        <v>96.90000000000001</v>
      </c>
      <c r="V22" t="n">
        <v>109.5</v>
      </c>
      <c r="W22" t="n">
        <v>123.1</v>
      </c>
      <c r="X22" t="n">
        <v>142.5</v>
      </c>
      <c r="Y22" t="n">
        <v>158.4</v>
      </c>
    </row>
    <row r="23">
      <c r="M23" t="n">
        <v>120</v>
      </c>
      <c r="N23" t="n">
        <v>11.3</v>
      </c>
      <c r="O23" t="n">
        <v>18.5</v>
      </c>
      <c r="P23" t="n">
        <v>24</v>
      </c>
      <c r="Q23" t="n">
        <v>32</v>
      </c>
      <c r="R23" t="n">
        <v>38.7</v>
      </c>
      <c r="S23" t="n">
        <v>46.2</v>
      </c>
      <c r="T23" t="n">
        <v>54.5</v>
      </c>
      <c r="U23" t="n">
        <v>67</v>
      </c>
      <c r="V23" t="n">
        <v>77.7</v>
      </c>
      <c r="W23" t="n">
        <v>89.59999999999999</v>
      </c>
      <c r="X23" t="n">
        <v>107.5</v>
      </c>
      <c r="Y23" t="n">
        <v>122.9</v>
      </c>
    </row>
    <row r="24">
      <c r="M24" t="n">
        <v>180</v>
      </c>
      <c r="N24" t="n">
        <v>8.1</v>
      </c>
      <c r="O24" t="n">
        <v>13.4</v>
      </c>
      <c r="P24" t="n">
        <v>17.6</v>
      </c>
      <c r="Q24" t="n">
        <v>23.9</v>
      </c>
      <c r="R24" t="n">
        <v>29.3</v>
      </c>
      <c r="S24" t="n">
        <v>35.5</v>
      </c>
      <c r="T24" t="n">
        <v>42.5</v>
      </c>
      <c r="U24" t="n">
        <v>53.3</v>
      </c>
      <c r="V24" t="n">
        <v>62.9</v>
      </c>
      <c r="W24" t="n">
        <v>73.7</v>
      </c>
      <c r="X24" t="n">
        <v>90.5</v>
      </c>
      <c r="Y24" t="n">
        <v>105.2</v>
      </c>
    </row>
    <row r="25">
      <c r="M25" t="n">
        <v>360</v>
      </c>
      <c r="N25" t="n">
        <v>4.6</v>
      </c>
      <c r="O25" t="n">
        <v>7.9</v>
      </c>
      <c r="P25" t="n">
        <v>10.6</v>
      </c>
      <c r="Q25" t="n">
        <v>14.7</v>
      </c>
      <c r="R25" t="n">
        <v>18.4</v>
      </c>
      <c r="S25" t="n">
        <v>22.7</v>
      </c>
      <c r="T25" t="n">
        <v>27.8</v>
      </c>
      <c r="U25" t="n">
        <v>35.8</v>
      </c>
      <c r="V25" t="n">
        <v>43.1</v>
      </c>
      <c r="W25" t="n">
        <v>51.6</v>
      </c>
      <c r="X25" t="n">
        <v>65.09999999999999</v>
      </c>
      <c r="Y25" t="n">
        <v>77.40000000000001</v>
      </c>
    </row>
    <row r="26">
      <c r="M26" t="n">
        <v>720</v>
      </c>
      <c r="N26" t="n">
        <v>2.5</v>
      </c>
      <c r="O26" t="n">
        <v>4.6</v>
      </c>
      <c r="P26" t="n">
        <v>6.4</v>
      </c>
      <c r="Q26" t="n">
        <v>9.300000000000001</v>
      </c>
      <c r="R26" t="n">
        <v>12.1</v>
      </c>
      <c r="S26" t="n">
        <v>15.4</v>
      </c>
      <c r="T26" t="n">
        <v>19.6</v>
      </c>
      <c r="U26" t="n">
        <v>26.6</v>
      </c>
      <c r="V26" t="n">
        <v>33.4</v>
      </c>
      <c r="W26" t="n">
        <v>41.6</v>
      </c>
      <c r="X26" t="n">
        <v>55.6</v>
      </c>
      <c r="Y26" t="n">
        <v>69</v>
      </c>
    </row>
    <row r="27">
      <c r="M27" t="n">
        <v>1440</v>
      </c>
      <c r="N27" t="n">
        <v>1.5</v>
      </c>
      <c r="O27" t="n">
        <v>2.7</v>
      </c>
      <c r="P27" t="n">
        <v>3.8</v>
      </c>
      <c r="Q27" t="n">
        <v>5.5</v>
      </c>
      <c r="R27" t="n">
        <v>7.1</v>
      </c>
      <c r="S27" t="n">
        <v>9</v>
      </c>
      <c r="T27" t="n">
        <v>11.2</v>
      </c>
      <c r="U27" t="n">
        <v>15</v>
      </c>
      <c r="V27" t="n">
        <v>18.6</v>
      </c>
      <c r="W27" t="n">
        <v>22.9</v>
      </c>
      <c r="X27" t="n">
        <v>30</v>
      </c>
      <c r="Y27" t="n">
        <v>36.7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Y60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</cols>
  <sheetData>
    <row r="1">
      <c r="A1" s="1" t="inlineStr">
        <is>
          <t>Gauge 68  |  FL942459AF  |  JABAL ASFAR</t>
        </is>
      </c>
    </row>
    <row r="3">
      <c r="A3" s="2" t="inlineStr">
        <is>
          <t>AMS BEFORE gap filling (observed only, mm)</t>
        </is>
      </c>
      <c r="M3" s="3" t="inlineStr">
        <is>
          <t>IDF - design rainfall DEPTH (mm)</t>
        </is>
      </c>
    </row>
    <row r="4">
      <c r="A4" s="4" t="inlineStr">
        <is>
          <t>Water year</t>
        </is>
      </c>
      <c r="B4" s="5" t="inlineStr">
        <is>
          <t>5min</t>
        </is>
      </c>
      <c r="C4" s="5" t="inlineStr">
        <is>
          <t>10min</t>
        </is>
      </c>
      <c r="D4" s="5" t="inlineStr">
        <is>
          <t>15min</t>
        </is>
      </c>
      <c r="E4" s="5" t="inlineStr">
        <is>
          <t>30min</t>
        </is>
      </c>
      <c r="F4" s="5" t="inlineStr">
        <is>
          <t>1h</t>
        </is>
      </c>
      <c r="G4" s="5" t="inlineStr">
        <is>
          <t>2h</t>
        </is>
      </c>
      <c r="H4" s="5" t="inlineStr">
        <is>
          <t>3h</t>
        </is>
      </c>
      <c r="I4" s="5" t="inlineStr">
        <is>
          <t>6h</t>
        </is>
      </c>
      <c r="J4" s="5" t="inlineStr">
        <is>
          <t>12h</t>
        </is>
      </c>
      <c r="K4" s="5" t="inlineStr">
        <is>
          <t>24h</t>
        </is>
      </c>
      <c r="M4" s="4" t="inlineStr">
        <is>
          <t>Duration \ RP</t>
        </is>
      </c>
      <c r="N4" s="4" t="n">
        <v>2</v>
      </c>
      <c r="O4" s="4" t="n">
        <v>5</v>
      </c>
      <c r="P4" s="4" t="n">
        <v>10</v>
      </c>
      <c r="Q4" s="4" t="n">
        <v>25</v>
      </c>
      <c r="R4" s="4" t="n">
        <v>50</v>
      </c>
      <c r="S4" s="4" t="n">
        <v>100</v>
      </c>
      <c r="T4" s="4" t="n">
        <v>200</v>
      </c>
      <c r="U4" s="4" t="n">
        <v>500</v>
      </c>
      <c r="V4" s="4" t="n">
        <v>1000</v>
      </c>
      <c r="W4" s="4" t="n">
        <v>2000</v>
      </c>
      <c r="X4" s="4" t="n">
        <v>5000</v>
      </c>
      <c r="Y4" s="4" t="n">
        <v>10000</v>
      </c>
    </row>
    <row r="5">
      <c r="A5" s="6" t="n">
        <v>1994</v>
      </c>
      <c r="B5" s="7" t="n">
        <v>5.8</v>
      </c>
      <c r="C5" s="7" t="n">
        <v>10.8</v>
      </c>
      <c r="D5" s="7" t="n">
        <v>14</v>
      </c>
      <c r="E5" s="7" t="n">
        <v>16.7</v>
      </c>
      <c r="F5" s="7" t="n">
        <v>17.3</v>
      </c>
      <c r="G5" s="7" t="n">
        <v>19.6</v>
      </c>
      <c r="H5" s="7" t="n">
        <v>19.8</v>
      </c>
      <c r="I5" s="7" t="n">
        <v>19.8</v>
      </c>
      <c r="J5" s="7" t="n">
        <v>20.6</v>
      </c>
      <c r="K5" s="7" t="n">
        <v>21.5</v>
      </c>
      <c r="M5" s="6" t="inlineStr">
        <is>
          <t>5min</t>
        </is>
      </c>
      <c r="N5" s="6" t="n">
        <v>5.6</v>
      </c>
      <c r="O5" s="6" t="n">
        <v>8.4</v>
      </c>
      <c r="P5" s="6" t="n">
        <v>10.1</v>
      </c>
      <c r="Q5" s="6" t="n">
        <v>12.3</v>
      </c>
      <c r="R5" s="6" t="n">
        <v>13.8</v>
      </c>
      <c r="S5" s="6" t="n">
        <v>15.3</v>
      </c>
      <c r="T5" s="6" t="n">
        <v>16.7</v>
      </c>
      <c r="U5" s="6" t="n">
        <v>18.5</v>
      </c>
      <c r="V5" s="6" t="n">
        <v>19.8</v>
      </c>
      <c r="W5" s="6" t="n">
        <v>21.1</v>
      </c>
      <c r="X5" s="6" t="n">
        <v>22.7</v>
      </c>
      <c r="Y5" s="6" t="n">
        <v>23.9</v>
      </c>
    </row>
    <row r="6">
      <c r="A6" s="6" t="n">
        <v>1995</v>
      </c>
      <c r="B6" s="7" t="n">
        <v>8</v>
      </c>
      <c r="C6" s="7" t="n">
        <v>11.6</v>
      </c>
      <c r="D6" s="7" t="n">
        <v>14.6</v>
      </c>
      <c r="E6" s="7" t="n">
        <v>16</v>
      </c>
      <c r="F6" s="7" t="n">
        <v>22.2</v>
      </c>
      <c r="G6" s="7" t="n">
        <v>30.2</v>
      </c>
      <c r="H6" s="7" t="n">
        <v>38.2</v>
      </c>
      <c r="I6" s="7" t="n">
        <v>48.7</v>
      </c>
      <c r="J6" s="7" t="n">
        <v>64.40000000000001</v>
      </c>
      <c r="K6" s="7" t="n">
        <v>114.4</v>
      </c>
      <c r="M6" s="6" t="inlineStr">
        <is>
          <t>10min</t>
        </is>
      </c>
      <c r="N6" s="6" t="n">
        <v>9.199999999999999</v>
      </c>
      <c r="O6" s="6" t="n">
        <v>13.8</v>
      </c>
      <c r="P6" s="6" t="n">
        <v>16.8</v>
      </c>
      <c r="Q6" s="6" t="n">
        <v>20.5</v>
      </c>
      <c r="R6" s="6" t="n">
        <v>23.1</v>
      </c>
      <c r="S6" s="6" t="n">
        <v>25.6</v>
      </c>
      <c r="T6" s="6" t="n">
        <v>28.1</v>
      </c>
      <c r="U6" s="6" t="n">
        <v>31.3</v>
      </c>
      <c r="V6" s="6" t="n">
        <v>33.6</v>
      </c>
      <c r="W6" s="6" t="n">
        <v>35.9</v>
      </c>
      <c r="X6" s="6" t="n">
        <v>38.8</v>
      </c>
      <c r="Y6" s="6" t="n">
        <v>41</v>
      </c>
    </row>
    <row r="7">
      <c r="A7" s="6" t="n">
        <v>1996</v>
      </c>
      <c r="B7" s="7" t="n">
        <v>11.4</v>
      </c>
      <c r="C7" s="7" t="n">
        <v>18.8</v>
      </c>
      <c r="D7" s="7" t="n">
        <v>24.6</v>
      </c>
      <c r="E7" s="7" t="n">
        <v>33.8</v>
      </c>
      <c r="F7" s="7" t="n">
        <v>43</v>
      </c>
      <c r="G7" s="7" t="n">
        <v>75.2</v>
      </c>
      <c r="H7" s="7" t="n">
        <v>84.40000000000001</v>
      </c>
      <c r="I7" s="7" t="n">
        <v>150.6</v>
      </c>
      <c r="J7" s="7" t="n">
        <v>198.7</v>
      </c>
      <c r="K7" s="7" t="n">
        <v>212.1</v>
      </c>
      <c r="M7" s="6" t="inlineStr">
        <is>
          <t>15min</t>
        </is>
      </c>
      <c r="N7" s="6" t="n">
        <v>11.5</v>
      </c>
      <c r="O7" s="6" t="n">
        <v>17.6</v>
      </c>
      <c r="P7" s="6" t="n">
        <v>21.7</v>
      </c>
      <c r="Q7" s="6" t="n">
        <v>26.9</v>
      </c>
      <c r="R7" s="6" t="n">
        <v>30.7</v>
      </c>
      <c r="S7" s="6" t="n">
        <v>34.5</v>
      </c>
      <c r="T7" s="6" t="n">
        <v>38.4</v>
      </c>
      <c r="U7" s="6" t="n">
        <v>43.4</v>
      </c>
      <c r="V7" s="6" t="n">
        <v>47.2</v>
      </c>
      <c r="W7" s="6" t="n">
        <v>51.1</v>
      </c>
      <c r="X7" s="6" t="n">
        <v>56.2</v>
      </c>
      <c r="Y7" s="6" t="n">
        <v>60.1</v>
      </c>
    </row>
    <row r="8">
      <c r="A8" s="6" t="n">
        <v>1997</v>
      </c>
      <c r="B8" s="7" t="n">
        <v>9</v>
      </c>
      <c r="C8" s="7" t="n">
        <v>15.8</v>
      </c>
      <c r="D8" s="7" t="n">
        <v>18</v>
      </c>
      <c r="E8" s="7" t="n">
        <v>26.4</v>
      </c>
      <c r="F8" s="7" t="n">
        <v>38</v>
      </c>
      <c r="G8" s="7" t="n">
        <v>40.4</v>
      </c>
      <c r="H8" s="7" t="n">
        <v>43.1</v>
      </c>
      <c r="I8" s="7" t="n">
        <v>77.5</v>
      </c>
      <c r="J8" s="7" t="n">
        <v>86.59999999999999</v>
      </c>
      <c r="K8" s="7" t="n">
        <v>111.8</v>
      </c>
      <c r="M8" s="6" t="inlineStr">
        <is>
          <t>30min</t>
        </is>
      </c>
      <c r="N8" s="6" t="n">
        <v>15.6</v>
      </c>
      <c r="O8" s="6" t="n">
        <v>24.6</v>
      </c>
      <c r="P8" s="6" t="n">
        <v>30.9</v>
      </c>
      <c r="Q8" s="6" t="n">
        <v>39.1</v>
      </c>
      <c r="R8" s="6" t="n">
        <v>45.5</v>
      </c>
      <c r="S8" s="6" t="n">
        <v>52.1</v>
      </c>
      <c r="T8" s="6" t="n">
        <v>58.9</v>
      </c>
      <c r="U8" s="6" t="n">
        <v>68.3</v>
      </c>
      <c r="V8" s="6" t="n">
        <v>75.7</v>
      </c>
      <c r="W8" s="6" t="n">
        <v>83.40000000000001</v>
      </c>
      <c r="X8" s="6" t="n">
        <v>94</v>
      </c>
      <c r="Y8" s="6" t="n">
        <v>102.3</v>
      </c>
    </row>
    <row r="9">
      <c r="A9" s="6" t="n">
        <v>1998</v>
      </c>
      <c r="B9" s="7" t="n">
        <v>9.199999999999999</v>
      </c>
      <c r="C9" s="7" t="n">
        <v>15.4</v>
      </c>
      <c r="D9" s="7" t="n">
        <v>20</v>
      </c>
      <c r="E9" s="7" t="n">
        <v>30.6</v>
      </c>
      <c r="F9" s="7" t="n">
        <v>41.2</v>
      </c>
      <c r="G9" s="7" t="n">
        <v>60.4</v>
      </c>
      <c r="H9" s="7" t="n">
        <v>66.8</v>
      </c>
      <c r="I9" s="7" t="n">
        <v>67.3</v>
      </c>
      <c r="J9" s="7" t="n">
        <v>67.5</v>
      </c>
      <c r="K9" s="7" t="n">
        <v>67.7</v>
      </c>
      <c r="M9" s="6" t="inlineStr">
        <is>
          <t>1h</t>
        </is>
      </c>
      <c r="N9" s="6" t="n">
        <v>19.3</v>
      </c>
      <c r="O9" s="6" t="n">
        <v>30.9</v>
      </c>
      <c r="P9" s="6" t="n">
        <v>39.4</v>
      </c>
      <c r="Q9" s="6" t="n">
        <v>51.1</v>
      </c>
      <c r="R9" s="6" t="n">
        <v>60.7</v>
      </c>
      <c r="S9" s="6" t="n">
        <v>70.90000000000001</v>
      </c>
      <c r="T9" s="6" t="n">
        <v>81.90000000000001</v>
      </c>
      <c r="U9" s="6" t="n">
        <v>97.7</v>
      </c>
      <c r="V9" s="6" t="n">
        <v>110.7</v>
      </c>
      <c r="W9" s="6" t="n">
        <v>124.7</v>
      </c>
      <c r="X9" s="6" t="n">
        <v>144.9</v>
      </c>
      <c r="Y9" s="6" t="n">
        <v>161.6</v>
      </c>
    </row>
    <row r="10">
      <c r="A10" s="6" t="n">
        <v>1999</v>
      </c>
      <c r="B10" s="7" t="n">
        <v>2.6</v>
      </c>
      <c r="C10" s="7" t="n">
        <v>4</v>
      </c>
      <c r="D10" s="7" t="n">
        <v>5.4</v>
      </c>
      <c r="E10" s="7" t="n">
        <v>6.6</v>
      </c>
      <c r="F10" s="7" t="n">
        <v>10.4</v>
      </c>
      <c r="G10" s="7" t="n">
        <v>14.6</v>
      </c>
      <c r="H10" s="7" t="n">
        <v>17.8</v>
      </c>
      <c r="I10" s="7" t="n">
        <v>28.3</v>
      </c>
      <c r="J10" s="7" t="n">
        <v>39.7</v>
      </c>
      <c r="K10" s="7" t="n">
        <v>40.7</v>
      </c>
      <c r="M10" s="6" t="inlineStr">
        <is>
          <t>2h</t>
        </is>
      </c>
      <c r="N10" s="6" t="n">
        <v>22.5</v>
      </c>
      <c r="O10" s="6" t="n">
        <v>36.7</v>
      </c>
      <c r="P10" s="6" t="n">
        <v>47.6</v>
      </c>
      <c r="Q10" s="6" t="n">
        <v>63.3</v>
      </c>
      <c r="R10" s="6" t="n">
        <v>76.5</v>
      </c>
      <c r="S10" s="6" t="n">
        <v>91.2</v>
      </c>
      <c r="T10" s="6" t="n">
        <v>107.4</v>
      </c>
      <c r="U10" s="6" t="n">
        <v>131.7</v>
      </c>
      <c r="V10" s="6" t="n">
        <v>152.6</v>
      </c>
      <c r="W10" s="6" t="n">
        <v>175.7</v>
      </c>
      <c r="X10" s="6" t="n">
        <v>210.4</v>
      </c>
      <c r="Y10" s="6" t="n">
        <v>240.2</v>
      </c>
    </row>
    <row r="11">
      <c r="A11" s="6" t="n">
        <v>2000</v>
      </c>
      <c r="B11" s="7" t="n">
        <v>2.4</v>
      </c>
      <c r="C11" s="7" t="n">
        <v>3.2</v>
      </c>
      <c r="D11" s="7" t="n">
        <v>3.4</v>
      </c>
      <c r="E11" s="7" t="n">
        <v>6.2</v>
      </c>
      <c r="F11" s="7" t="n">
        <v>9.4</v>
      </c>
      <c r="G11" s="7" t="n">
        <v>9.4</v>
      </c>
      <c r="H11" s="7" t="n">
        <v>9.4</v>
      </c>
      <c r="I11" s="7" t="n">
        <v>9.4</v>
      </c>
      <c r="J11" s="7" t="n">
        <v>9.5</v>
      </c>
      <c r="K11" s="7" t="n">
        <v>10.4</v>
      </c>
      <c r="M11" s="6" t="inlineStr">
        <is>
          <t>3h</t>
        </is>
      </c>
      <c r="N11" s="6" t="n">
        <v>24.4</v>
      </c>
      <c r="O11" s="6" t="n">
        <v>40.2</v>
      </c>
      <c r="P11" s="6" t="n">
        <v>52.5</v>
      </c>
      <c r="Q11" s="6" t="n">
        <v>70.59999999999999</v>
      </c>
      <c r="R11" s="6" t="n">
        <v>86.09999999999999</v>
      </c>
      <c r="S11" s="6" t="n">
        <v>103.5</v>
      </c>
      <c r="T11" s="6" t="n">
        <v>123.1</v>
      </c>
      <c r="U11" s="6" t="n">
        <v>152.8</v>
      </c>
      <c r="V11" s="6" t="n">
        <v>178.7</v>
      </c>
      <c r="W11" s="6" t="n">
        <v>207.9</v>
      </c>
      <c r="X11" s="6" t="n">
        <v>252.3</v>
      </c>
      <c r="Y11" s="6" t="n">
        <v>291</v>
      </c>
    </row>
    <row r="12">
      <c r="A12" s="6" t="n">
        <v>2001</v>
      </c>
      <c r="B12" s="7" t="n">
        <v>4.6</v>
      </c>
      <c r="C12" s="7" t="n">
        <v>8</v>
      </c>
      <c r="D12" s="7" t="n">
        <v>11.4</v>
      </c>
      <c r="E12" s="7" t="n">
        <v>13.5</v>
      </c>
      <c r="F12" s="7" t="n">
        <v>14.1</v>
      </c>
      <c r="G12" s="7" t="n">
        <v>15.3</v>
      </c>
      <c r="H12" s="7" t="n">
        <v>16.4</v>
      </c>
      <c r="I12" s="7" t="n">
        <v>18.2</v>
      </c>
      <c r="J12" s="7" t="n">
        <v>18.3</v>
      </c>
      <c r="K12" s="7" t="n">
        <v>19.1</v>
      </c>
      <c r="M12" s="6" t="inlineStr">
        <is>
          <t>6h</t>
        </is>
      </c>
      <c r="N12" s="6" t="n">
        <v>27.7</v>
      </c>
      <c r="O12" s="6" t="n">
        <v>47.4</v>
      </c>
      <c r="P12" s="6" t="n">
        <v>63.3</v>
      </c>
      <c r="Q12" s="6" t="n">
        <v>87.40000000000001</v>
      </c>
      <c r="R12" s="6" t="n">
        <v>108.8</v>
      </c>
      <c r="S12" s="6" t="n">
        <v>133.4</v>
      </c>
      <c r="T12" s="6" t="n">
        <v>161.9</v>
      </c>
      <c r="U12" s="6" t="n">
        <v>206.5</v>
      </c>
      <c r="V12" s="6" t="n">
        <v>246.6</v>
      </c>
      <c r="W12" s="6" t="n">
        <v>293.1</v>
      </c>
      <c r="X12" s="6" t="n">
        <v>366</v>
      </c>
      <c r="Y12" s="6" t="n">
        <v>431.5</v>
      </c>
    </row>
    <row r="13">
      <c r="A13" s="6" t="n">
        <v>2002</v>
      </c>
      <c r="B13" s="7" t="n">
        <v>2.6</v>
      </c>
      <c r="C13" s="7" t="n">
        <v>4.2</v>
      </c>
      <c r="D13" s="7" t="n">
        <v>5.4</v>
      </c>
      <c r="E13" s="7" t="n">
        <v>6.6</v>
      </c>
      <c r="F13" s="7" t="n">
        <v>6.6</v>
      </c>
      <c r="G13" s="7" t="n">
        <v>6.6</v>
      </c>
      <c r="H13" s="7" t="n">
        <v>6.6</v>
      </c>
      <c r="I13" s="7" t="n">
        <v>6.7</v>
      </c>
      <c r="J13" s="7" t="n">
        <v>6.8</v>
      </c>
      <c r="K13" s="7" t="n">
        <v>7.2</v>
      </c>
      <c r="M13" s="6" t="inlineStr">
        <is>
          <t>12h</t>
        </is>
      </c>
      <c r="N13" s="6" t="n">
        <v>30.5</v>
      </c>
      <c r="O13" s="6" t="n">
        <v>55.1</v>
      </c>
      <c r="P13" s="6" t="n">
        <v>76.5</v>
      </c>
      <c r="Q13" s="6" t="n">
        <v>111.2</v>
      </c>
      <c r="R13" s="6" t="n">
        <v>144</v>
      </c>
      <c r="S13" s="6" t="n">
        <v>183.8</v>
      </c>
      <c r="T13" s="6" t="n">
        <v>232.5</v>
      </c>
      <c r="U13" s="6" t="n">
        <v>313.8</v>
      </c>
      <c r="V13" s="6" t="n">
        <v>391.4</v>
      </c>
      <c r="W13" s="6" t="n">
        <v>486.4</v>
      </c>
      <c r="X13" s="6" t="n">
        <v>645.3</v>
      </c>
      <c r="Y13" s="6" t="n">
        <v>797.2</v>
      </c>
    </row>
    <row r="14">
      <c r="A14" s="6" t="n">
        <v>2003</v>
      </c>
      <c r="B14" s="7" t="n">
        <v>2.2</v>
      </c>
      <c r="C14" s="7" t="n">
        <v>2.6</v>
      </c>
      <c r="D14" s="7" t="n">
        <v>3</v>
      </c>
      <c r="E14" s="7" t="n">
        <v>3.4</v>
      </c>
      <c r="F14" s="7" t="n">
        <v>3.5</v>
      </c>
      <c r="G14" s="7" t="n">
        <v>4.6</v>
      </c>
      <c r="H14" s="7" t="n">
        <v>4.6</v>
      </c>
      <c r="I14" s="7" t="n">
        <v>4.8</v>
      </c>
      <c r="J14" s="7" t="n">
        <v>5.7</v>
      </c>
      <c r="K14" s="7" t="n">
        <v>7.2</v>
      </c>
      <c r="M14" s="6" t="inlineStr">
        <is>
          <t>24h</t>
        </is>
      </c>
      <c r="N14" s="6" t="n">
        <v>35.8</v>
      </c>
      <c r="O14" s="6" t="n">
        <v>65.40000000000001</v>
      </c>
      <c r="P14" s="6" t="n">
        <v>90.5</v>
      </c>
      <c r="Q14" s="6" t="n">
        <v>130.3</v>
      </c>
      <c r="R14" s="6" t="n">
        <v>166.9</v>
      </c>
      <c r="S14" s="6" t="n">
        <v>210.8</v>
      </c>
      <c r="T14" s="6" t="n">
        <v>263.4</v>
      </c>
      <c r="U14" s="6" t="n">
        <v>349.4</v>
      </c>
      <c r="V14" s="6" t="n">
        <v>429.8</v>
      </c>
      <c r="W14" s="6" t="n">
        <v>526.3</v>
      </c>
      <c r="X14" s="6" t="n">
        <v>684.5</v>
      </c>
      <c r="Y14" s="6" t="n">
        <v>832.5</v>
      </c>
    </row>
    <row r="15">
      <c r="A15" s="6" t="n">
        <v>2004</v>
      </c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</row>
    <row r="16">
      <c r="A16" s="6" t="n">
        <v>2005</v>
      </c>
      <c r="B16" s="7" t="n"/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  <c r="M16" s="3" t="inlineStr">
        <is>
          <t>IDF - intensity (mm/hr) [x=duration(min)]</t>
        </is>
      </c>
    </row>
    <row r="17">
      <c r="A17" s="6" t="n">
        <v>2006</v>
      </c>
      <c r="B17" s="7" t="n">
        <v>5.2</v>
      </c>
      <c r="C17" s="7" t="n">
        <v>8</v>
      </c>
      <c r="D17" s="7" t="n">
        <v>12</v>
      </c>
      <c r="E17" s="7" t="n">
        <v>16.8</v>
      </c>
      <c r="F17" s="7" t="n">
        <v>17.3</v>
      </c>
      <c r="G17" s="7" t="n">
        <v>18.2</v>
      </c>
      <c r="H17" s="7" t="n">
        <v>18.5</v>
      </c>
      <c r="I17" s="7" t="n">
        <v>18.8</v>
      </c>
      <c r="J17" s="7" t="n">
        <v>19.5</v>
      </c>
      <c r="K17" s="7" t="n">
        <v>20.9</v>
      </c>
      <c r="M17" t="inlineStr">
        <is>
          <t>Duration(min)</t>
        </is>
      </c>
      <c r="N17" t="inlineStr">
        <is>
          <t>2 yr</t>
        </is>
      </c>
      <c r="O17" t="inlineStr">
        <is>
          <t>5 yr</t>
        </is>
      </c>
      <c r="P17" t="inlineStr">
        <is>
          <t>10 yr</t>
        </is>
      </c>
      <c r="Q17" t="inlineStr">
        <is>
          <t>25 yr</t>
        </is>
      </c>
      <c r="R17" t="inlineStr">
        <is>
          <t>50 yr</t>
        </is>
      </c>
      <c r="S17" t="inlineStr">
        <is>
          <t>100 yr</t>
        </is>
      </c>
      <c r="T17" t="inlineStr">
        <is>
          <t>200 yr</t>
        </is>
      </c>
      <c r="U17" t="inlineStr">
        <is>
          <t>500 yr</t>
        </is>
      </c>
      <c r="V17" t="inlineStr">
        <is>
          <t>1000 yr</t>
        </is>
      </c>
      <c r="W17" t="inlineStr">
        <is>
          <t>2000 yr</t>
        </is>
      </c>
      <c r="X17" t="inlineStr">
        <is>
          <t>5000 yr</t>
        </is>
      </c>
      <c r="Y17" t="inlineStr">
        <is>
          <t>10000 yr</t>
        </is>
      </c>
    </row>
    <row r="18">
      <c r="A18" s="6" t="n">
        <v>2007</v>
      </c>
      <c r="B18" s="7" t="n">
        <v>13.4</v>
      </c>
      <c r="C18" s="7" t="n">
        <v>25.4</v>
      </c>
      <c r="D18" s="7" t="n">
        <v>34</v>
      </c>
      <c r="E18" s="7" t="n">
        <v>61.2</v>
      </c>
      <c r="F18" s="7" t="n">
        <v>102.8</v>
      </c>
      <c r="G18" s="7" t="n">
        <v>181.2</v>
      </c>
      <c r="H18" s="7" t="n">
        <v>249.6</v>
      </c>
      <c r="I18" s="7" t="n">
        <v>459.2</v>
      </c>
      <c r="J18" s="7" t="n">
        <v>688</v>
      </c>
      <c r="K18" s="7" t="n">
        <v>878.6</v>
      </c>
      <c r="M18" t="n">
        <v>5</v>
      </c>
      <c r="N18" t="n">
        <v>66.90000000000001</v>
      </c>
      <c r="O18" t="n">
        <v>100.5</v>
      </c>
      <c r="P18" t="n">
        <v>121.7</v>
      </c>
      <c r="Q18" t="n">
        <v>147.5</v>
      </c>
      <c r="R18" t="n">
        <v>165.9</v>
      </c>
      <c r="S18" t="n">
        <v>183.6</v>
      </c>
      <c r="T18" t="n">
        <v>200.6</v>
      </c>
      <c r="U18" t="n">
        <v>222.2</v>
      </c>
      <c r="V18" t="n">
        <v>238</v>
      </c>
      <c r="W18" t="n">
        <v>253.2</v>
      </c>
      <c r="X18" t="n">
        <v>272.5</v>
      </c>
      <c r="Y18" t="n">
        <v>286.6</v>
      </c>
    </row>
    <row r="19">
      <c r="A19" s="6" t="n">
        <v>2008</v>
      </c>
      <c r="B19" s="7" t="n">
        <v>1.8</v>
      </c>
      <c r="C19" s="7" t="n">
        <v>2.6</v>
      </c>
      <c r="D19" s="7" t="n">
        <v>3.4</v>
      </c>
      <c r="E19" s="7" t="n">
        <v>5.8</v>
      </c>
      <c r="F19" s="7" t="n">
        <v>7.6</v>
      </c>
      <c r="G19" s="7" t="n">
        <v>7.6</v>
      </c>
      <c r="H19" s="7" t="n">
        <v>7.6</v>
      </c>
      <c r="I19" s="7" t="n">
        <v>7.6</v>
      </c>
      <c r="J19" s="7" t="n">
        <v>7.7</v>
      </c>
      <c r="K19" s="7" t="n">
        <v>7.8</v>
      </c>
      <c r="M19" t="n">
        <v>10</v>
      </c>
      <c r="N19" t="n">
        <v>55.2</v>
      </c>
      <c r="O19" t="n">
        <v>83</v>
      </c>
      <c r="P19" t="n">
        <v>100.9</v>
      </c>
      <c r="Q19" t="n">
        <v>122.8</v>
      </c>
      <c r="R19" t="n">
        <v>138.6</v>
      </c>
      <c r="S19" t="n">
        <v>153.9</v>
      </c>
      <c r="T19" t="n">
        <v>168.7</v>
      </c>
      <c r="U19" t="n">
        <v>187.8</v>
      </c>
      <c r="V19" t="n">
        <v>201.8</v>
      </c>
      <c r="W19" t="n">
        <v>215.5</v>
      </c>
      <c r="X19" t="n">
        <v>233.1</v>
      </c>
      <c r="Y19" t="n">
        <v>246</v>
      </c>
    </row>
    <row r="20">
      <c r="A20" s="6" t="n">
        <v>2009</v>
      </c>
      <c r="B20" s="7" t="n">
        <v>5</v>
      </c>
      <c r="C20" s="7" t="n">
        <v>7.2</v>
      </c>
      <c r="D20" s="7" t="n">
        <v>8.800000000000001</v>
      </c>
      <c r="E20" s="7" t="n">
        <v>12.8</v>
      </c>
      <c r="F20" s="7" t="n">
        <v>13.3</v>
      </c>
      <c r="G20" s="7" t="n">
        <v>20.4</v>
      </c>
      <c r="H20" s="7" t="n">
        <v>20.8</v>
      </c>
      <c r="I20" s="7" t="n">
        <v>30.2</v>
      </c>
      <c r="J20" s="7" t="n">
        <v>34.2</v>
      </c>
      <c r="K20" s="7" t="n">
        <v>45.9</v>
      </c>
      <c r="M20" t="n">
        <v>15</v>
      </c>
      <c r="N20" t="n">
        <v>45.9</v>
      </c>
      <c r="O20" t="n">
        <v>70.5</v>
      </c>
      <c r="P20" t="n">
        <v>86.8</v>
      </c>
      <c r="Q20" t="n">
        <v>107.4</v>
      </c>
      <c r="R20" t="n">
        <v>122.8</v>
      </c>
      <c r="S20" t="n">
        <v>138.1</v>
      </c>
      <c r="T20" t="n">
        <v>153.4</v>
      </c>
      <c r="U20" t="n">
        <v>173.6</v>
      </c>
      <c r="V20" t="n">
        <v>189</v>
      </c>
      <c r="W20" t="n">
        <v>204.4</v>
      </c>
      <c r="X20" t="n">
        <v>224.7</v>
      </c>
      <c r="Y20" t="n">
        <v>240.2</v>
      </c>
    </row>
    <row r="21">
      <c r="A21" s="6" t="n">
        <v>2010</v>
      </c>
      <c r="B21" s="7" t="n">
        <v>11</v>
      </c>
      <c r="C21" s="7" t="n">
        <v>15.4</v>
      </c>
      <c r="D21" s="7" t="n">
        <v>17.2</v>
      </c>
      <c r="E21" s="7" t="n">
        <v>21</v>
      </c>
      <c r="F21" s="7" t="n">
        <v>28.2</v>
      </c>
      <c r="G21" s="7" t="n">
        <v>34.8</v>
      </c>
      <c r="H21" s="7" t="n">
        <v>35.6</v>
      </c>
      <c r="I21" s="7" t="n">
        <v>45.8</v>
      </c>
      <c r="J21" s="7" t="n">
        <v>51.4</v>
      </c>
      <c r="K21" s="7" t="n">
        <v>51.5</v>
      </c>
      <c r="M21" t="n">
        <v>30</v>
      </c>
      <c r="N21" t="n">
        <v>31.2</v>
      </c>
      <c r="O21" t="n">
        <v>49.2</v>
      </c>
      <c r="P21" t="n">
        <v>61.7</v>
      </c>
      <c r="Q21" t="n">
        <v>78.2</v>
      </c>
      <c r="R21" t="n">
        <v>91</v>
      </c>
      <c r="S21" t="n">
        <v>104.2</v>
      </c>
      <c r="T21" t="n">
        <v>117.9</v>
      </c>
      <c r="U21" t="n">
        <v>136.6</v>
      </c>
      <c r="V21" t="n">
        <v>151.4</v>
      </c>
      <c r="W21" t="n">
        <v>166.8</v>
      </c>
      <c r="X21" t="n">
        <v>187.9</v>
      </c>
      <c r="Y21" t="n">
        <v>204.6</v>
      </c>
    </row>
    <row r="22">
      <c r="A22" s="6" t="n">
        <v>2011</v>
      </c>
      <c r="B22" s="7" t="n"/>
      <c r="C22" s="7" t="n"/>
      <c r="D22" s="7" t="n"/>
      <c r="E22" s="7" t="n"/>
      <c r="F22" s="7" t="n"/>
      <c r="G22" s="7" t="n"/>
      <c r="H22" s="7" t="n"/>
      <c r="I22" s="7" t="n"/>
      <c r="J22" s="7" t="n"/>
      <c r="K22" s="7" t="n"/>
      <c r="M22" t="n">
        <v>60</v>
      </c>
      <c r="N22" t="n">
        <v>19.3</v>
      </c>
      <c r="O22" t="n">
        <v>30.9</v>
      </c>
      <c r="P22" t="n">
        <v>39.4</v>
      </c>
      <c r="Q22" t="n">
        <v>51.1</v>
      </c>
      <c r="R22" t="n">
        <v>60.7</v>
      </c>
      <c r="S22" t="n">
        <v>70.90000000000001</v>
      </c>
      <c r="T22" t="n">
        <v>81.90000000000001</v>
      </c>
      <c r="U22" t="n">
        <v>97.7</v>
      </c>
      <c r="V22" t="n">
        <v>110.7</v>
      </c>
      <c r="W22" t="n">
        <v>124.7</v>
      </c>
      <c r="X22" t="n">
        <v>144.9</v>
      </c>
      <c r="Y22" t="n">
        <v>161.6</v>
      </c>
    </row>
    <row r="23">
      <c r="A23" s="6" t="n">
        <v>2012</v>
      </c>
      <c r="B23" s="7" t="n">
        <v>10.8</v>
      </c>
      <c r="C23" s="7" t="n">
        <v>19</v>
      </c>
      <c r="D23" s="7" t="n">
        <v>21.2</v>
      </c>
      <c r="E23" s="7" t="n">
        <v>22.6</v>
      </c>
      <c r="F23" s="7" t="n">
        <v>28.6</v>
      </c>
      <c r="G23" s="7" t="n">
        <v>40.8</v>
      </c>
      <c r="H23" s="7" t="n">
        <v>43.6</v>
      </c>
      <c r="I23" s="7" t="n">
        <v>48.2</v>
      </c>
      <c r="J23" s="7" t="n">
        <v>48.6</v>
      </c>
      <c r="K23" s="7" t="n">
        <v>58.8</v>
      </c>
      <c r="M23" t="n">
        <v>120</v>
      </c>
      <c r="N23" t="n">
        <v>11.2</v>
      </c>
      <c r="O23" t="n">
        <v>18.4</v>
      </c>
      <c r="P23" t="n">
        <v>23.8</v>
      </c>
      <c r="Q23" t="n">
        <v>31.6</v>
      </c>
      <c r="R23" t="n">
        <v>38.3</v>
      </c>
      <c r="S23" t="n">
        <v>45.6</v>
      </c>
      <c r="T23" t="n">
        <v>53.7</v>
      </c>
      <c r="U23" t="n">
        <v>65.90000000000001</v>
      </c>
      <c r="V23" t="n">
        <v>76.3</v>
      </c>
      <c r="W23" t="n">
        <v>87.90000000000001</v>
      </c>
      <c r="X23" t="n">
        <v>105.2</v>
      </c>
      <c r="Y23" t="n">
        <v>120.1</v>
      </c>
    </row>
    <row r="24">
      <c r="A24" s="6" t="n">
        <v>2013</v>
      </c>
      <c r="B24" s="7" t="n"/>
      <c r="C24" s="7" t="n"/>
      <c r="D24" s="7" t="n"/>
      <c r="E24" s="7" t="n"/>
      <c r="F24" s="7" t="n"/>
      <c r="G24" s="7" t="n"/>
      <c r="H24" s="7" t="n"/>
      <c r="I24" s="7" t="n"/>
      <c r="J24" s="7" t="n"/>
      <c r="K24" s="7" t="n"/>
      <c r="M24" t="n">
        <v>180</v>
      </c>
      <c r="N24" t="n">
        <v>8.1</v>
      </c>
      <c r="O24" t="n">
        <v>13.4</v>
      </c>
      <c r="P24" t="n">
        <v>17.5</v>
      </c>
      <c r="Q24" t="n">
        <v>23.5</v>
      </c>
      <c r="R24" t="n">
        <v>28.7</v>
      </c>
      <c r="S24" t="n">
        <v>34.5</v>
      </c>
      <c r="T24" t="n">
        <v>41</v>
      </c>
      <c r="U24" t="n">
        <v>50.9</v>
      </c>
      <c r="V24" t="n">
        <v>59.6</v>
      </c>
      <c r="W24" t="n">
        <v>69.3</v>
      </c>
      <c r="X24" t="n">
        <v>84.09999999999999</v>
      </c>
      <c r="Y24" t="n">
        <v>97</v>
      </c>
    </row>
    <row r="25">
      <c r="A25" s="6" t="n">
        <v>2014</v>
      </c>
      <c r="B25" s="7" t="n"/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  <c r="M25" t="n">
        <v>360</v>
      </c>
      <c r="N25" t="n">
        <v>4.6</v>
      </c>
      <c r="O25" t="n">
        <v>7.9</v>
      </c>
      <c r="P25" t="n">
        <v>10.5</v>
      </c>
      <c r="Q25" t="n">
        <v>14.6</v>
      </c>
      <c r="R25" t="n">
        <v>18.1</v>
      </c>
      <c r="S25" t="n">
        <v>22.2</v>
      </c>
      <c r="T25" t="n">
        <v>27</v>
      </c>
      <c r="U25" t="n">
        <v>34.4</v>
      </c>
      <c r="V25" t="n">
        <v>41.1</v>
      </c>
      <c r="W25" t="n">
        <v>48.8</v>
      </c>
      <c r="X25" t="n">
        <v>61</v>
      </c>
      <c r="Y25" t="n">
        <v>71.90000000000001</v>
      </c>
    </row>
    <row r="26">
      <c r="A26" s="6" t="n">
        <v>2015</v>
      </c>
      <c r="B26" s="7" t="n"/>
      <c r="C26" s="7" t="n"/>
      <c r="D26" s="7" t="n"/>
      <c r="E26" s="7" t="n"/>
      <c r="F26" s="7" t="n"/>
      <c r="G26" s="7" t="n"/>
      <c r="H26" s="7" t="n"/>
      <c r="I26" s="7" t="n"/>
      <c r="J26" s="7" t="n"/>
      <c r="K26" s="7" t="n"/>
      <c r="M26" t="n">
        <v>720</v>
      </c>
      <c r="N26" t="n">
        <v>2.5</v>
      </c>
      <c r="O26" t="n">
        <v>4.6</v>
      </c>
      <c r="P26" t="n">
        <v>6.4</v>
      </c>
      <c r="Q26" t="n">
        <v>9.300000000000001</v>
      </c>
      <c r="R26" t="n">
        <v>12</v>
      </c>
      <c r="S26" t="n">
        <v>15.3</v>
      </c>
      <c r="T26" t="n">
        <v>19.4</v>
      </c>
      <c r="U26" t="n">
        <v>26.1</v>
      </c>
      <c r="V26" t="n">
        <v>32.6</v>
      </c>
      <c r="W26" t="n">
        <v>40.5</v>
      </c>
      <c r="X26" t="n">
        <v>53.8</v>
      </c>
      <c r="Y26" t="n">
        <v>66.40000000000001</v>
      </c>
    </row>
    <row r="27">
      <c r="A27" s="6" t="n">
        <v>2016</v>
      </c>
      <c r="B27" s="7" t="n"/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  <c r="M27" t="n">
        <v>1440</v>
      </c>
      <c r="N27" t="n">
        <v>1.5</v>
      </c>
      <c r="O27" t="n">
        <v>2.7</v>
      </c>
      <c r="P27" t="n">
        <v>3.8</v>
      </c>
      <c r="Q27" t="n">
        <v>5.4</v>
      </c>
      <c r="R27" t="n">
        <v>7</v>
      </c>
      <c r="S27" t="n">
        <v>8.800000000000001</v>
      </c>
      <c r="T27" t="n">
        <v>11</v>
      </c>
      <c r="U27" t="n">
        <v>14.6</v>
      </c>
      <c r="V27" t="n">
        <v>17.9</v>
      </c>
      <c r="W27" t="n">
        <v>21.9</v>
      </c>
      <c r="X27" t="n">
        <v>28.5</v>
      </c>
      <c r="Y27" t="n">
        <v>34.7</v>
      </c>
    </row>
    <row r="28">
      <c r="A28" s="6" t="n">
        <v>2017</v>
      </c>
      <c r="B28" s="7" t="n">
        <v>0.8</v>
      </c>
      <c r="C28" s="7" t="n">
        <v>1.2</v>
      </c>
      <c r="D28" s="7" t="n">
        <v>1.2</v>
      </c>
      <c r="E28" s="7" t="n">
        <v>1.2</v>
      </c>
      <c r="F28" s="7" t="n">
        <v>1.2</v>
      </c>
      <c r="G28" s="7" t="n">
        <v>1.2</v>
      </c>
      <c r="H28" s="7" t="n">
        <v>1.2</v>
      </c>
      <c r="I28" s="7" t="n">
        <v>1.3</v>
      </c>
      <c r="J28" s="7" t="n">
        <v>1.4</v>
      </c>
      <c r="K28" s="7" t="n">
        <v>1.4</v>
      </c>
    </row>
    <row r="29">
      <c r="A29" s="6" t="n">
        <v>2018</v>
      </c>
      <c r="B29" s="7" t="n">
        <v>2.6</v>
      </c>
      <c r="C29" s="7" t="n">
        <v>3.8</v>
      </c>
      <c r="D29" s="7" t="n">
        <v>4.8</v>
      </c>
      <c r="E29" s="7" t="n">
        <v>5</v>
      </c>
      <c r="F29" s="7" t="n">
        <v>6.4</v>
      </c>
      <c r="G29" s="7" t="n">
        <v>7.2</v>
      </c>
      <c r="H29" s="7" t="n">
        <v>7.2</v>
      </c>
      <c r="I29" s="7" t="n">
        <v>7.3</v>
      </c>
      <c r="J29" s="7" t="n">
        <v>7.4</v>
      </c>
      <c r="K29" s="7" t="n">
        <v>9</v>
      </c>
    </row>
    <row r="30">
      <c r="A30" s="6" t="n">
        <v>2019</v>
      </c>
      <c r="B30" s="7" t="n">
        <v>13.4</v>
      </c>
      <c r="C30" s="7" t="n">
        <v>24.8</v>
      </c>
      <c r="D30" s="7" t="n">
        <v>31.8</v>
      </c>
      <c r="E30" s="7" t="n">
        <v>39.4</v>
      </c>
      <c r="F30" s="7" t="n">
        <v>41</v>
      </c>
      <c r="G30" s="7" t="n">
        <v>41.2</v>
      </c>
      <c r="H30" s="7" t="n">
        <v>42</v>
      </c>
      <c r="I30" s="7" t="n">
        <v>48.5</v>
      </c>
      <c r="J30" s="7" t="n">
        <v>63.6</v>
      </c>
      <c r="K30" s="7" t="n">
        <v>82.3</v>
      </c>
    </row>
    <row r="33">
      <c r="A33" s="2" t="inlineStr">
        <is>
          <t>AMS AFTER gap filling (mm)  -  yellow = added or changed by gap filling</t>
        </is>
      </c>
    </row>
    <row r="34">
      <c r="A34" s="4" t="inlineStr">
        <is>
          <t>Water year</t>
        </is>
      </c>
      <c r="B34" s="5" t="inlineStr">
        <is>
          <t>5min</t>
        </is>
      </c>
      <c r="C34" s="5" t="inlineStr">
        <is>
          <t>10min</t>
        </is>
      </c>
      <c r="D34" s="5" t="inlineStr">
        <is>
          <t>15min</t>
        </is>
      </c>
      <c r="E34" s="5" t="inlineStr">
        <is>
          <t>30min</t>
        </is>
      </c>
      <c r="F34" s="5" t="inlineStr">
        <is>
          <t>1h</t>
        </is>
      </c>
      <c r="G34" s="5" t="inlineStr">
        <is>
          <t>2h</t>
        </is>
      </c>
      <c r="H34" s="5" t="inlineStr">
        <is>
          <t>3h</t>
        </is>
      </c>
      <c r="I34" s="5" t="inlineStr">
        <is>
          <t>6h</t>
        </is>
      </c>
      <c r="J34" s="5" t="inlineStr">
        <is>
          <t>12h</t>
        </is>
      </c>
      <c r="K34" s="5" t="inlineStr">
        <is>
          <t>24h</t>
        </is>
      </c>
    </row>
    <row r="35">
      <c r="A35" s="6" t="n">
        <v>1994</v>
      </c>
      <c r="B35" s="7" t="n">
        <v>5.8</v>
      </c>
      <c r="C35" s="7" t="n">
        <v>10.8</v>
      </c>
      <c r="D35" s="7" t="n">
        <v>14</v>
      </c>
      <c r="E35" s="7" t="n">
        <v>16.7</v>
      </c>
      <c r="F35" s="8" t="n">
        <v>23.4</v>
      </c>
      <c r="G35" s="8" t="n">
        <v>37.9</v>
      </c>
      <c r="H35" s="8" t="n">
        <v>38</v>
      </c>
      <c r="I35" s="8" t="n">
        <v>38.2</v>
      </c>
      <c r="J35" s="8" t="n">
        <v>38.6</v>
      </c>
      <c r="K35" s="8" t="n">
        <v>39.1</v>
      </c>
    </row>
    <row r="36">
      <c r="A36" s="6" t="n">
        <v>1995</v>
      </c>
      <c r="B36" s="7" t="n">
        <v>8</v>
      </c>
      <c r="C36" s="7" t="n">
        <v>11.6</v>
      </c>
      <c r="D36" s="7" t="n">
        <v>14.6</v>
      </c>
      <c r="E36" s="7" t="n">
        <v>16</v>
      </c>
      <c r="F36" s="7" t="n">
        <v>22.2</v>
      </c>
      <c r="G36" s="7" t="n">
        <v>30.2</v>
      </c>
      <c r="H36" s="7" t="n">
        <v>38.2</v>
      </c>
      <c r="I36" s="7" t="n">
        <v>48.7</v>
      </c>
      <c r="J36" s="7" t="n">
        <v>64.40000000000001</v>
      </c>
      <c r="K36" s="7" t="n">
        <v>114.4</v>
      </c>
    </row>
    <row r="37">
      <c r="A37" s="6" t="n">
        <v>1996</v>
      </c>
      <c r="B37" s="7" t="n">
        <v>11.4</v>
      </c>
      <c r="C37" s="7" t="n">
        <v>18.8</v>
      </c>
      <c r="D37" s="7" t="n">
        <v>24.6</v>
      </c>
      <c r="E37" s="7" t="n">
        <v>33.8</v>
      </c>
      <c r="F37" s="7" t="n">
        <v>43</v>
      </c>
      <c r="G37" s="7" t="n">
        <v>75.2</v>
      </c>
      <c r="H37" s="7" t="n">
        <v>84.40000000000001</v>
      </c>
      <c r="I37" s="7" t="n">
        <v>150.6</v>
      </c>
      <c r="J37" s="7" t="n">
        <v>198.7</v>
      </c>
      <c r="K37" s="7" t="n">
        <v>212.1</v>
      </c>
    </row>
    <row r="38">
      <c r="A38" s="6" t="n">
        <v>1997</v>
      </c>
      <c r="B38" s="7" t="n">
        <v>9</v>
      </c>
      <c r="C38" s="7" t="n">
        <v>15.8</v>
      </c>
      <c r="D38" s="7" t="n">
        <v>18</v>
      </c>
      <c r="E38" s="7" t="n">
        <v>26.4</v>
      </c>
      <c r="F38" s="7" t="n">
        <v>38</v>
      </c>
      <c r="G38" s="7" t="n">
        <v>40.4</v>
      </c>
      <c r="H38" s="7" t="n">
        <v>43.1</v>
      </c>
      <c r="I38" s="7" t="n">
        <v>77.5</v>
      </c>
      <c r="J38" s="7" t="n">
        <v>86.59999999999999</v>
      </c>
      <c r="K38" s="7" t="n">
        <v>111.8</v>
      </c>
    </row>
    <row r="39">
      <c r="A39" s="6" t="n">
        <v>1998</v>
      </c>
      <c r="B39" s="7" t="n">
        <v>9.199999999999999</v>
      </c>
      <c r="C39" s="7" t="n">
        <v>15.4</v>
      </c>
      <c r="D39" s="7" t="n">
        <v>20</v>
      </c>
      <c r="E39" s="7" t="n">
        <v>30.6</v>
      </c>
      <c r="F39" s="7" t="n">
        <v>41.2</v>
      </c>
      <c r="G39" s="7" t="n">
        <v>60.4</v>
      </c>
      <c r="H39" s="7" t="n">
        <v>66.8</v>
      </c>
      <c r="I39" s="7" t="n">
        <v>67.3</v>
      </c>
      <c r="J39" s="7" t="n">
        <v>67.5</v>
      </c>
      <c r="K39" s="7" t="n">
        <v>67.7</v>
      </c>
    </row>
    <row r="40">
      <c r="A40" s="6" t="n">
        <v>1999</v>
      </c>
      <c r="B40" s="7" t="n">
        <v>2.6</v>
      </c>
      <c r="C40" s="7" t="n">
        <v>4</v>
      </c>
      <c r="D40" s="7" t="n">
        <v>5.4</v>
      </c>
      <c r="E40" s="7" t="n">
        <v>6.6</v>
      </c>
      <c r="F40" s="7" t="n">
        <v>10.4</v>
      </c>
      <c r="G40" s="7" t="n">
        <v>14.6</v>
      </c>
      <c r="H40" s="7" t="n">
        <v>17.8</v>
      </c>
      <c r="I40" s="7" t="n">
        <v>28.3</v>
      </c>
      <c r="J40" s="7" t="n">
        <v>39.7</v>
      </c>
      <c r="K40" s="7" t="n">
        <v>40.7</v>
      </c>
    </row>
    <row r="41">
      <c r="A41" s="6" t="n">
        <v>2000</v>
      </c>
      <c r="B41" s="7" t="n">
        <v>2.4</v>
      </c>
      <c r="C41" s="7" t="n">
        <v>3.2</v>
      </c>
      <c r="D41" s="7" t="n">
        <v>3.4</v>
      </c>
      <c r="E41" s="7" t="n">
        <v>6.2</v>
      </c>
      <c r="F41" s="7" t="n">
        <v>9.4</v>
      </c>
      <c r="G41" s="7" t="n">
        <v>9.4</v>
      </c>
      <c r="H41" s="7" t="n">
        <v>9.4</v>
      </c>
      <c r="I41" s="7" t="n">
        <v>9.4</v>
      </c>
      <c r="J41" s="7" t="n">
        <v>9.5</v>
      </c>
      <c r="K41" s="7" t="n">
        <v>10.4</v>
      </c>
    </row>
    <row r="42">
      <c r="A42" s="6" t="n">
        <v>2001</v>
      </c>
      <c r="B42" s="7" t="n">
        <v>4.6</v>
      </c>
      <c r="C42" s="7" t="n">
        <v>8</v>
      </c>
      <c r="D42" s="7" t="n">
        <v>11.4</v>
      </c>
      <c r="E42" s="7" t="n">
        <v>13.5</v>
      </c>
      <c r="F42" s="7" t="n">
        <v>14.1</v>
      </c>
      <c r="G42" s="7" t="n">
        <v>15.3</v>
      </c>
      <c r="H42" s="7" t="n">
        <v>16.4</v>
      </c>
      <c r="I42" s="7" t="n">
        <v>18.2</v>
      </c>
      <c r="J42" s="7" t="n">
        <v>18.3</v>
      </c>
      <c r="K42" s="7" t="n">
        <v>19.1</v>
      </c>
    </row>
    <row r="43">
      <c r="A43" s="6" t="n">
        <v>2002</v>
      </c>
      <c r="B43" s="7" t="n">
        <v>2.6</v>
      </c>
      <c r="C43" s="7" t="n">
        <v>4.2</v>
      </c>
      <c r="D43" s="7" t="n">
        <v>5.4</v>
      </c>
      <c r="E43" s="7" t="n">
        <v>6.6</v>
      </c>
      <c r="F43" s="7" t="n">
        <v>6.6</v>
      </c>
      <c r="G43" s="7" t="n">
        <v>6.6</v>
      </c>
      <c r="H43" s="7" t="n">
        <v>6.6</v>
      </c>
      <c r="I43" s="7" t="n">
        <v>6.7</v>
      </c>
      <c r="J43" s="7" t="n">
        <v>6.8</v>
      </c>
      <c r="K43" s="7" t="n">
        <v>7.2</v>
      </c>
    </row>
    <row r="44">
      <c r="A44" s="6" t="n">
        <v>2003</v>
      </c>
      <c r="B44" s="8" t="n">
        <v>3.2</v>
      </c>
      <c r="C44" s="8" t="n">
        <v>5.8</v>
      </c>
      <c r="D44" s="8" t="n">
        <v>6.4</v>
      </c>
      <c r="E44" s="8" t="n">
        <v>10.4</v>
      </c>
      <c r="F44" s="8" t="n">
        <v>12.9</v>
      </c>
      <c r="G44" s="8" t="n">
        <v>18</v>
      </c>
      <c r="H44" s="8" t="n">
        <v>19.7</v>
      </c>
      <c r="I44" s="8" t="n">
        <v>20</v>
      </c>
      <c r="J44" s="8" t="n">
        <v>24.5</v>
      </c>
      <c r="K44" s="8" t="n">
        <v>24.6</v>
      </c>
    </row>
    <row r="45">
      <c r="A45" s="6" t="n">
        <v>2004</v>
      </c>
      <c r="B45" s="8" t="n">
        <v>3.9</v>
      </c>
      <c r="C45" s="8" t="n">
        <v>7.2</v>
      </c>
      <c r="D45" s="8" t="n">
        <v>9.4</v>
      </c>
      <c r="E45" s="8" t="n">
        <v>10.7</v>
      </c>
      <c r="F45" s="8" t="n">
        <v>15.7</v>
      </c>
      <c r="G45" s="8" t="n">
        <v>16.5</v>
      </c>
      <c r="H45" s="8" t="n">
        <v>16.5</v>
      </c>
      <c r="I45" s="8" t="n">
        <v>16.5</v>
      </c>
      <c r="J45" s="8" t="n">
        <v>17</v>
      </c>
      <c r="K45" s="8" t="n">
        <v>17.1</v>
      </c>
    </row>
    <row r="46">
      <c r="A46" s="6" t="n">
        <v>2005</v>
      </c>
      <c r="B46" s="8" t="n">
        <v>5</v>
      </c>
      <c r="C46" s="8" t="n">
        <v>10</v>
      </c>
      <c r="D46" s="8" t="n">
        <v>15</v>
      </c>
      <c r="E46" s="8" t="n">
        <v>20.1</v>
      </c>
      <c r="F46" s="8" t="n">
        <v>20.4</v>
      </c>
      <c r="G46" s="8" t="n">
        <v>23</v>
      </c>
      <c r="H46" s="8" t="n">
        <v>23.8</v>
      </c>
      <c r="I46" s="8" t="n">
        <v>39.3</v>
      </c>
      <c r="J46" s="8" t="n">
        <v>52.8</v>
      </c>
      <c r="K46" s="8" t="n">
        <v>81</v>
      </c>
    </row>
    <row r="47">
      <c r="A47" s="6" t="n">
        <v>2006</v>
      </c>
      <c r="B47" s="7" t="n">
        <v>5.2</v>
      </c>
      <c r="C47" s="7" t="n">
        <v>8</v>
      </c>
      <c r="D47" s="7" t="n">
        <v>12</v>
      </c>
      <c r="E47" s="7" t="n">
        <v>16.8</v>
      </c>
      <c r="F47" s="8" t="n">
        <v>23.3</v>
      </c>
      <c r="G47" s="8" t="n">
        <v>30</v>
      </c>
      <c r="H47" s="8" t="n">
        <v>30.4</v>
      </c>
      <c r="I47" s="8" t="n">
        <v>39.6</v>
      </c>
      <c r="J47" s="8" t="n">
        <v>45.2</v>
      </c>
      <c r="K47" s="8" t="n">
        <v>57.7</v>
      </c>
    </row>
    <row r="48">
      <c r="A48" s="6" t="n">
        <v>2007</v>
      </c>
      <c r="B48" s="7" t="n">
        <v>13.4</v>
      </c>
      <c r="C48" s="7" t="n">
        <v>25.4</v>
      </c>
      <c r="D48" s="7" t="n">
        <v>34</v>
      </c>
      <c r="E48" s="7" t="n">
        <v>61.2</v>
      </c>
      <c r="F48" s="7" t="n">
        <v>102.8</v>
      </c>
      <c r="G48" s="7" t="n">
        <v>181.2</v>
      </c>
      <c r="H48" s="7" t="n">
        <v>249.6</v>
      </c>
      <c r="I48" s="7" t="n">
        <v>459.2</v>
      </c>
      <c r="J48" s="7" t="n">
        <v>688</v>
      </c>
      <c r="K48" s="7" t="n">
        <v>878.6</v>
      </c>
    </row>
    <row r="49">
      <c r="A49" s="6" t="n">
        <v>2008</v>
      </c>
      <c r="B49" s="7" t="n">
        <v>1.8</v>
      </c>
      <c r="C49" s="7" t="n">
        <v>2.6</v>
      </c>
      <c r="D49" s="7" t="n">
        <v>3.4</v>
      </c>
      <c r="E49" s="7" t="n">
        <v>5.8</v>
      </c>
      <c r="F49" s="7" t="n">
        <v>7.6</v>
      </c>
      <c r="G49" s="7" t="n">
        <v>7.6</v>
      </c>
      <c r="H49" s="7" t="n">
        <v>7.6</v>
      </c>
      <c r="I49" s="7" t="n">
        <v>7.6</v>
      </c>
      <c r="J49" s="7" t="n">
        <v>7.7</v>
      </c>
      <c r="K49" s="7" t="n">
        <v>7.8</v>
      </c>
    </row>
    <row r="50">
      <c r="A50" s="6" t="n">
        <v>2009</v>
      </c>
      <c r="B50" s="7" t="n">
        <v>5</v>
      </c>
      <c r="C50" s="7" t="n">
        <v>7.2</v>
      </c>
      <c r="D50" s="7" t="n">
        <v>8.800000000000001</v>
      </c>
      <c r="E50" s="7" t="n">
        <v>12.8</v>
      </c>
      <c r="F50" s="7" t="n">
        <v>13.3</v>
      </c>
      <c r="G50" s="7" t="n">
        <v>20.4</v>
      </c>
      <c r="H50" s="7" t="n">
        <v>20.8</v>
      </c>
      <c r="I50" s="7" t="n">
        <v>30.2</v>
      </c>
      <c r="J50" s="7" t="n">
        <v>34.2</v>
      </c>
      <c r="K50" s="7" t="n">
        <v>45.9</v>
      </c>
    </row>
    <row r="51">
      <c r="A51" s="6" t="n">
        <v>2010</v>
      </c>
      <c r="B51" s="7" t="n">
        <v>11</v>
      </c>
      <c r="C51" s="7" t="n">
        <v>15.4</v>
      </c>
      <c r="D51" s="7" t="n">
        <v>17.2</v>
      </c>
      <c r="E51" s="7" t="n">
        <v>21</v>
      </c>
      <c r="F51" s="7" t="n">
        <v>28.2</v>
      </c>
      <c r="G51" s="7" t="n">
        <v>34.8</v>
      </c>
      <c r="H51" s="7" t="n">
        <v>35.6</v>
      </c>
      <c r="I51" s="7" t="n">
        <v>45.8</v>
      </c>
      <c r="J51" s="7" t="n">
        <v>51.4</v>
      </c>
      <c r="K51" s="7" t="n">
        <v>51.5</v>
      </c>
    </row>
    <row r="52">
      <c r="A52" s="6" t="n">
        <v>2011</v>
      </c>
      <c r="B52" s="8" t="n">
        <v>3.2</v>
      </c>
      <c r="C52" s="8" t="n">
        <v>5.3</v>
      </c>
      <c r="D52" s="8" t="n">
        <v>6.5</v>
      </c>
      <c r="E52" s="8" t="n">
        <v>7.5</v>
      </c>
      <c r="F52" s="8" t="n">
        <v>7.5</v>
      </c>
      <c r="G52" s="8" t="n">
        <v>8.1</v>
      </c>
      <c r="H52" s="8" t="n">
        <v>9.300000000000001</v>
      </c>
      <c r="I52" s="8" t="n">
        <v>11.2</v>
      </c>
      <c r="J52" s="8" t="n">
        <v>11.3</v>
      </c>
      <c r="K52" s="8" t="n">
        <v>11.6</v>
      </c>
    </row>
    <row r="53">
      <c r="A53" s="6" t="n">
        <v>2012</v>
      </c>
      <c r="B53" s="7" t="n">
        <v>10.8</v>
      </c>
      <c r="C53" s="7" t="n">
        <v>19</v>
      </c>
      <c r="D53" s="7" t="n">
        <v>21.2</v>
      </c>
      <c r="E53" s="7" t="n">
        <v>22.6</v>
      </c>
      <c r="F53" s="7" t="n">
        <v>28.6</v>
      </c>
      <c r="G53" s="7" t="n">
        <v>40.8</v>
      </c>
      <c r="H53" s="7" t="n">
        <v>43.6</v>
      </c>
      <c r="I53" s="7" t="n">
        <v>48.2</v>
      </c>
      <c r="J53" s="7" t="n">
        <v>48.6</v>
      </c>
      <c r="K53" s="7" t="n">
        <v>58.8</v>
      </c>
    </row>
    <row r="54">
      <c r="A54" s="6" t="n">
        <v>2013</v>
      </c>
      <c r="B54" s="8" t="n">
        <v>3.4</v>
      </c>
      <c r="C54" s="8" t="n">
        <v>5</v>
      </c>
      <c r="D54" s="8" t="n">
        <v>6.9</v>
      </c>
      <c r="E54" s="8" t="n">
        <v>11.1</v>
      </c>
      <c r="F54" s="8" t="n">
        <v>15.3</v>
      </c>
      <c r="G54" s="8" t="n">
        <v>30.1</v>
      </c>
      <c r="H54" s="8" t="n">
        <v>33.1</v>
      </c>
      <c r="I54" s="8" t="n">
        <v>39</v>
      </c>
      <c r="J54" s="8" t="n">
        <v>39.2</v>
      </c>
      <c r="K54" s="8" t="n">
        <v>40.3</v>
      </c>
    </row>
    <row r="55">
      <c r="A55" s="6" t="n">
        <v>2014</v>
      </c>
      <c r="B55" s="8" t="n">
        <v>3.8</v>
      </c>
      <c r="C55" s="8" t="n">
        <v>7.4</v>
      </c>
      <c r="D55" s="8" t="n">
        <v>9.4</v>
      </c>
      <c r="E55" s="8" t="n">
        <v>13.1</v>
      </c>
      <c r="F55" s="8" t="n">
        <v>20.8</v>
      </c>
      <c r="G55" s="8" t="n">
        <v>24.8</v>
      </c>
      <c r="H55" s="8" t="n">
        <v>28.6</v>
      </c>
      <c r="I55" s="8" t="n">
        <v>37.6</v>
      </c>
      <c r="J55" s="8" t="n">
        <v>50.9</v>
      </c>
      <c r="K55" s="8" t="n">
        <v>74.59999999999999</v>
      </c>
    </row>
    <row r="56">
      <c r="A56" s="6" t="n">
        <v>2015</v>
      </c>
      <c r="B56" s="8" t="n">
        <v>0.7</v>
      </c>
      <c r="C56" s="8" t="n">
        <v>1.3</v>
      </c>
      <c r="D56" s="8" t="n">
        <v>2</v>
      </c>
      <c r="E56" s="8" t="n">
        <v>4</v>
      </c>
      <c r="F56" s="8" t="n">
        <v>7.9</v>
      </c>
      <c r="G56" s="8" t="n">
        <v>10.7</v>
      </c>
      <c r="H56" s="8" t="n">
        <v>10.7</v>
      </c>
      <c r="I56" s="8" t="n">
        <v>10.7</v>
      </c>
      <c r="J56" s="8" t="n">
        <v>10.7</v>
      </c>
      <c r="K56" s="8" t="n">
        <v>10.7</v>
      </c>
    </row>
    <row r="57">
      <c r="A57" s="6" t="n">
        <v>2016</v>
      </c>
      <c r="B57" s="8" t="n">
        <v>4.3</v>
      </c>
      <c r="C57" s="8" t="n">
        <v>7.5</v>
      </c>
      <c r="D57" s="8" t="n">
        <v>8.699999999999999</v>
      </c>
      <c r="E57" s="8" t="n">
        <v>9.1</v>
      </c>
      <c r="F57" s="8" t="n">
        <v>17.5</v>
      </c>
      <c r="G57" s="8" t="n">
        <v>22.4</v>
      </c>
      <c r="H57" s="8" t="n">
        <v>25.3</v>
      </c>
      <c r="I57" s="8" t="n">
        <v>28.8</v>
      </c>
      <c r="J57" s="8" t="n">
        <v>30.2</v>
      </c>
      <c r="K57" s="8" t="n">
        <v>36.3</v>
      </c>
    </row>
    <row r="58">
      <c r="A58" s="6" t="n">
        <v>2017</v>
      </c>
      <c r="B58" s="7" t="n">
        <v>0.8</v>
      </c>
      <c r="C58" s="7" t="n">
        <v>1.2</v>
      </c>
      <c r="D58" s="7" t="n">
        <v>1.2</v>
      </c>
      <c r="E58" s="7" t="n">
        <v>1.2</v>
      </c>
      <c r="F58" s="7" t="n">
        <v>1.2</v>
      </c>
      <c r="G58" s="7" t="n">
        <v>1.2</v>
      </c>
      <c r="H58" s="7" t="n">
        <v>1.2</v>
      </c>
      <c r="I58" s="7" t="n">
        <v>1.3</v>
      </c>
      <c r="J58" s="7" t="n">
        <v>1.4</v>
      </c>
      <c r="K58" s="7" t="n">
        <v>1.4</v>
      </c>
    </row>
    <row r="59">
      <c r="A59" s="6" t="n">
        <v>2018</v>
      </c>
      <c r="B59" s="7" t="n">
        <v>2.6</v>
      </c>
      <c r="C59" s="7" t="n">
        <v>3.8</v>
      </c>
      <c r="D59" s="7" t="n">
        <v>4.8</v>
      </c>
      <c r="E59" s="7" t="n">
        <v>5</v>
      </c>
      <c r="F59" s="7" t="n">
        <v>6.4</v>
      </c>
      <c r="G59" s="7" t="n">
        <v>7.2</v>
      </c>
      <c r="H59" s="7" t="n">
        <v>7.2</v>
      </c>
      <c r="I59" s="7" t="n">
        <v>7.3</v>
      </c>
      <c r="J59" s="7" t="n">
        <v>7.4</v>
      </c>
      <c r="K59" s="7" t="n">
        <v>9</v>
      </c>
    </row>
    <row r="60">
      <c r="A60" s="6" t="n">
        <v>2019</v>
      </c>
      <c r="B60" s="7" t="n">
        <v>13.4</v>
      </c>
      <c r="C60" s="7" t="n">
        <v>24.8</v>
      </c>
      <c r="D60" s="7" t="n">
        <v>31.8</v>
      </c>
      <c r="E60" s="7" t="n">
        <v>39.4</v>
      </c>
      <c r="F60" s="7" t="n">
        <v>41</v>
      </c>
      <c r="G60" s="7" t="n">
        <v>41.2</v>
      </c>
      <c r="H60" s="7" t="n">
        <v>42</v>
      </c>
      <c r="I60" s="7" t="n">
        <v>48.5</v>
      </c>
      <c r="J60" s="7" t="n">
        <v>63.6</v>
      </c>
      <c r="K60" s="7" t="n">
        <v>82.3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Y27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</cols>
  <sheetData>
    <row r="1">
      <c r="A1" s="1" t="inlineStr">
        <is>
          <t>Gauge 69  |  GL142813AF  |  Dhabab at HWY near Dhabab</t>
        </is>
      </c>
    </row>
    <row r="3">
      <c r="A3" s="2" t="inlineStr">
        <is>
          <t>AMS BEFORE gap filling (observed only, mm)</t>
        </is>
      </c>
      <c r="M3" s="3" t="inlineStr">
        <is>
          <t>IDF - design rainfall DEPTH (mm)</t>
        </is>
      </c>
    </row>
    <row r="4">
      <c r="A4" s="4" t="inlineStr">
        <is>
          <t>Water year</t>
        </is>
      </c>
      <c r="B4" s="5" t="inlineStr">
        <is>
          <t>5min</t>
        </is>
      </c>
      <c r="C4" s="5" t="inlineStr">
        <is>
          <t>10min</t>
        </is>
      </c>
      <c r="D4" s="5" t="inlineStr">
        <is>
          <t>15min</t>
        </is>
      </c>
      <c r="E4" s="5" t="inlineStr">
        <is>
          <t>30min</t>
        </is>
      </c>
      <c r="F4" s="5" t="inlineStr">
        <is>
          <t>1h</t>
        </is>
      </c>
      <c r="G4" s="5" t="inlineStr">
        <is>
          <t>2h</t>
        </is>
      </c>
      <c r="H4" s="5" t="inlineStr">
        <is>
          <t>3h</t>
        </is>
      </c>
      <c r="I4" s="5" t="inlineStr">
        <is>
          <t>6h</t>
        </is>
      </c>
      <c r="J4" s="5" t="inlineStr">
        <is>
          <t>12h</t>
        </is>
      </c>
      <c r="K4" s="5" t="inlineStr">
        <is>
          <t>24h</t>
        </is>
      </c>
      <c r="M4" s="4" t="inlineStr">
        <is>
          <t>Duration \ RP</t>
        </is>
      </c>
      <c r="N4" s="4" t="n">
        <v>2</v>
      </c>
      <c r="O4" s="4" t="n">
        <v>5</v>
      </c>
      <c r="P4" s="4" t="n">
        <v>10</v>
      </c>
      <c r="Q4" s="4" t="n">
        <v>25</v>
      </c>
      <c r="R4" s="4" t="n">
        <v>50</v>
      </c>
      <c r="S4" s="4" t="n">
        <v>100</v>
      </c>
      <c r="T4" s="4" t="n">
        <v>200</v>
      </c>
      <c r="U4" s="4" t="n">
        <v>500</v>
      </c>
      <c r="V4" s="4" t="n">
        <v>1000</v>
      </c>
      <c r="W4" s="4" t="n">
        <v>2000</v>
      </c>
      <c r="X4" s="4" t="n">
        <v>5000</v>
      </c>
      <c r="Y4" s="4" t="n">
        <v>10000</v>
      </c>
    </row>
    <row r="5">
      <c r="A5" s="6" t="n">
        <v>2016</v>
      </c>
      <c r="B5" s="7" t="n">
        <v>12.8</v>
      </c>
      <c r="C5" s="7" t="n">
        <v>18.4</v>
      </c>
      <c r="D5" s="7" t="n">
        <v>20.4</v>
      </c>
      <c r="E5" s="7" t="n">
        <v>28.4</v>
      </c>
      <c r="F5" s="7" t="n">
        <v>39.7</v>
      </c>
      <c r="G5" s="7" t="n">
        <v>60.6</v>
      </c>
      <c r="H5" s="7" t="n">
        <v>78</v>
      </c>
      <c r="I5" s="7" t="n">
        <v>80.59999999999999</v>
      </c>
      <c r="J5" s="7" t="n">
        <v>80.59999999999999</v>
      </c>
      <c r="K5" s="7" t="n">
        <v>80.59999999999999</v>
      </c>
      <c r="M5" s="6" t="inlineStr">
        <is>
          <t>5min</t>
        </is>
      </c>
      <c r="N5" s="6" t="n">
        <v>5.6</v>
      </c>
      <c r="O5" s="6" t="n">
        <v>8.199999999999999</v>
      </c>
      <c r="P5" s="6" t="n">
        <v>9.6</v>
      </c>
      <c r="Q5" s="6" t="n">
        <v>11.2</v>
      </c>
      <c r="R5" s="6" t="n">
        <v>12.3</v>
      </c>
      <c r="S5" s="6" t="n">
        <v>13.2</v>
      </c>
      <c r="T5" s="6" t="n">
        <v>14</v>
      </c>
      <c r="U5" s="6" t="n">
        <v>15</v>
      </c>
      <c r="V5" s="6" t="n">
        <v>15.6</v>
      </c>
      <c r="W5" s="6" t="n">
        <v>16.2</v>
      </c>
      <c r="X5" s="6" t="n">
        <v>16.8</v>
      </c>
      <c r="Y5" s="6" t="n">
        <v>17.2</v>
      </c>
    </row>
    <row r="6">
      <c r="A6" s="6" t="n">
        <v>2017</v>
      </c>
      <c r="B6" s="7" t="n">
        <v>10.6</v>
      </c>
      <c r="C6" s="7" t="n">
        <v>18.8</v>
      </c>
      <c r="D6" s="7" t="n">
        <v>24.9</v>
      </c>
      <c r="E6" s="7" t="n">
        <v>36.7</v>
      </c>
      <c r="F6" s="7" t="n">
        <v>43.1</v>
      </c>
      <c r="G6" s="7" t="n">
        <v>59.2</v>
      </c>
      <c r="H6" s="7" t="n">
        <v>68.3</v>
      </c>
      <c r="I6" s="7" t="n">
        <v>100</v>
      </c>
      <c r="J6" s="7" t="n">
        <v>113.5</v>
      </c>
      <c r="K6" s="7" t="n">
        <v>113.6</v>
      </c>
      <c r="M6" s="6" t="inlineStr">
        <is>
          <t>10min</t>
        </is>
      </c>
      <c r="N6" s="6" t="n">
        <v>9.300000000000001</v>
      </c>
      <c r="O6" s="6" t="n">
        <v>13.6</v>
      </c>
      <c r="P6" s="6" t="n">
        <v>16.1</v>
      </c>
      <c r="Q6" s="6" t="n">
        <v>18.8</v>
      </c>
      <c r="R6" s="6" t="n">
        <v>20.7</v>
      </c>
      <c r="S6" s="6" t="n">
        <v>22.3</v>
      </c>
      <c r="T6" s="6" t="n">
        <v>23.7</v>
      </c>
      <c r="U6" s="6" t="n">
        <v>25.4</v>
      </c>
      <c r="V6" s="6" t="n">
        <v>26.5</v>
      </c>
      <c r="W6" s="6" t="n">
        <v>27.5</v>
      </c>
      <c r="X6" s="6" t="n">
        <v>28.7</v>
      </c>
      <c r="Y6" s="6" t="n">
        <v>29.5</v>
      </c>
    </row>
    <row r="7">
      <c r="A7" s="6" t="n">
        <v>2018</v>
      </c>
      <c r="B7" s="7" t="n">
        <v>9.199999999999999</v>
      </c>
      <c r="C7" s="7" t="n">
        <v>13.8</v>
      </c>
      <c r="D7" s="7" t="n">
        <v>15.8</v>
      </c>
      <c r="E7" s="7" t="n">
        <v>20</v>
      </c>
      <c r="F7" s="7" t="n">
        <v>38.8</v>
      </c>
      <c r="G7" s="7" t="n">
        <v>53.8</v>
      </c>
      <c r="H7" s="7" t="n">
        <v>54.2</v>
      </c>
      <c r="I7" s="7" t="n">
        <v>54.4</v>
      </c>
      <c r="J7" s="7" t="n">
        <v>54.6</v>
      </c>
      <c r="K7" s="7" t="n">
        <v>99.40000000000001</v>
      </c>
      <c r="M7" s="6" t="inlineStr">
        <is>
          <t>15min</t>
        </is>
      </c>
      <c r="N7" s="6" t="n">
        <v>11.6</v>
      </c>
      <c r="O7" s="6" t="n">
        <v>17.4</v>
      </c>
      <c r="P7" s="6" t="n">
        <v>20.9</v>
      </c>
      <c r="Q7" s="6" t="n">
        <v>24.9</v>
      </c>
      <c r="R7" s="6" t="n">
        <v>27.7</v>
      </c>
      <c r="S7" s="6" t="n">
        <v>30.3</v>
      </c>
      <c r="T7" s="6" t="n">
        <v>32.7</v>
      </c>
      <c r="U7" s="6" t="n">
        <v>35.6</v>
      </c>
      <c r="V7" s="6" t="n">
        <v>37.6</v>
      </c>
      <c r="W7" s="6" t="n">
        <v>39.5</v>
      </c>
      <c r="X7" s="6" t="n">
        <v>41.8</v>
      </c>
      <c r="Y7" s="6" t="n">
        <v>43.5</v>
      </c>
    </row>
    <row r="8">
      <c r="A8" s="6" t="n">
        <v>2019</v>
      </c>
      <c r="B8" s="7" t="n">
        <v>7.4</v>
      </c>
      <c r="C8" s="7" t="n">
        <v>10.8</v>
      </c>
      <c r="D8" s="7" t="n">
        <v>13.2</v>
      </c>
      <c r="E8" s="7" t="n">
        <v>15.7</v>
      </c>
      <c r="F8" s="7" t="n">
        <v>16.4</v>
      </c>
      <c r="G8" s="7" t="n">
        <v>26.6</v>
      </c>
      <c r="H8" s="7" t="n">
        <v>30.4</v>
      </c>
      <c r="I8" s="7" t="n">
        <v>38.4</v>
      </c>
      <c r="J8" s="7" t="n">
        <v>51.6</v>
      </c>
      <c r="K8" s="7" t="n">
        <v>51.6</v>
      </c>
      <c r="M8" s="6" t="inlineStr">
        <is>
          <t>30min</t>
        </is>
      </c>
      <c r="N8" s="6" t="n">
        <v>15.7</v>
      </c>
      <c r="O8" s="6" t="n">
        <v>24.1</v>
      </c>
      <c r="P8" s="6" t="n">
        <v>29.5</v>
      </c>
      <c r="Q8" s="6" t="n">
        <v>36.2</v>
      </c>
      <c r="R8" s="6" t="n">
        <v>40.9</v>
      </c>
      <c r="S8" s="6" t="n">
        <v>45.5</v>
      </c>
      <c r="T8" s="6" t="n">
        <v>50</v>
      </c>
      <c r="U8" s="6" t="n">
        <v>55.8</v>
      </c>
      <c r="V8" s="6" t="n">
        <v>60</v>
      </c>
      <c r="W8" s="6" t="n">
        <v>64.2</v>
      </c>
      <c r="X8" s="6" t="n">
        <v>69.5</v>
      </c>
      <c r="Y8" s="6" t="n">
        <v>73.40000000000001</v>
      </c>
    </row>
    <row r="9">
      <c r="A9" s="6" t="n">
        <v>2020</v>
      </c>
      <c r="B9" s="7" t="n">
        <v>12.8</v>
      </c>
      <c r="C9" s="7" t="n">
        <v>17.2</v>
      </c>
      <c r="D9" s="7" t="n">
        <v>22.4</v>
      </c>
      <c r="E9" s="7" t="n">
        <v>32.8</v>
      </c>
      <c r="F9" s="7" t="n">
        <v>51.5</v>
      </c>
      <c r="G9" s="7" t="n">
        <v>52</v>
      </c>
      <c r="H9" s="7" t="n">
        <v>52</v>
      </c>
      <c r="I9" s="7" t="n">
        <v>52</v>
      </c>
      <c r="J9" s="7" t="n">
        <v>52</v>
      </c>
      <c r="K9" s="7" t="n">
        <v>52</v>
      </c>
      <c r="M9" s="6" t="inlineStr">
        <is>
          <t>1h</t>
        </is>
      </c>
      <c r="N9" s="6" t="n">
        <v>19.2</v>
      </c>
      <c r="O9" s="6" t="n">
        <v>30</v>
      </c>
      <c r="P9" s="6" t="n">
        <v>37.2</v>
      </c>
      <c r="Q9" s="6" t="n">
        <v>46.5</v>
      </c>
      <c r="R9" s="6" t="n">
        <v>53.6</v>
      </c>
      <c r="S9" s="6" t="n">
        <v>60.7</v>
      </c>
      <c r="T9" s="6" t="n">
        <v>67.8</v>
      </c>
      <c r="U9" s="6" t="n">
        <v>77.40000000000001</v>
      </c>
      <c r="V9" s="6" t="n">
        <v>84.8</v>
      </c>
      <c r="W9" s="6" t="n">
        <v>92.2</v>
      </c>
      <c r="X9" s="6" t="n">
        <v>102.3</v>
      </c>
      <c r="Y9" s="6" t="n">
        <v>110</v>
      </c>
    </row>
    <row r="10">
      <c r="M10" s="6" t="inlineStr">
        <is>
          <t>2h</t>
        </is>
      </c>
      <c r="N10" s="6" t="n">
        <v>22.6</v>
      </c>
      <c r="O10" s="6" t="n">
        <v>35.9</v>
      </c>
      <c r="P10" s="6" t="n">
        <v>45.4</v>
      </c>
      <c r="Q10" s="6" t="n">
        <v>58.3</v>
      </c>
      <c r="R10" s="6" t="n">
        <v>68.5</v>
      </c>
      <c r="S10" s="6" t="n">
        <v>79.2</v>
      </c>
      <c r="T10" s="6" t="n">
        <v>90.5</v>
      </c>
      <c r="U10" s="6" t="n">
        <v>106.4</v>
      </c>
      <c r="V10" s="6" t="n">
        <v>119.3</v>
      </c>
      <c r="W10" s="6" t="n">
        <v>132.8</v>
      </c>
      <c r="X10" s="6" t="n">
        <v>152</v>
      </c>
      <c r="Y10" s="6" t="n">
        <v>167.4</v>
      </c>
    </row>
    <row r="11">
      <c r="M11" s="6" t="inlineStr">
        <is>
          <t>3h</t>
        </is>
      </c>
      <c r="N11" s="6" t="n">
        <v>24.7</v>
      </c>
      <c r="O11" s="6" t="n">
        <v>39.7</v>
      </c>
      <c r="P11" s="6" t="n">
        <v>50.6</v>
      </c>
      <c r="Q11" s="6" t="n">
        <v>65.7</v>
      </c>
      <c r="R11" s="6" t="n">
        <v>77.8</v>
      </c>
      <c r="S11" s="6" t="n">
        <v>90.7</v>
      </c>
      <c r="T11" s="6" t="n">
        <v>104.5</v>
      </c>
      <c r="U11" s="6" t="n">
        <v>124.3</v>
      </c>
      <c r="V11" s="6" t="n">
        <v>140.5</v>
      </c>
      <c r="W11" s="6" t="n">
        <v>157.9</v>
      </c>
      <c r="X11" s="6" t="n">
        <v>182.9</v>
      </c>
      <c r="Y11" s="6" t="n">
        <v>203.4</v>
      </c>
    </row>
    <row r="12">
      <c r="A12" s="2" t="inlineStr">
        <is>
          <t>AMS AFTER gap filling (mm)  -  yellow = added or changed by gap filling</t>
        </is>
      </c>
      <c r="M12" s="6" t="inlineStr">
        <is>
          <t>6h</t>
        </is>
      </c>
      <c r="N12" s="6" t="n">
        <v>28.2</v>
      </c>
      <c r="O12" s="6" t="n">
        <v>46.7</v>
      </c>
      <c r="P12" s="6" t="n">
        <v>60.6</v>
      </c>
      <c r="Q12" s="6" t="n">
        <v>80.5</v>
      </c>
      <c r="R12" s="6" t="n">
        <v>96.90000000000001</v>
      </c>
      <c r="S12" s="6" t="n">
        <v>115</v>
      </c>
      <c r="T12" s="6" t="n">
        <v>134.7</v>
      </c>
      <c r="U12" s="6" t="n">
        <v>163.9</v>
      </c>
      <c r="V12" s="6" t="n">
        <v>188.5</v>
      </c>
      <c r="W12" s="6" t="n">
        <v>215.6</v>
      </c>
      <c r="X12" s="6" t="n">
        <v>255.7</v>
      </c>
      <c r="Y12" s="6" t="n">
        <v>289.5</v>
      </c>
    </row>
    <row r="13">
      <c r="A13" s="4" t="inlineStr">
        <is>
          <t>Water year</t>
        </is>
      </c>
      <c r="B13" s="5" t="inlineStr">
        <is>
          <t>5min</t>
        </is>
      </c>
      <c r="C13" s="5" t="inlineStr">
        <is>
          <t>10min</t>
        </is>
      </c>
      <c r="D13" s="5" t="inlineStr">
        <is>
          <t>15min</t>
        </is>
      </c>
      <c r="E13" s="5" t="inlineStr">
        <is>
          <t>30min</t>
        </is>
      </c>
      <c r="F13" s="5" t="inlineStr">
        <is>
          <t>1h</t>
        </is>
      </c>
      <c r="G13" s="5" t="inlineStr">
        <is>
          <t>2h</t>
        </is>
      </c>
      <c r="H13" s="5" t="inlineStr">
        <is>
          <t>3h</t>
        </is>
      </c>
      <c r="I13" s="5" t="inlineStr">
        <is>
          <t>6h</t>
        </is>
      </c>
      <c r="J13" s="5" t="inlineStr">
        <is>
          <t>12h</t>
        </is>
      </c>
      <c r="K13" s="5" t="inlineStr">
        <is>
          <t>24h</t>
        </is>
      </c>
      <c r="M13" s="6" t="inlineStr">
        <is>
          <t>12h</t>
        </is>
      </c>
      <c r="N13" s="6" t="n">
        <v>31</v>
      </c>
      <c r="O13" s="6" t="n">
        <v>55</v>
      </c>
      <c r="P13" s="6" t="n">
        <v>75.09999999999999</v>
      </c>
      <c r="Q13" s="6" t="n">
        <v>106.5</v>
      </c>
      <c r="R13" s="6" t="n">
        <v>135</v>
      </c>
      <c r="S13" s="6" t="n">
        <v>168.8</v>
      </c>
      <c r="T13" s="6" t="n">
        <v>208.8</v>
      </c>
      <c r="U13" s="6" t="n">
        <v>273.4</v>
      </c>
      <c r="V13" s="6" t="n">
        <v>333</v>
      </c>
      <c r="W13" s="6" t="n">
        <v>403.8</v>
      </c>
      <c r="X13" s="6" t="n">
        <v>518.2</v>
      </c>
      <c r="Y13" s="6" t="n">
        <v>623.8</v>
      </c>
    </row>
    <row r="14">
      <c r="A14" s="6" t="n">
        <v>2016</v>
      </c>
      <c r="B14" s="7" t="n">
        <v>12.8</v>
      </c>
      <c r="C14" s="7" t="n">
        <v>18.4</v>
      </c>
      <c r="D14" s="7" t="n">
        <v>20.4</v>
      </c>
      <c r="E14" s="7" t="n">
        <v>28.4</v>
      </c>
      <c r="F14" s="7" t="n">
        <v>39.7</v>
      </c>
      <c r="G14" s="7" t="n">
        <v>60.6</v>
      </c>
      <c r="H14" s="7" t="n">
        <v>78</v>
      </c>
      <c r="I14" s="7" t="n">
        <v>80.59999999999999</v>
      </c>
      <c r="J14" s="7" t="n">
        <v>80.59999999999999</v>
      </c>
      <c r="K14" s="7" t="n">
        <v>80.59999999999999</v>
      </c>
      <c r="M14" s="6" t="inlineStr">
        <is>
          <t>24h</t>
        </is>
      </c>
      <c r="N14" s="6" t="n">
        <v>35.3</v>
      </c>
      <c r="O14" s="6" t="n">
        <v>63.7</v>
      </c>
      <c r="P14" s="6" t="n">
        <v>87.40000000000001</v>
      </c>
      <c r="Q14" s="6" t="n">
        <v>124.2</v>
      </c>
      <c r="R14" s="6" t="n">
        <v>157.6</v>
      </c>
      <c r="S14" s="6" t="n">
        <v>197</v>
      </c>
      <c r="T14" s="6" t="n">
        <v>243.5</v>
      </c>
      <c r="U14" s="6" t="n">
        <v>318.3</v>
      </c>
      <c r="V14" s="6" t="n">
        <v>387.1</v>
      </c>
      <c r="W14" s="6" t="n">
        <v>468.6</v>
      </c>
      <c r="X14" s="6" t="n">
        <v>599.9</v>
      </c>
      <c r="Y14" s="6" t="n">
        <v>720.7</v>
      </c>
    </row>
    <row r="15">
      <c r="A15" s="6" t="n">
        <v>2017</v>
      </c>
      <c r="B15" s="7" t="n">
        <v>10.6</v>
      </c>
      <c r="C15" s="7" t="n">
        <v>18.8</v>
      </c>
      <c r="D15" s="7" t="n">
        <v>24.9</v>
      </c>
      <c r="E15" s="7" t="n">
        <v>36.7</v>
      </c>
      <c r="F15" s="7" t="n">
        <v>43.1</v>
      </c>
      <c r="G15" s="7" t="n">
        <v>59.2</v>
      </c>
      <c r="H15" s="7" t="n">
        <v>68.3</v>
      </c>
      <c r="I15" s="7" t="n">
        <v>100</v>
      </c>
      <c r="J15" s="7" t="n">
        <v>113.5</v>
      </c>
      <c r="K15" s="7" t="n">
        <v>113.6</v>
      </c>
    </row>
    <row r="16">
      <c r="A16" s="6" t="n">
        <v>2018</v>
      </c>
      <c r="B16" s="7" t="n">
        <v>9.199999999999999</v>
      </c>
      <c r="C16" s="7" t="n">
        <v>13.8</v>
      </c>
      <c r="D16" s="7" t="n">
        <v>15.8</v>
      </c>
      <c r="E16" s="7" t="n">
        <v>20</v>
      </c>
      <c r="F16" s="7" t="n">
        <v>38.8</v>
      </c>
      <c r="G16" s="7" t="n">
        <v>53.8</v>
      </c>
      <c r="H16" s="7" t="n">
        <v>54.2</v>
      </c>
      <c r="I16" s="7" t="n">
        <v>54.4</v>
      </c>
      <c r="J16" s="7" t="n">
        <v>54.6</v>
      </c>
      <c r="K16" s="7" t="n">
        <v>99.40000000000001</v>
      </c>
      <c r="M16" s="3" t="inlineStr">
        <is>
          <t>IDF - intensity (mm/hr) [x=duration(min)]</t>
        </is>
      </c>
    </row>
    <row r="17">
      <c r="A17" s="6" t="n">
        <v>2019</v>
      </c>
      <c r="B17" s="7" t="n">
        <v>7.4</v>
      </c>
      <c r="C17" s="7" t="n">
        <v>10.8</v>
      </c>
      <c r="D17" s="7" t="n">
        <v>13.2</v>
      </c>
      <c r="E17" s="7" t="n">
        <v>15.7</v>
      </c>
      <c r="F17" s="7" t="n">
        <v>16.4</v>
      </c>
      <c r="G17" s="7" t="n">
        <v>26.6</v>
      </c>
      <c r="H17" s="7" t="n">
        <v>30.4</v>
      </c>
      <c r="I17" s="7" t="n">
        <v>38.4</v>
      </c>
      <c r="J17" s="7" t="n">
        <v>51.6</v>
      </c>
      <c r="K17" s="7" t="n">
        <v>51.6</v>
      </c>
      <c r="M17" t="inlineStr">
        <is>
          <t>Duration(min)</t>
        </is>
      </c>
      <c r="N17" t="inlineStr">
        <is>
          <t>2 yr</t>
        </is>
      </c>
      <c r="O17" t="inlineStr">
        <is>
          <t>5 yr</t>
        </is>
      </c>
      <c r="P17" t="inlineStr">
        <is>
          <t>10 yr</t>
        </is>
      </c>
      <c r="Q17" t="inlineStr">
        <is>
          <t>25 yr</t>
        </is>
      </c>
      <c r="R17" t="inlineStr">
        <is>
          <t>50 yr</t>
        </is>
      </c>
      <c r="S17" t="inlineStr">
        <is>
          <t>100 yr</t>
        </is>
      </c>
      <c r="T17" t="inlineStr">
        <is>
          <t>200 yr</t>
        </is>
      </c>
      <c r="U17" t="inlineStr">
        <is>
          <t>500 yr</t>
        </is>
      </c>
      <c r="V17" t="inlineStr">
        <is>
          <t>1000 yr</t>
        </is>
      </c>
      <c r="W17" t="inlineStr">
        <is>
          <t>2000 yr</t>
        </is>
      </c>
      <c r="X17" t="inlineStr">
        <is>
          <t>5000 yr</t>
        </is>
      </c>
      <c r="Y17" t="inlineStr">
        <is>
          <t>10000 yr</t>
        </is>
      </c>
    </row>
    <row r="18">
      <c r="A18" s="6" t="n">
        <v>2020</v>
      </c>
      <c r="B18" s="7" t="n">
        <v>12.8</v>
      </c>
      <c r="C18" s="7" t="n">
        <v>17.2</v>
      </c>
      <c r="D18" s="7" t="n">
        <v>22.4</v>
      </c>
      <c r="E18" s="7" t="n">
        <v>32.8</v>
      </c>
      <c r="F18" s="7" t="n">
        <v>51.5</v>
      </c>
      <c r="G18" s="7" t="n">
        <v>52</v>
      </c>
      <c r="H18" s="7" t="n">
        <v>52</v>
      </c>
      <c r="I18" s="7" t="n">
        <v>52</v>
      </c>
      <c r="J18" s="7" t="n">
        <v>52</v>
      </c>
      <c r="K18" s="7" t="n">
        <v>52</v>
      </c>
      <c r="M18" t="n">
        <v>5</v>
      </c>
      <c r="N18" t="n">
        <v>67.3</v>
      </c>
      <c r="O18" t="n">
        <v>98.2</v>
      </c>
      <c r="P18" t="n">
        <v>115.7</v>
      </c>
      <c r="Q18" t="n">
        <v>135</v>
      </c>
      <c r="R18" t="n">
        <v>147.5</v>
      </c>
      <c r="S18" t="n">
        <v>158.5</v>
      </c>
      <c r="T18" t="n">
        <v>168.4</v>
      </c>
      <c r="U18" t="n">
        <v>179.7</v>
      </c>
      <c r="V18" t="n">
        <v>187.3</v>
      </c>
      <c r="W18" t="n">
        <v>194</v>
      </c>
      <c r="X18" t="n">
        <v>201.8</v>
      </c>
      <c r="Y18" t="n">
        <v>207</v>
      </c>
    </row>
    <row r="19">
      <c r="M19" t="n">
        <v>10</v>
      </c>
      <c r="N19" t="n">
        <v>55.7</v>
      </c>
      <c r="O19" t="n">
        <v>81.59999999999999</v>
      </c>
      <c r="P19" t="n">
        <v>96.5</v>
      </c>
      <c r="Q19" t="n">
        <v>113.1</v>
      </c>
      <c r="R19" t="n">
        <v>123.9</v>
      </c>
      <c r="S19" t="n">
        <v>133.6</v>
      </c>
      <c r="T19" t="n">
        <v>142.3</v>
      </c>
      <c r="U19" t="n">
        <v>152.4</v>
      </c>
      <c r="V19" t="n">
        <v>159.2</v>
      </c>
      <c r="W19" t="n">
        <v>165.3</v>
      </c>
      <c r="X19" t="n">
        <v>172.4</v>
      </c>
      <c r="Y19" t="n">
        <v>177.2</v>
      </c>
    </row>
    <row r="20">
      <c r="M20" t="n">
        <v>15</v>
      </c>
      <c r="N20" t="n">
        <v>46.4</v>
      </c>
      <c r="O20" t="n">
        <v>69.5</v>
      </c>
      <c r="P20" t="n">
        <v>83.40000000000001</v>
      </c>
      <c r="Q20" t="n">
        <v>99.7</v>
      </c>
      <c r="R20" t="n">
        <v>110.8</v>
      </c>
      <c r="S20" t="n">
        <v>121</v>
      </c>
      <c r="T20" t="n">
        <v>130.6</v>
      </c>
      <c r="U20" t="n">
        <v>142.3</v>
      </c>
      <c r="V20" t="n">
        <v>150.4</v>
      </c>
      <c r="W20" t="n">
        <v>158</v>
      </c>
      <c r="X20" t="n">
        <v>167.3</v>
      </c>
      <c r="Y20" t="n">
        <v>173.8</v>
      </c>
    </row>
    <row r="21">
      <c r="M21" t="n">
        <v>30</v>
      </c>
      <c r="N21" t="n">
        <v>31.4</v>
      </c>
      <c r="O21" t="n">
        <v>48.3</v>
      </c>
      <c r="P21" t="n">
        <v>59.1</v>
      </c>
      <c r="Q21" t="n">
        <v>72.3</v>
      </c>
      <c r="R21" t="n">
        <v>81.8</v>
      </c>
      <c r="S21" t="n">
        <v>91.09999999999999</v>
      </c>
      <c r="T21" t="n">
        <v>100.1</v>
      </c>
      <c r="U21" t="n">
        <v>111.6</v>
      </c>
      <c r="V21" t="n">
        <v>120.1</v>
      </c>
      <c r="W21" t="n">
        <v>128.3</v>
      </c>
      <c r="X21" t="n">
        <v>138.9</v>
      </c>
      <c r="Y21" t="n">
        <v>146.7</v>
      </c>
    </row>
    <row r="22">
      <c r="M22" t="n">
        <v>60</v>
      </c>
      <c r="N22" t="n">
        <v>19.2</v>
      </c>
      <c r="O22" t="n">
        <v>30</v>
      </c>
      <c r="P22" t="n">
        <v>37.2</v>
      </c>
      <c r="Q22" t="n">
        <v>46.5</v>
      </c>
      <c r="R22" t="n">
        <v>53.6</v>
      </c>
      <c r="S22" t="n">
        <v>60.7</v>
      </c>
      <c r="T22" t="n">
        <v>67.8</v>
      </c>
      <c r="U22" t="n">
        <v>77.40000000000001</v>
      </c>
      <c r="V22" t="n">
        <v>84.8</v>
      </c>
      <c r="W22" t="n">
        <v>92.2</v>
      </c>
      <c r="X22" t="n">
        <v>102.3</v>
      </c>
      <c r="Y22" t="n">
        <v>110</v>
      </c>
    </row>
    <row r="23">
      <c r="M23" t="n">
        <v>120</v>
      </c>
      <c r="N23" t="n">
        <v>11.3</v>
      </c>
      <c r="O23" t="n">
        <v>18</v>
      </c>
      <c r="P23" t="n">
        <v>22.7</v>
      </c>
      <c r="Q23" t="n">
        <v>29.1</v>
      </c>
      <c r="R23" t="n">
        <v>34.2</v>
      </c>
      <c r="S23" t="n">
        <v>39.6</v>
      </c>
      <c r="T23" t="n">
        <v>45.3</v>
      </c>
      <c r="U23" t="n">
        <v>53.2</v>
      </c>
      <c r="V23" t="n">
        <v>59.6</v>
      </c>
      <c r="W23" t="n">
        <v>66.40000000000001</v>
      </c>
      <c r="X23" t="n">
        <v>76</v>
      </c>
      <c r="Y23" t="n">
        <v>83.7</v>
      </c>
    </row>
    <row r="24">
      <c r="M24" t="n">
        <v>180</v>
      </c>
      <c r="N24" t="n">
        <v>8.199999999999999</v>
      </c>
      <c r="O24" t="n">
        <v>13.2</v>
      </c>
      <c r="P24" t="n">
        <v>16.9</v>
      </c>
      <c r="Q24" t="n">
        <v>21.9</v>
      </c>
      <c r="R24" t="n">
        <v>25.9</v>
      </c>
      <c r="S24" t="n">
        <v>30.2</v>
      </c>
      <c r="T24" t="n">
        <v>34.8</v>
      </c>
      <c r="U24" t="n">
        <v>41.4</v>
      </c>
      <c r="V24" t="n">
        <v>46.8</v>
      </c>
      <c r="W24" t="n">
        <v>52.6</v>
      </c>
      <c r="X24" t="n">
        <v>61</v>
      </c>
      <c r="Y24" t="n">
        <v>67.8</v>
      </c>
    </row>
    <row r="25">
      <c r="M25" t="n">
        <v>360</v>
      </c>
      <c r="N25" t="n">
        <v>4.7</v>
      </c>
      <c r="O25" t="n">
        <v>7.8</v>
      </c>
      <c r="P25" t="n">
        <v>10.1</v>
      </c>
      <c r="Q25" t="n">
        <v>13.4</v>
      </c>
      <c r="R25" t="n">
        <v>16.2</v>
      </c>
      <c r="S25" t="n">
        <v>19.2</v>
      </c>
      <c r="T25" t="n">
        <v>22.5</v>
      </c>
      <c r="U25" t="n">
        <v>27.3</v>
      </c>
      <c r="V25" t="n">
        <v>31.4</v>
      </c>
      <c r="W25" t="n">
        <v>35.9</v>
      </c>
      <c r="X25" t="n">
        <v>42.6</v>
      </c>
      <c r="Y25" t="n">
        <v>48.3</v>
      </c>
    </row>
    <row r="26">
      <c r="M26" t="n">
        <v>720</v>
      </c>
      <c r="N26" t="n">
        <v>2.6</v>
      </c>
      <c r="O26" t="n">
        <v>4.6</v>
      </c>
      <c r="P26" t="n">
        <v>6.3</v>
      </c>
      <c r="Q26" t="n">
        <v>8.9</v>
      </c>
      <c r="R26" t="n">
        <v>11.3</v>
      </c>
      <c r="S26" t="n">
        <v>14.1</v>
      </c>
      <c r="T26" t="n">
        <v>17.4</v>
      </c>
      <c r="U26" t="n">
        <v>22.8</v>
      </c>
      <c r="V26" t="n">
        <v>27.7</v>
      </c>
      <c r="W26" t="n">
        <v>33.6</v>
      </c>
      <c r="X26" t="n">
        <v>43.2</v>
      </c>
      <c r="Y26" t="n">
        <v>52</v>
      </c>
    </row>
    <row r="27">
      <c r="M27" t="n">
        <v>1440</v>
      </c>
      <c r="N27" t="n">
        <v>1.5</v>
      </c>
      <c r="O27" t="n">
        <v>2.7</v>
      </c>
      <c r="P27" t="n">
        <v>3.6</v>
      </c>
      <c r="Q27" t="n">
        <v>5.2</v>
      </c>
      <c r="R27" t="n">
        <v>6.6</v>
      </c>
      <c r="S27" t="n">
        <v>8.199999999999999</v>
      </c>
      <c r="T27" t="n">
        <v>10.1</v>
      </c>
      <c r="U27" t="n">
        <v>13.3</v>
      </c>
      <c r="V27" t="n">
        <v>16.1</v>
      </c>
      <c r="W27" t="n">
        <v>19.5</v>
      </c>
      <c r="X27" t="n">
        <v>25</v>
      </c>
      <c r="Y27" t="n">
        <v>30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Y40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</cols>
  <sheetData>
    <row r="1">
      <c r="A1" s="1" t="inlineStr">
        <is>
          <t>Gauge 72  |  FL331254AF  |  TOWER NEAR RAWDAH</t>
        </is>
      </c>
    </row>
    <row r="3">
      <c r="A3" s="2" t="inlineStr">
        <is>
          <t>AMS BEFORE gap filling (observed only, mm)</t>
        </is>
      </c>
      <c r="M3" s="3" t="inlineStr">
        <is>
          <t>IDF - design rainfall DEPTH (mm)</t>
        </is>
      </c>
    </row>
    <row r="4">
      <c r="A4" s="4" t="inlineStr">
        <is>
          <t>Water year</t>
        </is>
      </c>
      <c r="B4" s="5" t="inlineStr">
        <is>
          <t>5min</t>
        </is>
      </c>
      <c r="C4" s="5" t="inlineStr">
        <is>
          <t>10min</t>
        </is>
      </c>
      <c r="D4" s="5" t="inlineStr">
        <is>
          <t>15min</t>
        </is>
      </c>
      <c r="E4" s="5" t="inlineStr">
        <is>
          <t>30min</t>
        </is>
      </c>
      <c r="F4" s="5" t="inlineStr">
        <is>
          <t>1h</t>
        </is>
      </c>
      <c r="G4" s="5" t="inlineStr">
        <is>
          <t>2h</t>
        </is>
      </c>
      <c r="H4" s="5" t="inlineStr">
        <is>
          <t>3h</t>
        </is>
      </c>
      <c r="I4" s="5" t="inlineStr">
        <is>
          <t>6h</t>
        </is>
      </c>
      <c r="J4" s="5" t="inlineStr">
        <is>
          <t>12h</t>
        </is>
      </c>
      <c r="K4" s="5" t="inlineStr">
        <is>
          <t>24h</t>
        </is>
      </c>
      <c r="M4" s="4" t="inlineStr">
        <is>
          <t>Duration \ RP</t>
        </is>
      </c>
      <c r="N4" s="4" t="n">
        <v>2</v>
      </c>
      <c r="O4" s="4" t="n">
        <v>5</v>
      </c>
      <c r="P4" s="4" t="n">
        <v>10</v>
      </c>
      <c r="Q4" s="4" t="n">
        <v>25</v>
      </c>
      <c r="R4" s="4" t="n">
        <v>50</v>
      </c>
      <c r="S4" s="4" t="n">
        <v>100</v>
      </c>
      <c r="T4" s="4" t="n">
        <v>200</v>
      </c>
      <c r="U4" s="4" t="n">
        <v>500</v>
      </c>
      <c r="V4" s="4" t="n">
        <v>1000</v>
      </c>
      <c r="W4" s="4" t="n">
        <v>2000</v>
      </c>
      <c r="X4" s="4" t="n">
        <v>5000</v>
      </c>
      <c r="Y4" s="4" t="n">
        <v>10000</v>
      </c>
    </row>
    <row r="5">
      <c r="A5" s="6" t="n">
        <v>1993</v>
      </c>
      <c r="B5" s="7" t="n">
        <v>4.6</v>
      </c>
      <c r="C5" s="7" t="n">
        <v>6.2</v>
      </c>
      <c r="D5" s="7" t="n">
        <v>7.6</v>
      </c>
      <c r="E5" s="7" t="n">
        <v>8.199999999999999</v>
      </c>
      <c r="F5" s="7" t="n">
        <v>9.6</v>
      </c>
      <c r="G5" s="7" t="n">
        <v>9.9</v>
      </c>
      <c r="H5" s="7" t="n">
        <v>11.5</v>
      </c>
      <c r="I5" s="7" t="n">
        <v>11.7</v>
      </c>
      <c r="J5" s="7" t="n">
        <v>11.9</v>
      </c>
      <c r="K5" s="7" t="n">
        <v>12.4</v>
      </c>
      <c r="M5" s="6" t="inlineStr">
        <is>
          <t>5min</t>
        </is>
      </c>
      <c r="N5" s="6" t="n">
        <v>5.6</v>
      </c>
      <c r="O5" s="6" t="n">
        <v>8.4</v>
      </c>
      <c r="P5" s="6" t="n">
        <v>10.5</v>
      </c>
      <c r="Q5" s="6" t="n">
        <v>13.4</v>
      </c>
      <c r="R5" s="6" t="n">
        <v>15.8</v>
      </c>
      <c r="S5" s="6" t="n">
        <v>18.3</v>
      </c>
      <c r="T5" s="6" t="n">
        <v>21</v>
      </c>
      <c r="U5" s="6" t="n">
        <v>24.8</v>
      </c>
      <c r="V5" s="6" t="n">
        <v>28</v>
      </c>
      <c r="W5" s="6" t="n">
        <v>31.4</v>
      </c>
      <c r="X5" s="6" t="n">
        <v>36.4</v>
      </c>
      <c r="Y5" s="6" t="n">
        <v>40.4</v>
      </c>
    </row>
    <row r="6">
      <c r="A6" s="6" t="n">
        <v>1994</v>
      </c>
      <c r="B6" s="7" t="n">
        <v>9</v>
      </c>
      <c r="C6" s="7" t="n">
        <v>16.2</v>
      </c>
      <c r="D6" s="7" t="n">
        <v>21.6</v>
      </c>
      <c r="E6" s="7" t="n">
        <v>31</v>
      </c>
      <c r="F6" s="7" t="n">
        <v>35.6</v>
      </c>
      <c r="G6" s="7" t="n">
        <v>36</v>
      </c>
      <c r="H6" s="7" t="n">
        <v>36.1</v>
      </c>
      <c r="I6" s="7" t="n">
        <v>36.1</v>
      </c>
      <c r="J6" s="7" t="n">
        <v>36.3</v>
      </c>
      <c r="K6" s="7" t="n">
        <v>50</v>
      </c>
      <c r="M6" s="6" t="inlineStr">
        <is>
          <t>10min</t>
        </is>
      </c>
      <c r="N6" s="6" t="n">
        <v>9.1</v>
      </c>
      <c r="O6" s="6" t="n">
        <v>14</v>
      </c>
      <c r="P6" s="6" t="n">
        <v>17.6</v>
      </c>
      <c r="Q6" s="6" t="n">
        <v>22.5</v>
      </c>
      <c r="R6" s="6" t="n">
        <v>26.5</v>
      </c>
      <c r="S6" s="6" t="n">
        <v>30.8</v>
      </c>
      <c r="T6" s="6" t="n">
        <v>35.3</v>
      </c>
      <c r="U6" s="6" t="n">
        <v>41.9</v>
      </c>
      <c r="V6" s="6" t="n">
        <v>47.2</v>
      </c>
      <c r="W6" s="6" t="n">
        <v>53</v>
      </c>
      <c r="X6" s="6" t="n">
        <v>61.2</v>
      </c>
      <c r="Y6" s="6" t="n">
        <v>68</v>
      </c>
    </row>
    <row r="7">
      <c r="A7" s="6" t="n">
        <v>1995</v>
      </c>
      <c r="B7" s="7" t="n">
        <v>5.8</v>
      </c>
      <c r="C7" s="7" t="n">
        <v>10.6</v>
      </c>
      <c r="D7" s="7" t="n">
        <v>14.8</v>
      </c>
      <c r="E7" s="7" t="n">
        <v>22.4</v>
      </c>
      <c r="F7" s="7" t="n">
        <v>25.2</v>
      </c>
      <c r="G7" s="7" t="n">
        <v>34</v>
      </c>
      <c r="H7" s="7" t="n">
        <v>34</v>
      </c>
      <c r="I7" s="7" t="n">
        <v>34.1</v>
      </c>
      <c r="J7" s="7" t="n">
        <v>34.2</v>
      </c>
      <c r="K7" s="7" t="n">
        <v>34.4</v>
      </c>
      <c r="M7" s="6" t="inlineStr">
        <is>
          <t>15min</t>
        </is>
      </c>
      <c r="N7" s="6" t="n">
        <v>11.6</v>
      </c>
      <c r="O7" s="6" t="n">
        <v>18</v>
      </c>
      <c r="P7" s="6" t="n">
        <v>22.6</v>
      </c>
      <c r="Q7" s="6" t="n">
        <v>28.8</v>
      </c>
      <c r="R7" s="6" t="n">
        <v>33.7</v>
      </c>
      <c r="S7" s="6" t="n">
        <v>38.9</v>
      </c>
      <c r="T7" s="6" t="n">
        <v>44.4</v>
      </c>
      <c r="U7" s="6" t="n">
        <v>52.2</v>
      </c>
      <c r="V7" s="6" t="n">
        <v>58.5</v>
      </c>
      <c r="W7" s="6" t="n">
        <v>65.2</v>
      </c>
      <c r="X7" s="6" t="n">
        <v>74.59999999999999</v>
      </c>
      <c r="Y7" s="6" t="n">
        <v>82.3</v>
      </c>
    </row>
    <row r="8">
      <c r="A8" s="6" t="n">
        <v>1996</v>
      </c>
      <c r="B8" s="7" t="n">
        <v>18.2</v>
      </c>
      <c r="C8" s="7" t="n">
        <v>31.4</v>
      </c>
      <c r="D8" s="7" t="n">
        <v>36.4</v>
      </c>
      <c r="E8" s="7" t="n">
        <v>40.1</v>
      </c>
      <c r="F8" s="7" t="n">
        <v>43.8</v>
      </c>
      <c r="G8" s="7" t="n">
        <v>53.6</v>
      </c>
      <c r="H8" s="7" t="n">
        <v>60.6</v>
      </c>
      <c r="I8" s="7" t="n">
        <v>63.6</v>
      </c>
      <c r="J8" s="7" t="n">
        <v>66.40000000000001</v>
      </c>
      <c r="K8" s="7" t="n">
        <v>66.59999999999999</v>
      </c>
      <c r="M8" s="6" t="inlineStr">
        <is>
          <t>30min</t>
        </is>
      </c>
      <c r="N8" s="6" t="n">
        <v>16.1</v>
      </c>
      <c r="O8" s="6" t="n">
        <v>25.1</v>
      </c>
      <c r="P8" s="6" t="n">
        <v>31.3</v>
      </c>
      <c r="Q8" s="6" t="n">
        <v>39.5</v>
      </c>
      <c r="R8" s="6" t="n">
        <v>45.9</v>
      </c>
      <c r="S8" s="6" t="n">
        <v>52.4</v>
      </c>
      <c r="T8" s="6" t="n">
        <v>59.1</v>
      </c>
      <c r="U8" s="6" t="n">
        <v>68.40000000000001</v>
      </c>
      <c r="V8" s="6" t="n">
        <v>75.7</v>
      </c>
      <c r="W8" s="6" t="n">
        <v>83.3</v>
      </c>
      <c r="X8" s="6" t="n">
        <v>93.7</v>
      </c>
      <c r="Y8" s="6" t="n">
        <v>101.9</v>
      </c>
    </row>
    <row r="9">
      <c r="A9" s="6" t="n">
        <v>1997</v>
      </c>
      <c r="B9" s="7" t="n">
        <v>7.2</v>
      </c>
      <c r="C9" s="7" t="n">
        <v>14</v>
      </c>
      <c r="D9" s="7" t="n">
        <v>15</v>
      </c>
      <c r="E9" s="7" t="n">
        <v>23.6</v>
      </c>
      <c r="F9" s="7" t="n">
        <v>26.2</v>
      </c>
      <c r="G9" s="7" t="n">
        <v>29.8</v>
      </c>
      <c r="H9" s="7" t="n">
        <v>33.9</v>
      </c>
      <c r="I9" s="7" t="n">
        <v>46.6</v>
      </c>
      <c r="J9" s="7" t="n">
        <v>62.5</v>
      </c>
      <c r="K9" s="7" t="n">
        <v>63.3</v>
      </c>
      <c r="M9" s="6" t="inlineStr">
        <is>
          <t>1h</t>
        </is>
      </c>
      <c r="N9" s="6" t="n">
        <v>20.1</v>
      </c>
      <c r="O9" s="6" t="n">
        <v>31.1</v>
      </c>
      <c r="P9" s="6" t="n">
        <v>38.6</v>
      </c>
      <c r="Q9" s="6" t="n">
        <v>48.4</v>
      </c>
      <c r="R9" s="6" t="n">
        <v>55.9</v>
      </c>
      <c r="S9" s="6" t="n">
        <v>63.5</v>
      </c>
      <c r="T9" s="6" t="n">
        <v>71.3</v>
      </c>
      <c r="U9" s="6" t="n">
        <v>81.90000000000001</v>
      </c>
      <c r="V9" s="6" t="n">
        <v>90.09999999999999</v>
      </c>
      <c r="W9" s="6" t="n">
        <v>98.59999999999999</v>
      </c>
      <c r="X9" s="6" t="n">
        <v>110.1</v>
      </c>
      <c r="Y9" s="6" t="n">
        <v>119</v>
      </c>
    </row>
    <row r="10">
      <c r="A10" s="6" t="n">
        <v>1998</v>
      </c>
      <c r="B10" s="7" t="n">
        <v>8.4</v>
      </c>
      <c r="C10" s="7" t="n">
        <v>11.2</v>
      </c>
      <c r="D10" s="7" t="n">
        <v>12.2</v>
      </c>
      <c r="E10" s="7" t="n">
        <v>15.8</v>
      </c>
      <c r="F10" s="7" t="n">
        <v>19</v>
      </c>
      <c r="G10" s="7" t="n">
        <v>20.4</v>
      </c>
      <c r="H10" s="7" t="n">
        <v>20.7</v>
      </c>
      <c r="I10" s="7" t="n">
        <v>21.4</v>
      </c>
      <c r="J10" s="7" t="n">
        <v>22.3</v>
      </c>
      <c r="K10" s="7" t="n">
        <v>34.8</v>
      </c>
      <c r="M10" s="6" t="inlineStr">
        <is>
          <t>2h</t>
        </is>
      </c>
      <c r="N10" s="6" t="n">
        <v>23.4</v>
      </c>
      <c r="O10" s="6" t="n">
        <v>37</v>
      </c>
      <c r="P10" s="6" t="n">
        <v>46.4</v>
      </c>
      <c r="Q10" s="6" t="n">
        <v>58.9</v>
      </c>
      <c r="R10" s="6" t="n">
        <v>68.59999999999999</v>
      </c>
      <c r="S10" s="6" t="n">
        <v>78.59999999999999</v>
      </c>
      <c r="T10" s="6" t="n">
        <v>88.90000000000001</v>
      </c>
      <c r="U10" s="6" t="n">
        <v>103.2</v>
      </c>
      <c r="V10" s="6" t="n">
        <v>114.4</v>
      </c>
      <c r="W10" s="6" t="n">
        <v>126.1</v>
      </c>
      <c r="X10" s="6" t="n">
        <v>142.2</v>
      </c>
      <c r="Y10" s="6" t="n">
        <v>155</v>
      </c>
    </row>
    <row r="11">
      <c r="A11" s="6" t="n">
        <v>1999</v>
      </c>
      <c r="B11" s="7" t="n">
        <v>8</v>
      </c>
      <c r="C11" s="7" t="n">
        <v>15.6</v>
      </c>
      <c r="D11" s="7" t="n">
        <v>20.2</v>
      </c>
      <c r="E11" s="7" t="n">
        <v>30.4</v>
      </c>
      <c r="F11" s="7" t="n">
        <v>31.6</v>
      </c>
      <c r="G11" s="7" t="n">
        <v>34.6</v>
      </c>
      <c r="H11" s="7" t="n">
        <v>34.9</v>
      </c>
      <c r="I11" s="7" t="n">
        <v>35.9</v>
      </c>
      <c r="J11" s="7" t="n">
        <v>37.8</v>
      </c>
      <c r="K11" s="7" t="n">
        <v>41.7</v>
      </c>
      <c r="M11" s="6" t="inlineStr">
        <is>
          <t>3h</t>
        </is>
      </c>
      <c r="N11" s="6" t="n">
        <v>24.8</v>
      </c>
      <c r="O11" s="6" t="n">
        <v>40.3</v>
      </c>
      <c r="P11" s="6" t="n">
        <v>51.7</v>
      </c>
      <c r="Q11" s="6" t="n">
        <v>67.5</v>
      </c>
      <c r="R11" s="6" t="n">
        <v>80.3</v>
      </c>
      <c r="S11" s="6" t="n">
        <v>94</v>
      </c>
      <c r="T11" s="6" t="n">
        <v>108.8</v>
      </c>
      <c r="U11" s="6" t="n">
        <v>130.1</v>
      </c>
      <c r="V11" s="6" t="n">
        <v>147.6</v>
      </c>
      <c r="W11" s="6" t="n">
        <v>166.6</v>
      </c>
      <c r="X11" s="6" t="n">
        <v>193.9</v>
      </c>
      <c r="Y11" s="6" t="n">
        <v>216.5</v>
      </c>
    </row>
    <row r="12">
      <c r="A12" s="6" t="n">
        <v>2000</v>
      </c>
      <c r="B12" s="7" t="n">
        <v>4.2</v>
      </c>
      <c r="C12" s="7" t="n">
        <v>6.4</v>
      </c>
      <c r="D12" s="7" t="n">
        <v>9</v>
      </c>
      <c r="E12" s="7" t="n">
        <v>13.4</v>
      </c>
      <c r="F12" s="7" t="n">
        <v>17.8</v>
      </c>
      <c r="G12" s="7" t="n">
        <v>18.2</v>
      </c>
      <c r="H12" s="7" t="n">
        <v>18.2</v>
      </c>
      <c r="I12" s="7" t="n">
        <v>18.2</v>
      </c>
      <c r="J12" s="7" t="n">
        <v>18.3</v>
      </c>
      <c r="K12" s="7" t="n">
        <v>18.4</v>
      </c>
      <c r="M12" s="6" t="inlineStr">
        <is>
          <t>6h</t>
        </is>
      </c>
      <c r="N12" s="6" t="n">
        <v>27.6</v>
      </c>
      <c r="O12" s="6" t="n">
        <v>46.1</v>
      </c>
      <c r="P12" s="6" t="n">
        <v>59.8</v>
      </c>
      <c r="Q12" s="6" t="n">
        <v>78.8</v>
      </c>
      <c r="R12" s="6" t="n">
        <v>94.40000000000001</v>
      </c>
      <c r="S12" s="6" t="n">
        <v>111.2</v>
      </c>
      <c r="T12" s="6" t="n">
        <v>129.4</v>
      </c>
      <c r="U12" s="6" t="n">
        <v>155.8</v>
      </c>
      <c r="V12" s="6" t="n">
        <v>177.7</v>
      </c>
      <c r="W12" s="6" t="n">
        <v>201.5</v>
      </c>
      <c r="X12" s="6" t="n">
        <v>236</v>
      </c>
      <c r="Y12" s="6" t="n">
        <v>264.8</v>
      </c>
    </row>
    <row r="13">
      <c r="A13" s="6" t="n">
        <v>2001</v>
      </c>
      <c r="B13" s="7" t="n">
        <v>6.6</v>
      </c>
      <c r="C13" s="7" t="n">
        <v>10.8</v>
      </c>
      <c r="D13" s="7" t="n">
        <v>15</v>
      </c>
      <c r="E13" s="7" t="n">
        <v>21.8</v>
      </c>
      <c r="F13" s="7" t="n">
        <v>22.1</v>
      </c>
      <c r="G13" s="7" t="n">
        <v>26.2</v>
      </c>
      <c r="H13" s="7" t="n">
        <v>26.2</v>
      </c>
      <c r="I13" s="7" t="n">
        <v>26.2</v>
      </c>
      <c r="J13" s="7" t="n">
        <v>26.3</v>
      </c>
      <c r="K13" s="7" t="n">
        <v>26.4</v>
      </c>
      <c r="M13" s="6" t="inlineStr">
        <is>
          <t>12h</t>
        </is>
      </c>
      <c r="N13" s="6" t="n">
        <v>30.7</v>
      </c>
      <c r="O13" s="6" t="n">
        <v>52.2</v>
      </c>
      <c r="P13" s="6" t="n">
        <v>68.09999999999999</v>
      </c>
      <c r="Q13" s="6" t="n">
        <v>90.3</v>
      </c>
      <c r="R13" s="6" t="n">
        <v>108.6</v>
      </c>
      <c r="S13" s="6" t="n">
        <v>128.2</v>
      </c>
      <c r="T13" s="6" t="n">
        <v>149.5</v>
      </c>
      <c r="U13" s="6" t="n">
        <v>180.5</v>
      </c>
      <c r="V13" s="6" t="n">
        <v>206.3</v>
      </c>
      <c r="W13" s="6" t="n">
        <v>234.3</v>
      </c>
      <c r="X13" s="6" t="n">
        <v>275</v>
      </c>
      <c r="Y13" s="6" t="n">
        <v>309</v>
      </c>
    </row>
    <row r="14">
      <c r="A14" s="6" t="n">
        <v>2002</v>
      </c>
      <c r="B14" s="7" t="n">
        <v>4.2</v>
      </c>
      <c r="C14" s="7" t="n">
        <v>5.8</v>
      </c>
      <c r="D14" s="7" t="n">
        <v>7.2</v>
      </c>
      <c r="E14" s="7" t="n">
        <v>8.199999999999999</v>
      </c>
      <c r="F14" s="7" t="n">
        <v>9</v>
      </c>
      <c r="G14" s="7" t="n">
        <v>9</v>
      </c>
      <c r="H14" s="7" t="n">
        <v>9</v>
      </c>
      <c r="I14" s="7" t="n">
        <v>9</v>
      </c>
      <c r="J14" s="7" t="n">
        <v>9.1</v>
      </c>
      <c r="K14" s="7" t="n">
        <v>9.199999999999999</v>
      </c>
      <c r="M14" s="6" t="inlineStr">
        <is>
          <t>24h</t>
        </is>
      </c>
      <c r="N14" s="6" t="n">
        <v>34.1</v>
      </c>
      <c r="O14" s="6" t="n">
        <v>58.2</v>
      </c>
      <c r="P14" s="6" t="n">
        <v>76.2</v>
      </c>
      <c r="Q14" s="6" t="n">
        <v>101.4</v>
      </c>
      <c r="R14" s="6" t="n">
        <v>122</v>
      </c>
      <c r="S14" s="6" t="n">
        <v>144.4</v>
      </c>
      <c r="T14" s="6" t="n">
        <v>168.6</v>
      </c>
      <c r="U14" s="6" t="n">
        <v>203.9</v>
      </c>
      <c r="V14" s="6" t="n">
        <v>233.3</v>
      </c>
      <c r="W14" s="6" t="n">
        <v>265.3</v>
      </c>
      <c r="X14" s="6" t="n">
        <v>312</v>
      </c>
      <c r="Y14" s="6" t="n">
        <v>350.9</v>
      </c>
    </row>
    <row r="15">
      <c r="A15" s="6" t="n">
        <v>2003</v>
      </c>
      <c r="B15" s="7" t="n">
        <v>6</v>
      </c>
      <c r="C15" s="7" t="n">
        <v>7.8</v>
      </c>
      <c r="D15" s="7" t="n">
        <v>9.800000000000001</v>
      </c>
      <c r="E15" s="7" t="n">
        <v>13.2</v>
      </c>
      <c r="F15" s="7" t="n">
        <v>20.2</v>
      </c>
      <c r="G15" s="7" t="n">
        <v>25.2</v>
      </c>
      <c r="H15" s="7" t="n">
        <v>26.6</v>
      </c>
      <c r="I15" s="7" t="n">
        <v>26.7</v>
      </c>
      <c r="J15" s="7" t="n">
        <v>32</v>
      </c>
      <c r="K15" s="7" t="n">
        <v>32.1</v>
      </c>
    </row>
    <row r="16">
      <c r="A16" s="6" t="n">
        <v>2004</v>
      </c>
      <c r="B16" s="7" t="n">
        <v>9.199999999999999</v>
      </c>
      <c r="C16" s="7" t="n">
        <v>13</v>
      </c>
      <c r="D16" s="7" t="n">
        <v>16.4</v>
      </c>
      <c r="E16" s="7" t="n">
        <v>21.4</v>
      </c>
      <c r="F16" s="7" t="n">
        <v>22.2</v>
      </c>
      <c r="G16" s="7" t="n">
        <v>22.3</v>
      </c>
      <c r="H16" s="7" t="n">
        <v>22.4</v>
      </c>
      <c r="I16" s="7" t="n">
        <v>22.6</v>
      </c>
      <c r="J16" s="7" t="n">
        <v>22.7</v>
      </c>
      <c r="K16" s="7" t="n">
        <v>22.8</v>
      </c>
      <c r="M16" s="3" t="inlineStr">
        <is>
          <t>IDF - intensity (mm/hr) [x=duration(min)]</t>
        </is>
      </c>
    </row>
    <row r="17">
      <c r="A17" s="6" t="n">
        <v>2005</v>
      </c>
      <c r="B17" s="7" t="n">
        <v>6.4</v>
      </c>
      <c r="C17" s="7" t="n">
        <v>12.4</v>
      </c>
      <c r="D17" s="7" t="n">
        <v>13.8</v>
      </c>
      <c r="E17" s="7" t="n">
        <v>15.6</v>
      </c>
      <c r="F17" s="7" t="n">
        <v>19</v>
      </c>
      <c r="G17" s="7" t="n">
        <v>23.8</v>
      </c>
      <c r="H17" s="7" t="n">
        <v>30.2</v>
      </c>
      <c r="I17" s="7" t="n">
        <v>46.6</v>
      </c>
      <c r="J17" s="7" t="n">
        <v>75.09999999999999</v>
      </c>
      <c r="K17" s="7" t="n">
        <v>90</v>
      </c>
      <c r="M17" t="inlineStr">
        <is>
          <t>Duration(min)</t>
        </is>
      </c>
      <c r="N17" t="inlineStr">
        <is>
          <t>2 yr</t>
        </is>
      </c>
      <c r="O17" t="inlineStr">
        <is>
          <t>5 yr</t>
        </is>
      </c>
      <c r="P17" t="inlineStr">
        <is>
          <t>10 yr</t>
        </is>
      </c>
      <c r="Q17" t="inlineStr">
        <is>
          <t>25 yr</t>
        </is>
      </c>
      <c r="R17" t="inlineStr">
        <is>
          <t>50 yr</t>
        </is>
      </c>
      <c r="S17" t="inlineStr">
        <is>
          <t>100 yr</t>
        </is>
      </c>
      <c r="T17" t="inlineStr">
        <is>
          <t>200 yr</t>
        </is>
      </c>
      <c r="U17" t="inlineStr">
        <is>
          <t>500 yr</t>
        </is>
      </c>
      <c r="V17" t="inlineStr">
        <is>
          <t>1000 yr</t>
        </is>
      </c>
      <c r="W17" t="inlineStr">
        <is>
          <t>2000 yr</t>
        </is>
      </c>
      <c r="X17" t="inlineStr">
        <is>
          <t>5000 yr</t>
        </is>
      </c>
      <c r="Y17" t="inlineStr">
        <is>
          <t>10000 yr</t>
        </is>
      </c>
    </row>
    <row r="18">
      <c r="A18" s="6" t="n">
        <v>2006</v>
      </c>
      <c r="B18" s="7" t="n">
        <v>7.6</v>
      </c>
      <c r="C18" s="7" t="n">
        <v>12.4</v>
      </c>
      <c r="D18" s="7" t="n">
        <v>16.2</v>
      </c>
      <c r="E18" s="7" t="n">
        <v>17.8</v>
      </c>
      <c r="F18" s="7" t="n">
        <v>23.4</v>
      </c>
      <c r="G18" s="7" t="n">
        <v>27.4</v>
      </c>
      <c r="H18" s="7" t="n">
        <v>27.6</v>
      </c>
      <c r="I18" s="7" t="n">
        <v>39.6</v>
      </c>
      <c r="J18" s="7" t="n">
        <v>39.6</v>
      </c>
      <c r="K18" s="7" t="n">
        <v>39.7</v>
      </c>
      <c r="M18" t="n">
        <v>5</v>
      </c>
      <c r="N18" t="n">
        <v>66.7</v>
      </c>
      <c r="O18" t="n">
        <v>101</v>
      </c>
      <c r="P18" t="n">
        <v>126.2</v>
      </c>
      <c r="Q18" t="n">
        <v>161</v>
      </c>
      <c r="R18" t="n">
        <v>189.2</v>
      </c>
      <c r="S18" t="n">
        <v>219.3</v>
      </c>
      <c r="T18" t="n">
        <v>251.6</v>
      </c>
      <c r="U18" t="n">
        <v>298</v>
      </c>
      <c r="V18" t="n">
        <v>336.2</v>
      </c>
      <c r="W18" t="n">
        <v>377.4</v>
      </c>
      <c r="X18" t="n">
        <v>436.6</v>
      </c>
      <c r="Y18" t="n">
        <v>485.4</v>
      </c>
    </row>
    <row r="19">
      <c r="A19" s="6" t="n">
        <v>2007</v>
      </c>
      <c r="B19" s="7" t="n">
        <v>5.2</v>
      </c>
      <c r="C19" s="7" t="n">
        <v>6.6</v>
      </c>
      <c r="D19" s="7" t="n">
        <v>8.4</v>
      </c>
      <c r="E19" s="7" t="n">
        <v>14</v>
      </c>
      <c r="F19" s="7" t="n">
        <v>19.4</v>
      </c>
      <c r="G19" s="7" t="n">
        <v>24.6</v>
      </c>
      <c r="H19" s="7" t="n">
        <v>27</v>
      </c>
      <c r="I19" s="7" t="n">
        <v>35.2</v>
      </c>
      <c r="J19" s="7" t="n">
        <v>41.9</v>
      </c>
      <c r="K19" s="7" t="n">
        <v>51.3</v>
      </c>
      <c r="M19" t="n">
        <v>10</v>
      </c>
      <c r="N19" t="n">
        <v>54.5</v>
      </c>
      <c r="O19" t="n">
        <v>84</v>
      </c>
      <c r="P19" t="n">
        <v>105.5</v>
      </c>
      <c r="Q19" t="n">
        <v>135.2</v>
      </c>
      <c r="R19" t="n">
        <v>159.2</v>
      </c>
      <c r="S19" t="n">
        <v>184.7</v>
      </c>
      <c r="T19" t="n">
        <v>212</v>
      </c>
      <c r="U19" t="n">
        <v>251.2</v>
      </c>
      <c r="V19" t="n">
        <v>283.3</v>
      </c>
      <c r="W19" t="n">
        <v>317.8</v>
      </c>
      <c r="X19" t="n">
        <v>367.3</v>
      </c>
      <c r="Y19" t="n">
        <v>407.9</v>
      </c>
    </row>
    <row r="20">
      <c r="A20" s="6" t="n">
        <v>2008</v>
      </c>
      <c r="B20" s="7" t="n">
        <v>3.2</v>
      </c>
      <c r="C20" s="7" t="n">
        <v>5.8</v>
      </c>
      <c r="D20" s="7" t="n">
        <v>6.2</v>
      </c>
      <c r="E20" s="7" t="n">
        <v>6.4</v>
      </c>
      <c r="F20" s="7" t="n">
        <v>6.4</v>
      </c>
      <c r="G20" s="7" t="n">
        <v>6.5</v>
      </c>
      <c r="H20" s="7" t="n">
        <v>6.6</v>
      </c>
      <c r="I20" s="7" t="n">
        <v>6.6</v>
      </c>
      <c r="J20" s="7" t="n">
        <v>6.7</v>
      </c>
      <c r="K20" s="7" t="n">
        <v>6.8</v>
      </c>
      <c r="M20" t="n">
        <v>15</v>
      </c>
      <c r="N20" t="n">
        <v>46.5</v>
      </c>
      <c r="O20" t="n">
        <v>72</v>
      </c>
      <c r="P20" t="n">
        <v>90.3</v>
      </c>
      <c r="Q20" t="n">
        <v>115.1</v>
      </c>
      <c r="R20" t="n">
        <v>134.9</v>
      </c>
      <c r="S20" t="n">
        <v>155.7</v>
      </c>
      <c r="T20" t="n">
        <v>177.8</v>
      </c>
      <c r="U20" t="n">
        <v>208.9</v>
      </c>
      <c r="V20" t="n">
        <v>234.1</v>
      </c>
      <c r="W20" t="n">
        <v>260.8</v>
      </c>
      <c r="X20" t="n">
        <v>298.5</v>
      </c>
      <c r="Y20" t="n">
        <v>329.2</v>
      </c>
    </row>
    <row r="21">
      <c r="M21" t="n">
        <v>30</v>
      </c>
      <c r="N21" t="n">
        <v>32.2</v>
      </c>
      <c r="O21" t="n">
        <v>50.2</v>
      </c>
      <c r="P21" t="n">
        <v>62.6</v>
      </c>
      <c r="Q21" t="n">
        <v>79</v>
      </c>
      <c r="R21" t="n">
        <v>91.7</v>
      </c>
      <c r="S21" t="n">
        <v>104.8</v>
      </c>
      <c r="T21" t="n">
        <v>118.3</v>
      </c>
      <c r="U21" t="n">
        <v>136.9</v>
      </c>
      <c r="V21" t="n">
        <v>151.5</v>
      </c>
      <c r="W21" t="n">
        <v>166.6</v>
      </c>
      <c r="X21" t="n">
        <v>187.5</v>
      </c>
      <c r="Y21" t="n">
        <v>203.9</v>
      </c>
    </row>
    <row r="22">
      <c r="M22" t="n">
        <v>60</v>
      </c>
      <c r="N22" t="n">
        <v>20.1</v>
      </c>
      <c r="O22" t="n">
        <v>31.1</v>
      </c>
      <c r="P22" t="n">
        <v>38.6</v>
      </c>
      <c r="Q22" t="n">
        <v>48.4</v>
      </c>
      <c r="R22" t="n">
        <v>55.9</v>
      </c>
      <c r="S22" t="n">
        <v>63.5</v>
      </c>
      <c r="T22" t="n">
        <v>71.3</v>
      </c>
      <c r="U22" t="n">
        <v>81.90000000000001</v>
      </c>
      <c r="V22" t="n">
        <v>90.09999999999999</v>
      </c>
      <c r="W22" t="n">
        <v>98.59999999999999</v>
      </c>
      <c r="X22" t="n">
        <v>110.1</v>
      </c>
      <c r="Y22" t="n">
        <v>119</v>
      </c>
    </row>
    <row r="23">
      <c r="A23" s="2" t="inlineStr">
        <is>
          <t>AMS AFTER gap filling (mm)  -  yellow = added or changed by gap filling</t>
        </is>
      </c>
      <c r="M23" t="n">
        <v>120</v>
      </c>
      <c r="N23" t="n">
        <v>11.7</v>
      </c>
      <c r="O23" t="n">
        <v>18.5</v>
      </c>
      <c r="P23" t="n">
        <v>23.2</v>
      </c>
      <c r="Q23" t="n">
        <v>29.4</v>
      </c>
      <c r="R23" t="n">
        <v>34.3</v>
      </c>
      <c r="S23" t="n">
        <v>39.3</v>
      </c>
      <c r="T23" t="n">
        <v>44.5</v>
      </c>
      <c r="U23" t="n">
        <v>51.6</v>
      </c>
      <c r="V23" t="n">
        <v>57.2</v>
      </c>
      <c r="W23" t="n">
        <v>63</v>
      </c>
      <c r="X23" t="n">
        <v>71.09999999999999</v>
      </c>
      <c r="Y23" t="n">
        <v>77.5</v>
      </c>
    </row>
    <row r="24">
      <c r="A24" s="4" t="inlineStr">
        <is>
          <t>Water year</t>
        </is>
      </c>
      <c r="B24" s="5" t="inlineStr">
        <is>
          <t>5min</t>
        </is>
      </c>
      <c r="C24" s="5" t="inlineStr">
        <is>
          <t>10min</t>
        </is>
      </c>
      <c r="D24" s="5" t="inlineStr">
        <is>
          <t>15min</t>
        </is>
      </c>
      <c r="E24" s="5" t="inlineStr">
        <is>
          <t>30min</t>
        </is>
      </c>
      <c r="F24" s="5" t="inlineStr">
        <is>
          <t>1h</t>
        </is>
      </c>
      <c r="G24" s="5" t="inlineStr">
        <is>
          <t>2h</t>
        </is>
      </c>
      <c r="H24" s="5" t="inlineStr">
        <is>
          <t>3h</t>
        </is>
      </c>
      <c r="I24" s="5" t="inlineStr">
        <is>
          <t>6h</t>
        </is>
      </c>
      <c r="J24" s="5" t="inlineStr">
        <is>
          <t>12h</t>
        </is>
      </c>
      <c r="K24" s="5" t="inlineStr">
        <is>
          <t>24h</t>
        </is>
      </c>
      <c r="M24" t="n">
        <v>180</v>
      </c>
      <c r="N24" t="n">
        <v>8.300000000000001</v>
      </c>
      <c r="O24" t="n">
        <v>13.4</v>
      </c>
      <c r="P24" t="n">
        <v>17.2</v>
      </c>
      <c r="Q24" t="n">
        <v>22.5</v>
      </c>
      <c r="R24" t="n">
        <v>26.8</v>
      </c>
      <c r="S24" t="n">
        <v>31.3</v>
      </c>
      <c r="T24" t="n">
        <v>36.3</v>
      </c>
      <c r="U24" t="n">
        <v>43.4</v>
      </c>
      <c r="V24" t="n">
        <v>49.2</v>
      </c>
      <c r="W24" t="n">
        <v>55.5</v>
      </c>
      <c r="X24" t="n">
        <v>64.59999999999999</v>
      </c>
      <c r="Y24" t="n">
        <v>72.2</v>
      </c>
    </row>
    <row r="25">
      <c r="A25" s="6" t="n">
        <v>1993</v>
      </c>
      <c r="B25" s="7" t="n">
        <v>4.6</v>
      </c>
      <c r="C25" s="7" t="n">
        <v>6.2</v>
      </c>
      <c r="D25" s="7" t="n">
        <v>7.6</v>
      </c>
      <c r="E25" s="7" t="n">
        <v>8.199999999999999</v>
      </c>
      <c r="F25" s="7" t="n">
        <v>9.6</v>
      </c>
      <c r="G25" s="7" t="n">
        <v>9.9</v>
      </c>
      <c r="H25" s="7" t="n">
        <v>11.5</v>
      </c>
      <c r="I25" s="7" t="n">
        <v>11.7</v>
      </c>
      <c r="J25" s="7" t="n">
        <v>11.9</v>
      </c>
      <c r="K25" s="7" t="n">
        <v>12.4</v>
      </c>
      <c r="M25" t="n">
        <v>360</v>
      </c>
      <c r="N25" t="n">
        <v>4.6</v>
      </c>
      <c r="O25" t="n">
        <v>7.7</v>
      </c>
      <c r="P25" t="n">
        <v>10</v>
      </c>
      <c r="Q25" t="n">
        <v>13.1</v>
      </c>
      <c r="R25" t="n">
        <v>15.7</v>
      </c>
      <c r="S25" t="n">
        <v>18.5</v>
      </c>
      <c r="T25" t="n">
        <v>21.6</v>
      </c>
      <c r="U25" t="n">
        <v>26</v>
      </c>
      <c r="V25" t="n">
        <v>29.6</v>
      </c>
      <c r="W25" t="n">
        <v>33.6</v>
      </c>
      <c r="X25" t="n">
        <v>39.3</v>
      </c>
      <c r="Y25" t="n">
        <v>44.1</v>
      </c>
    </row>
    <row r="26">
      <c r="A26" s="6" t="n">
        <v>1994</v>
      </c>
      <c r="B26" s="7" t="n">
        <v>9</v>
      </c>
      <c r="C26" s="7" t="n">
        <v>16.2</v>
      </c>
      <c r="D26" s="7" t="n">
        <v>21.6</v>
      </c>
      <c r="E26" s="7" t="n">
        <v>31</v>
      </c>
      <c r="F26" s="7" t="n">
        <v>35.6</v>
      </c>
      <c r="G26" s="7" t="n">
        <v>36</v>
      </c>
      <c r="H26" s="7" t="n">
        <v>36.1</v>
      </c>
      <c r="I26" s="7" t="n">
        <v>36.1</v>
      </c>
      <c r="J26" s="7" t="n">
        <v>36.3</v>
      </c>
      <c r="K26" s="7" t="n">
        <v>50</v>
      </c>
      <c r="M26" t="n">
        <v>720</v>
      </c>
      <c r="N26" t="n">
        <v>2.6</v>
      </c>
      <c r="O26" t="n">
        <v>4.3</v>
      </c>
      <c r="P26" t="n">
        <v>5.7</v>
      </c>
      <c r="Q26" t="n">
        <v>7.5</v>
      </c>
      <c r="R26" t="n">
        <v>9</v>
      </c>
      <c r="S26" t="n">
        <v>10.7</v>
      </c>
      <c r="T26" t="n">
        <v>12.5</v>
      </c>
      <c r="U26" t="n">
        <v>15</v>
      </c>
      <c r="V26" t="n">
        <v>17.2</v>
      </c>
      <c r="W26" t="n">
        <v>19.5</v>
      </c>
      <c r="X26" t="n">
        <v>22.9</v>
      </c>
      <c r="Y26" t="n">
        <v>25.7</v>
      </c>
    </row>
    <row r="27">
      <c r="A27" s="6" t="n">
        <v>1995</v>
      </c>
      <c r="B27" s="7" t="n">
        <v>5.8</v>
      </c>
      <c r="C27" s="7" t="n">
        <v>10.6</v>
      </c>
      <c r="D27" s="7" t="n">
        <v>14.8</v>
      </c>
      <c r="E27" s="7" t="n">
        <v>22.4</v>
      </c>
      <c r="F27" s="7" t="n">
        <v>25.2</v>
      </c>
      <c r="G27" s="7" t="n">
        <v>34</v>
      </c>
      <c r="H27" s="7" t="n">
        <v>34</v>
      </c>
      <c r="I27" s="7" t="n">
        <v>34.1</v>
      </c>
      <c r="J27" s="7" t="n">
        <v>34.2</v>
      </c>
      <c r="K27" s="8" t="n">
        <v>35.2</v>
      </c>
      <c r="M27" t="n">
        <v>1440</v>
      </c>
      <c r="N27" t="n">
        <v>1.4</v>
      </c>
      <c r="O27" t="n">
        <v>2.4</v>
      </c>
      <c r="P27" t="n">
        <v>3.2</v>
      </c>
      <c r="Q27" t="n">
        <v>4.2</v>
      </c>
      <c r="R27" t="n">
        <v>5.1</v>
      </c>
      <c r="S27" t="n">
        <v>6</v>
      </c>
      <c r="T27" t="n">
        <v>7</v>
      </c>
      <c r="U27" t="n">
        <v>8.5</v>
      </c>
      <c r="V27" t="n">
        <v>9.699999999999999</v>
      </c>
      <c r="W27" t="n">
        <v>11.1</v>
      </c>
      <c r="X27" t="n">
        <v>13</v>
      </c>
      <c r="Y27" t="n">
        <v>14.6</v>
      </c>
    </row>
    <row r="28">
      <c r="A28" s="6" t="n">
        <v>1996</v>
      </c>
      <c r="B28" s="7" t="n">
        <v>18.2</v>
      </c>
      <c r="C28" s="7" t="n">
        <v>31.4</v>
      </c>
      <c r="D28" s="7" t="n">
        <v>36.4</v>
      </c>
      <c r="E28" s="7" t="n">
        <v>40.1</v>
      </c>
      <c r="F28" s="7" t="n">
        <v>43.8</v>
      </c>
      <c r="G28" s="7" t="n">
        <v>53.6</v>
      </c>
      <c r="H28" s="7" t="n">
        <v>60.6</v>
      </c>
      <c r="I28" s="7" t="n">
        <v>63.6</v>
      </c>
      <c r="J28" s="7" t="n">
        <v>66.40000000000001</v>
      </c>
      <c r="K28" s="7" t="n">
        <v>66.59999999999999</v>
      </c>
    </row>
    <row r="29">
      <c r="A29" s="6" t="n">
        <v>1997</v>
      </c>
      <c r="B29" s="7" t="n">
        <v>7.2</v>
      </c>
      <c r="C29" s="7" t="n">
        <v>14</v>
      </c>
      <c r="D29" s="7" t="n">
        <v>15</v>
      </c>
      <c r="E29" s="7" t="n">
        <v>23.6</v>
      </c>
      <c r="F29" s="7" t="n">
        <v>26.2</v>
      </c>
      <c r="G29" s="7" t="n">
        <v>29.8</v>
      </c>
      <c r="H29" s="7" t="n">
        <v>33.9</v>
      </c>
      <c r="I29" s="7" t="n">
        <v>46.6</v>
      </c>
      <c r="J29" s="7" t="n">
        <v>62.5</v>
      </c>
      <c r="K29" s="7" t="n">
        <v>63.3</v>
      </c>
    </row>
    <row r="30">
      <c r="A30" s="6" t="n">
        <v>1998</v>
      </c>
      <c r="B30" s="7" t="n">
        <v>8.4</v>
      </c>
      <c r="C30" s="7" t="n">
        <v>11.2</v>
      </c>
      <c r="D30" s="7" t="n">
        <v>12.2</v>
      </c>
      <c r="E30" s="7" t="n">
        <v>15.8</v>
      </c>
      <c r="F30" s="7" t="n">
        <v>19</v>
      </c>
      <c r="G30" s="7" t="n">
        <v>20.4</v>
      </c>
      <c r="H30" s="7" t="n">
        <v>20.7</v>
      </c>
      <c r="I30" s="7" t="n">
        <v>21.4</v>
      </c>
      <c r="J30" s="7" t="n">
        <v>22.3</v>
      </c>
      <c r="K30" s="7" t="n">
        <v>34.8</v>
      </c>
    </row>
    <row r="31">
      <c r="A31" s="6" t="n">
        <v>1999</v>
      </c>
      <c r="B31" s="7" t="n">
        <v>8</v>
      </c>
      <c r="C31" s="7" t="n">
        <v>15.6</v>
      </c>
      <c r="D31" s="7" t="n">
        <v>20.2</v>
      </c>
      <c r="E31" s="7" t="n">
        <v>30.4</v>
      </c>
      <c r="F31" s="7" t="n">
        <v>31.6</v>
      </c>
      <c r="G31" s="7" t="n">
        <v>34.6</v>
      </c>
      <c r="H31" s="7" t="n">
        <v>34.9</v>
      </c>
      <c r="I31" s="7" t="n">
        <v>35.9</v>
      </c>
      <c r="J31" s="7" t="n">
        <v>37.8</v>
      </c>
      <c r="K31" s="7" t="n">
        <v>41.7</v>
      </c>
    </row>
    <row r="32">
      <c r="A32" s="6" t="n">
        <v>2000</v>
      </c>
      <c r="B32" s="7" t="n">
        <v>4.2</v>
      </c>
      <c r="C32" s="7" t="n">
        <v>6.4</v>
      </c>
      <c r="D32" s="7" t="n">
        <v>9</v>
      </c>
      <c r="E32" s="7" t="n">
        <v>13.4</v>
      </c>
      <c r="F32" s="7" t="n">
        <v>17.8</v>
      </c>
      <c r="G32" s="7" t="n">
        <v>18.2</v>
      </c>
      <c r="H32" s="7" t="n">
        <v>18.2</v>
      </c>
      <c r="I32" s="7" t="n">
        <v>18.2</v>
      </c>
      <c r="J32" s="8" t="n">
        <v>20.9</v>
      </c>
      <c r="K32" s="8" t="n">
        <v>27.5</v>
      </c>
    </row>
    <row r="33">
      <c r="A33" s="6" t="n">
        <v>2001</v>
      </c>
      <c r="B33" s="7" t="n">
        <v>6.6</v>
      </c>
      <c r="C33" s="7" t="n">
        <v>10.8</v>
      </c>
      <c r="D33" s="7" t="n">
        <v>15</v>
      </c>
      <c r="E33" s="7" t="n">
        <v>21.8</v>
      </c>
      <c r="F33" s="7" t="n">
        <v>22.1</v>
      </c>
      <c r="G33" s="7" t="n">
        <v>26.2</v>
      </c>
      <c r="H33" s="7" t="n">
        <v>26.2</v>
      </c>
      <c r="I33" s="7" t="n">
        <v>26.2</v>
      </c>
      <c r="J33" s="7" t="n">
        <v>26.3</v>
      </c>
      <c r="K33" s="7" t="n">
        <v>26.4</v>
      </c>
    </row>
    <row r="34">
      <c r="A34" s="6" t="n">
        <v>2002</v>
      </c>
      <c r="B34" s="7" t="n">
        <v>4.2</v>
      </c>
      <c r="C34" s="7" t="n">
        <v>5.8</v>
      </c>
      <c r="D34" s="7" t="n">
        <v>7.2</v>
      </c>
      <c r="E34" s="7" t="n">
        <v>8.199999999999999</v>
      </c>
      <c r="F34" s="7" t="n">
        <v>9</v>
      </c>
      <c r="G34" s="7" t="n">
        <v>9</v>
      </c>
      <c r="H34" s="7" t="n">
        <v>9</v>
      </c>
      <c r="I34" s="7" t="n">
        <v>9</v>
      </c>
      <c r="J34" s="7" t="n">
        <v>9.1</v>
      </c>
      <c r="K34" s="7" t="n">
        <v>9.199999999999999</v>
      </c>
    </row>
    <row r="35">
      <c r="A35" s="6" t="n">
        <v>2003</v>
      </c>
      <c r="B35" s="7" t="n">
        <v>6</v>
      </c>
      <c r="C35" s="7" t="n">
        <v>7.8</v>
      </c>
      <c r="D35" s="7" t="n">
        <v>9.800000000000001</v>
      </c>
      <c r="E35" s="7" t="n">
        <v>13.2</v>
      </c>
      <c r="F35" s="7" t="n">
        <v>20.2</v>
      </c>
      <c r="G35" s="7" t="n">
        <v>25.2</v>
      </c>
      <c r="H35" s="7" t="n">
        <v>26.6</v>
      </c>
      <c r="I35" s="7" t="n">
        <v>26.7</v>
      </c>
      <c r="J35" s="7" t="n">
        <v>32</v>
      </c>
      <c r="K35" s="7" t="n">
        <v>32.1</v>
      </c>
    </row>
    <row r="36">
      <c r="A36" s="6" t="n">
        <v>2004</v>
      </c>
      <c r="B36" s="7" t="n">
        <v>9.199999999999999</v>
      </c>
      <c r="C36" s="7" t="n">
        <v>13</v>
      </c>
      <c r="D36" s="7" t="n">
        <v>16.4</v>
      </c>
      <c r="E36" s="7" t="n">
        <v>21.4</v>
      </c>
      <c r="F36" s="7" t="n">
        <v>22.2</v>
      </c>
      <c r="G36" s="7" t="n">
        <v>22.3</v>
      </c>
      <c r="H36" s="7" t="n">
        <v>22.4</v>
      </c>
      <c r="I36" s="7" t="n">
        <v>22.6</v>
      </c>
      <c r="J36" s="7" t="n">
        <v>22.7</v>
      </c>
      <c r="K36" s="7" t="n">
        <v>22.8</v>
      </c>
    </row>
    <row r="37">
      <c r="A37" s="6" t="n">
        <v>2005</v>
      </c>
      <c r="B37" s="7" t="n">
        <v>6.4</v>
      </c>
      <c r="C37" s="7" t="n">
        <v>12.4</v>
      </c>
      <c r="D37" s="7" t="n">
        <v>13.8</v>
      </c>
      <c r="E37" s="7" t="n">
        <v>15.6</v>
      </c>
      <c r="F37" s="7" t="n">
        <v>19</v>
      </c>
      <c r="G37" s="7" t="n">
        <v>23.8</v>
      </c>
      <c r="H37" s="7" t="n">
        <v>30.2</v>
      </c>
      <c r="I37" s="7" t="n">
        <v>46.6</v>
      </c>
      <c r="J37" s="7" t="n">
        <v>75.09999999999999</v>
      </c>
      <c r="K37" s="7" t="n">
        <v>90</v>
      </c>
    </row>
    <row r="38">
      <c r="A38" s="6" t="n">
        <v>2006</v>
      </c>
      <c r="B38" s="7" t="n">
        <v>7.6</v>
      </c>
      <c r="C38" s="7" t="n">
        <v>12.4</v>
      </c>
      <c r="D38" s="7" t="n">
        <v>16.2</v>
      </c>
      <c r="E38" s="7" t="n">
        <v>17.8</v>
      </c>
      <c r="F38" s="7" t="n">
        <v>23.4</v>
      </c>
      <c r="G38" s="7" t="n">
        <v>27.4</v>
      </c>
      <c r="H38" s="7" t="n">
        <v>27.6</v>
      </c>
      <c r="I38" s="7" t="n">
        <v>39.6</v>
      </c>
      <c r="J38" s="7" t="n">
        <v>39.6</v>
      </c>
      <c r="K38" s="7" t="n">
        <v>39.7</v>
      </c>
    </row>
    <row r="39">
      <c r="A39" s="6" t="n">
        <v>2007</v>
      </c>
      <c r="B39" s="7" t="n">
        <v>5.2</v>
      </c>
      <c r="C39" s="7" t="n">
        <v>6.6</v>
      </c>
      <c r="D39" s="7" t="n">
        <v>8.4</v>
      </c>
      <c r="E39" s="7" t="n">
        <v>14</v>
      </c>
      <c r="F39" s="7" t="n">
        <v>19.4</v>
      </c>
      <c r="G39" s="7" t="n">
        <v>24.6</v>
      </c>
      <c r="H39" s="7" t="n">
        <v>27</v>
      </c>
      <c r="I39" s="7" t="n">
        <v>35.2</v>
      </c>
      <c r="J39" s="7" t="n">
        <v>41.9</v>
      </c>
      <c r="K39" s="7" t="n">
        <v>51.3</v>
      </c>
    </row>
    <row r="40">
      <c r="A40" s="6" t="n">
        <v>2008</v>
      </c>
      <c r="B40" s="7" t="n">
        <v>3.2</v>
      </c>
      <c r="C40" s="7" t="n">
        <v>5.8</v>
      </c>
      <c r="D40" s="7" t="n">
        <v>6.2</v>
      </c>
      <c r="E40" s="7" t="n">
        <v>6.4</v>
      </c>
      <c r="F40" s="7" t="n">
        <v>6.4</v>
      </c>
      <c r="G40" s="7" t="n">
        <v>6.5</v>
      </c>
      <c r="H40" s="7" t="n">
        <v>6.6</v>
      </c>
      <c r="I40" s="7" t="n">
        <v>6.6</v>
      </c>
      <c r="J40" s="7" t="n">
        <v>6.7</v>
      </c>
      <c r="K40" s="7" t="n">
        <v>6.8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Y6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</cols>
  <sheetData>
    <row r="1">
      <c r="A1" s="1" t="inlineStr">
        <is>
          <t>Gauge 73  |  FL434668AF  |  LOWER KHAFIFAH NEAR KHAFIFAH</t>
        </is>
      </c>
    </row>
    <row r="3">
      <c r="A3" s="2" t="inlineStr">
        <is>
          <t>AMS BEFORE gap filling (observed only, mm)</t>
        </is>
      </c>
      <c r="M3" s="3" t="inlineStr">
        <is>
          <t>IDF - design rainfall DEPTH (mm)</t>
        </is>
      </c>
    </row>
    <row r="4">
      <c r="A4" s="4" t="inlineStr">
        <is>
          <t>Water year</t>
        </is>
      </c>
      <c r="B4" s="5" t="inlineStr">
        <is>
          <t>5min</t>
        </is>
      </c>
      <c r="C4" s="5" t="inlineStr">
        <is>
          <t>10min</t>
        </is>
      </c>
      <c r="D4" s="5" t="inlineStr">
        <is>
          <t>15min</t>
        </is>
      </c>
      <c r="E4" s="5" t="inlineStr">
        <is>
          <t>30min</t>
        </is>
      </c>
      <c r="F4" s="5" t="inlineStr">
        <is>
          <t>1h</t>
        </is>
      </c>
      <c r="G4" s="5" t="inlineStr">
        <is>
          <t>2h</t>
        </is>
      </c>
      <c r="H4" s="5" t="inlineStr">
        <is>
          <t>3h</t>
        </is>
      </c>
      <c r="I4" s="5" t="inlineStr">
        <is>
          <t>6h</t>
        </is>
      </c>
      <c r="J4" s="5" t="inlineStr">
        <is>
          <t>12h</t>
        </is>
      </c>
      <c r="K4" s="5" t="inlineStr">
        <is>
          <t>24h</t>
        </is>
      </c>
      <c r="M4" s="4" t="inlineStr">
        <is>
          <t>Duration \ RP</t>
        </is>
      </c>
      <c r="N4" s="4" t="n">
        <v>2</v>
      </c>
      <c r="O4" s="4" t="n">
        <v>5</v>
      </c>
      <c r="P4" s="4" t="n">
        <v>10</v>
      </c>
      <c r="Q4" s="4" t="n">
        <v>25</v>
      </c>
      <c r="R4" s="4" t="n">
        <v>50</v>
      </c>
      <c r="S4" s="4" t="n">
        <v>100</v>
      </c>
      <c r="T4" s="4" t="n">
        <v>200</v>
      </c>
      <c r="U4" s="4" t="n">
        <v>500</v>
      </c>
      <c r="V4" s="4" t="n">
        <v>1000</v>
      </c>
      <c r="W4" s="4" t="n">
        <v>2000</v>
      </c>
      <c r="X4" s="4" t="n">
        <v>5000</v>
      </c>
      <c r="Y4" s="4" t="n">
        <v>10000</v>
      </c>
    </row>
    <row r="5">
      <c r="A5" s="6" t="n">
        <v>1993</v>
      </c>
      <c r="B5" s="7" t="n">
        <v>7.8</v>
      </c>
      <c r="C5" s="7" t="n">
        <v>12.4</v>
      </c>
      <c r="D5" s="7" t="n">
        <v>15.4</v>
      </c>
      <c r="E5" s="7" t="n">
        <v>23</v>
      </c>
      <c r="F5" s="7" t="n">
        <v>28</v>
      </c>
      <c r="G5" s="7" t="n">
        <v>28.4</v>
      </c>
      <c r="H5" s="7" t="n">
        <v>28.4</v>
      </c>
      <c r="I5" s="7" t="n">
        <v>28.4</v>
      </c>
      <c r="J5" s="7" t="n">
        <v>28.5</v>
      </c>
      <c r="K5" s="7" t="n">
        <v>28.6</v>
      </c>
      <c r="M5" s="6" t="inlineStr">
        <is>
          <t>5min</t>
        </is>
      </c>
      <c r="N5" s="6" t="n">
        <v>5.6</v>
      </c>
      <c r="O5" s="6" t="n">
        <v>8.4</v>
      </c>
      <c r="P5" s="6" t="n">
        <v>10.4</v>
      </c>
      <c r="Q5" s="6" t="n">
        <v>13</v>
      </c>
      <c r="R5" s="6" t="n">
        <v>15.1</v>
      </c>
      <c r="S5" s="6" t="n">
        <v>17.3</v>
      </c>
      <c r="T5" s="6" t="n">
        <v>19.6</v>
      </c>
      <c r="U5" s="6" t="n">
        <v>22.8</v>
      </c>
      <c r="V5" s="6" t="n">
        <v>25.3</v>
      </c>
      <c r="W5" s="6" t="n">
        <v>28</v>
      </c>
      <c r="X5" s="6" t="n">
        <v>31.7</v>
      </c>
      <c r="Y5" s="6" t="n">
        <v>34.7</v>
      </c>
    </row>
    <row r="6">
      <c r="A6" s="6" t="n">
        <v>1994</v>
      </c>
      <c r="B6" s="7" t="n">
        <v>9.800000000000001</v>
      </c>
      <c r="C6" s="7" t="n">
        <v>11.6</v>
      </c>
      <c r="D6" s="7" t="n">
        <v>12.4</v>
      </c>
      <c r="E6" s="7" t="n">
        <v>15.4</v>
      </c>
      <c r="F6" s="7" t="n">
        <v>18.1</v>
      </c>
      <c r="G6" s="7" t="n">
        <v>20.4</v>
      </c>
      <c r="H6" s="7" t="n">
        <v>20.5</v>
      </c>
      <c r="I6" s="7" t="n">
        <v>20.8</v>
      </c>
      <c r="J6" s="7" t="n">
        <v>21.3</v>
      </c>
      <c r="K6" s="7" t="n">
        <v>27.8</v>
      </c>
      <c r="M6" s="6" t="inlineStr">
        <is>
          <t>10min</t>
        </is>
      </c>
      <c r="N6" s="6" t="n">
        <v>9.1</v>
      </c>
      <c r="O6" s="6" t="n">
        <v>13.8</v>
      </c>
      <c r="P6" s="6" t="n">
        <v>17.1</v>
      </c>
      <c r="Q6" s="6" t="n">
        <v>21.5</v>
      </c>
      <c r="R6" s="6" t="n">
        <v>24.9</v>
      </c>
      <c r="S6" s="6" t="n">
        <v>28.5</v>
      </c>
      <c r="T6" s="6" t="n">
        <v>32.1</v>
      </c>
      <c r="U6" s="6" t="n">
        <v>37.2</v>
      </c>
      <c r="V6" s="6" t="n">
        <v>41.1</v>
      </c>
      <c r="W6" s="6" t="n">
        <v>45.3</v>
      </c>
      <c r="X6" s="6" t="n">
        <v>51.1</v>
      </c>
      <c r="Y6" s="6" t="n">
        <v>55.6</v>
      </c>
    </row>
    <row r="7">
      <c r="A7" s="6" t="n">
        <v>1995</v>
      </c>
      <c r="B7" s="7" t="n">
        <v>10.6</v>
      </c>
      <c r="C7" s="7" t="n">
        <v>19.2</v>
      </c>
      <c r="D7" s="7" t="n">
        <v>25.8</v>
      </c>
      <c r="E7" s="7" t="n">
        <v>36.2</v>
      </c>
      <c r="F7" s="7" t="n">
        <v>44.7</v>
      </c>
      <c r="G7" s="7" t="n">
        <v>44.8</v>
      </c>
      <c r="H7" s="7" t="n">
        <v>44.8</v>
      </c>
      <c r="I7" s="7" t="n">
        <v>44.8</v>
      </c>
      <c r="J7" s="7" t="n">
        <v>44.9</v>
      </c>
      <c r="K7" s="7" t="n">
        <v>45</v>
      </c>
      <c r="M7" s="6" t="inlineStr">
        <is>
          <t>15min</t>
        </is>
      </c>
      <c r="N7" s="6" t="n">
        <v>11.6</v>
      </c>
      <c r="O7" s="6" t="n">
        <v>17.8</v>
      </c>
      <c r="P7" s="6" t="n">
        <v>22</v>
      </c>
      <c r="Q7" s="6" t="n">
        <v>27.7</v>
      </c>
      <c r="R7" s="6" t="n">
        <v>32.1</v>
      </c>
      <c r="S7" s="6" t="n">
        <v>36.6</v>
      </c>
      <c r="T7" s="6" t="n">
        <v>41.3</v>
      </c>
      <c r="U7" s="6" t="n">
        <v>47.7</v>
      </c>
      <c r="V7" s="6" t="n">
        <v>52.8</v>
      </c>
      <c r="W7" s="6" t="n">
        <v>58</v>
      </c>
      <c r="X7" s="6" t="n">
        <v>65.3</v>
      </c>
      <c r="Y7" s="6" t="n">
        <v>71</v>
      </c>
    </row>
    <row r="8">
      <c r="A8" s="6" t="n">
        <v>1996</v>
      </c>
      <c r="B8" s="7" t="n">
        <v>6.2</v>
      </c>
      <c r="C8" s="7" t="n">
        <v>8.6</v>
      </c>
      <c r="D8" s="7" t="n">
        <v>10.4</v>
      </c>
      <c r="E8" s="7" t="n">
        <v>16.2</v>
      </c>
      <c r="F8" s="7" t="n">
        <v>25.8</v>
      </c>
      <c r="G8" s="7" t="n">
        <v>43.8</v>
      </c>
      <c r="H8" s="7" t="n">
        <v>54.4</v>
      </c>
      <c r="I8" s="7" t="n">
        <v>62.8</v>
      </c>
      <c r="J8" s="7" t="n">
        <v>73</v>
      </c>
      <c r="K8" s="7" t="n">
        <v>76.7</v>
      </c>
      <c r="M8" s="6" t="inlineStr">
        <is>
          <t>30min</t>
        </is>
      </c>
      <c r="N8" s="6" t="n">
        <v>16.1</v>
      </c>
      <c r="O8" s="6" t="n">
        <v>24.8</v>
      </c>
      <c r="P8" s="6" t="n">
        <v>30.9</v>
      </c>
      <c r="Q8" s="6" t="n">
        <v>38.9</v>
      </c>
      <c r="R8" s="6" t="n">
        <v>45</v>
      </c>
      <c r="S8" s="6" t="n">
        <v>51.2</v>
      </c>
      <c r="T8" s="6" t="n">
        <v>57.7</v>
      </c>
      <c r="U8" s="6" t="n">
        <v>66.5</v>
      </c>
      <c r="V8" s="6" t="n">
        <v>73.3</v>
      </c>
      <c r="W8" s="6" t="n">
        <v>80.40000000000001</v>
      </c>
      <c r="X8" s="6" t="n">
        <v>90.2</v>
      </c>
      <c r="Y8" s="6" t="n">
        <v>97.8</v>
      </c>
    </row>
    <row r="9">
      <c r="A9" s="6" t="n">
        <v>1997</v>
      </c>
      <c r="B9" s="7" t="n">
        <v>10</v>
      </c>
      <c r="C9" s="7" t="n">
        <v>16</v>
      </c>
      <c r="D9" s="7" t="n">
        <v>19.6</v>
      </c>
      <c r="E9" s="7" t="n">
        <v>27.6</v>
      </c>
      <c r="F9" s="7" t="n">
        <v>35.4</v>
      </c>
      <c r="G9" s="7" t="n">
        <v>43.5</v>
      </c>
      <c r="H9" s="7" t="n">
        <v>45.3</v>
      </c>
      <c r="I9" s="7" t="n">
        <v>58.8</v>
      </c>
      <c r="J9" s="7" t="n">
        <v>86.2</v>
      </c>
      <c r="K9" s="7" t="n">
        <v>86.8</v>
      </c>
      <c r="M9" s="6" t="inlineStr">
        <is>
          <t>1h</t>
        </is>
      </c>
      <c r="N9" s="6" t="n">
        <v>20.1</v>
      </c>
      <c r="O9" s="6" t="n">
        <v>31</v>
      </c>
      <c r="P9" s="6" t="n">
        <v>38.6</v>
      </c>
      <c r="Q9" s="6" t="n">
        <v>48.6</v>
      </c>
      <c r="R9" s="6" t="n">
        <v>56.3</v>
      </c>
      <c r="S9" s="6" t="n">
        <v>64.2</v>
      </c>
      <c r="T9" s="6" t="n">
        <v>72.3</v>
      </c>
      <c r="U9" s="6" t="n">
        <v>83.5</v>
      </c>
      <c r="V9" s="6" t="n">
        <v>92.3</v>
      </c>
      <c r="W9" s="6" t="n">
        <v>101.4</v>
      </c>
      <c r="X9" s="6" t="n">
        <v>114</v>
      </c>
      <c r="Y9" s="6" t="n">
        <v>123.8</v>
      </c>
    </row>
    <row r="10">
      <c r="A10" s="6" t="n">
        <v>1998</v>
      </c>
      <c r="B10" s="7" t="n">
        <v>8.6</v>
      </c>
      <c r="C10" s="7" t="n">
        <v>15.6</v>
      </c>
      <c r="D10" s="7" t="n">
        <v>21</v>
      </c>
      <c r="E10" s="7" t="n">
        <v>26.4</v>
      </c>
      <c r="F10" s="7" t="n">
        <v>28.8</v>
      </c>
      <c r="G10" s="7" t="n">
        <v>30.5</v>
      </c>
      <c r="H10" s="7" t="n">
        <v>31.8</v>
      </c>
      <c r="I10" s="7" t="n">
        <v>33</v>
      </c>
      <c r="J10" s="7" t="n">
        <v>33.7</v>
      </c>
      <c r="K10" s="7" t="n">
        <v>60.5</v>
      </c>
      <c r="M10" s="6" t="inlineStr">
        <is>
          <t>2h</t>
        </is>
      </c>
      <c r="N10" s="6" t="n">
        <v>23.4</v>
      </c>
      <c r="O10" s="6" t="n">
        <v>37</v>
      </c>
      <c r="P10" s="6" t="n">
        <v>46.5</v>
      </c>
      <c r="Q10" s="6" t="n">
        <v>59.2</v>
      </c>
      <c r="R10" s="6" t="n">
        <v>69.2</v>
      </c>
      <c r="S10" s="6" t="n">
        <v>79.59999999999999</v>
      </c>
      <c r="T10" s="6" t="n">
        <v>90.40000000000001</v>
      </c>
      <c r="U10" s="6" t="n">
        <v>105.5</v>
      </c>
      <c r="V10" s="6" t="n">
        <v>117.5</v>
      </c>
      <c r="W10" s="6" t="n">
        <v>130.1</v>
      </c>
      <c r="X10" s="6" t="n">
        <v>147.6</v>
      </c>
      <c r="Y10" s="6" t="n">
        <v>161.5</v>
      </c>
    </row>
    <row r="11">
      <c r="A11" s="6" t="n">
        <v>1999</v>
      </c>
      <c r="B11" s="7" t="n">
        <v>7.4</v>
      </c>
      <c r="C11" s="7" t="n">
        <v>12</v>
      </c>
      <c r="D11" s="7" t="n">
        <v>16</v>
      </c>
      <c r="E11" s="7" t="n">
        <v>26.6</v>
      </c>
      <c r="F11" s="7" t="n">
        <v>39.8</v>
      </c>
      <c r="G11" s="7" t="n">
        <v>43.8</v>
      </c>
      <c r="H11" s="7" t="n">
        <v>43.8</v>
      </c>
      <c r="I11" s="7" t="n">
        <v>44</v>
      </c>
      <c r="J11" s="7" t="n">
        <v>44.2</v>
      </c>
      <c r="K11" s="7" t="n">
        <v>44.6</v>
      </c>
      <c r="M11" s="6" t="inlineStr">
        <is>
          <t>3h</t>
        </is>
      </c>
      <c r="N11" s="6" t="n">
        <v>25</v>
      </c>
      <c r="O11" s="6" t="n">
        <v>40.4</v>
      </c>
      <c r="P11" s="6" t="n">
        <v>51.7</v>
      </c>
      <c r="Q11" s="6" t="n">
        <v>67.5</v>
      </c>
      <c r="R11" s="6" t="n">
        <v>80.3</v>
      </c>
      <c r="S11" s="6" t="n">
        <v>94.09999999999999</v>
      </c>
      <c r="T11" s="6" t="n">
        <v>108.9</v>
      </c>
      <c r="U11" s="6" t="n">
        <v>130.3</v>
      </c>
      <c r="V11" s="6" t="n">
        <v>147.9</v>
      </c>
      <c r="W11" s="6" t="n">
        <v>167</v>
      </c>
      <c r="X11" s="6" t="n">
        <v>194.6</v>
      </c>
      <c r="Y11" s="6" t="n">
        <v>217.5</v>
      </c>
    </row>
    <row r="12">
      <c r="A12" s="6" t="n">
        <v>2000</v>
      </c>
      <c r="B12" s="7" t="n">
        <v>7.4</v>
      </c>
      <c r="C12" s="7" t="n">
        <v>13</v>
      </c>
      <c r="D12" s="7" t="n">
        <v>16</v>
      </c>
      <c r="E12" s="7" t="n">
        <v>18.9</v>
      </c>
      <c r="F12" s="7" t="n">
        <v>19.2</v>
      </c>
      <c r="G12" s="7" t="n">
        <v>19.9</v>
      </c>
      <c r="H12" s="7" t="n">
        <v>20.6</v>
      </c>
      <c r="I12" s="7" t="n">
        <v>20.6</v>
      </c>
      <c r="J12" s="7" t="n">
        <v>20.7</v>
      </c>
      <c r="K12" s="7" t="n">
        <v>21.3</v>
      </c>
      <c r="M12" s="6" t="inlineStr">
        <is>
          <t>6h</t>
        </is>
      </c>
      <c r="N12" s="6" t="n">
        <v>27.9</v>
      </c>
      <c r="O12" s="6" t="n">
        <v>46.6</v>
      </c>
      <c r="P12" s="6" t="n">
        <v>60.6</v>
      </c>
      <c r="Q12" s="6" t="n">
        <v>80.3</v>
      </c>
      <c r="R12" s="6" t="n">
        <v>96.7</v>
      </c>
      <c r="S12" s="6" t="n">
        <v>114.4</v>
      </c>
      <c r="T12" s="6" t="n">
        <v>133.8</v>
      </c>
      <c r="U12" s="6" t="n">
        <v>162.2</v>
      </c>
      <c r="V12" s="6" t="n">
        <v>186.1</v>
      </c>
      <c r="W12" s="6" t="n">
        <v>212.2</v>
      </c>
      <c r="X12" s="6" t="n">
        <v>250.5</v>
      </c>
      <c r="Y12" s="6" t="n">
        <v>282.7</v>
      </c>
    </row>
    <row r="13">
      <c r="A13" s="6" t="n">
        <v>2001</v>
      </c>
      <c r="B13" s="7" t="n">
        <v>5.4</v>
      </c>
      <c r="C13" s="7" t="n">
        <v>9.6</v>
      </c>
      <c r="D13" s="7" t="n">
        <v>13.2</v>
      </c>
      <c r="E13" s="7" t="n">
        <v>19.2</v>
      </c>
      <c r="F13" s="7" t="n">
        <v>20.1</v>
      </c>
      <c r="G13" s="7" t="n">
        <v>20.4</v>
      </c>
      <c r="H13" s="7" t="n">
        <v>20.4</v>
      </c>
      <c r="I13" s="7" t="n">
        <v>20.4</v>
      </c>
      <c r="J13" s="7" t="n">
        <v>20.5</v>
      </c>
      <c r="K13" s="7" t="n">
        <v>20.6</v>
      </c>
      <c r="M13" s="6" t="inlineStr">
        <is>
          <t>12h</t>
        </is>
      </c>
      <c r="N13" s="6" t="n">
        <v>30.9</v>
      </c>
      <c r="O13" s="6" t="n">
        <v>52.9</v>
      </c>
      <c r="P13" s="6" t="n">
        <v>69.40000000000001</v>
      </c>
      <c r="Q13" s="6" t="n">
        <v>92.90000000000001</v>
      </c>
      <c r="R13" s="6" t="n">
        <v>112.4</v>
      </c>
      <c r="S13" s="6" t="n">
        <v>133.7</v>
      </c>
      <c r="T13" s="6" t="n">
        <v>157</v>
      </c>
      <c r="U13" s="6" t="n">
        <v>191.5</v>
      </c>
      <c r="V13" s="6" t="n">
        <v>220.5</v>
      </c>
      <c r="W13" s="6" t="n">
        <v>252.5</v>
      </c>
      <c r="X13" s="6" t="n">
        <v>299.7</v>
      </c>
      <c r="Y13" s="6" t="n">
        <v>339.5</v>
      </c>
    </row>
    <row r="14">
      <c r="A14" s="6" t="n">
        <v>2002</v>
      </c>
      <c r="B14" s="7" t="n">
        <v>5.6</v>
      </c>
      <c r="C14" s="7" t="n">
        <v>9</v>
      </c>
      <c r="D14" s="7" t="n">
        <v>9.6</v>
      </c>
      <c r="E14" s="7" t="n">
        <v>9.800000000000001</v>
      </c>
      <c r="F14" s="7" t="n">
        <v>9.800000000000001</v>
      </c>
      <c r="G14" s="7" t="n">
        <v>9.800000000000001</v>
      </c>
      <c r="H14" s="7" t="n">
        <v>9.800000000000001</v>
      </c>
      <c r="I14" s="7" t="n">
        <v>9.800000000000001</v>
      </c>
      <c r="J14" s="7" t="n">
        <v>9.9</v>
      </c>
      <c r="K14" s="7" t="n">
        <v>10</v>
      </c>
      <c r="M14" s="6" t="inlineStr">
        <is>
          <t>24h</t>
        </is>
      </c>
      <c r="N14" s="6" t="n">
        <v>34.9</v>
      </c>
      <c r="O14" s="6" t="n">
        <v>60</v>
      </c>
      <c r="P14" s="6" t="n">
        <v>78.8</v>
      </c>
      <c r="Q14" s="6" t="n">
        <v>105.1</v>
      </c>
      <c r="R14" s="6" t="n">
        <v>126.8</v>
      </c>
      <c r="S14" s="6" t="n">
        <v>150.4</v>
      </c>
      <c r="T14" s="6" t="n">
        <v>176</v>
      </c>
      <c r="U14" s="6" t="n">
        <v>213.5</v>
      </c>
      <c r="V14" s="6" t="n">
        <v>244.8</v>
      </c>
      <c r="W14" s="6" t="n">
        <v>279.1</v>
      </c>
      <c r="X14" s="6" t="n">
        <v>329.1</v>
      </c>
      <c r="Y14" s="6" t="n">
        <v>371.1</v>
      </c>
    </row>
    <row r="15">
      <c r="A15" s="6" t="n">
        <v>2003</v>
      </c>
      <c r="B15" s="7" t="n">
        <v>6.8</v>
      </c>
      <c r="C15" s="7" t="n">
        <v>11.8</v>
      </c>
      <c r="D15" s="7" t="n">
        <v>13.8</v>
      </c>
      <c r="E15" s="7" t="n">
        <v>18.8</v>
      </c>
      <c r="F15" s="7" t="n">
        <v>23.8</v>
      </c>
      <c r="G15" s="7" t="n">
        <v>29.6</v>
      </c>
      <c r="H15" s="7" t="n">
        <v>31.8</v>
      </c>
      <c r="I15" s="7" t="n">
        <v>32.8</v>
      </c>
      <c r="J15" s="7" t="n">
        <v>36.2</v>
      </c>
      <c r="K15" s="7" t="n">
        <v>37.1</v>
      </c>
    </row>
    <row r="16">
      <c r="A16" s="6" t="n">
        <v>2004</v>
      </c>
      <c r="B16" s="7" t="n">
        <v>2.6</v>
      </c>
      <c r="C16" s="7" t="n">
        <v>4</v>
      </c>
      <c r="D16" s="7" t="n">
        <v>4.8</v>
      </c>
      <c r="E16" s="7" t="n">
        <v>6.6</v>
      </c>
      <c r="F16" s="7" t="n">
        <v>8.800000000000001</v>
      </c>
      <c r="G16" s="7" t="n">
        <v>9</v>
      </c>
      <c r="H16" s="7" t="n">
        <v>9</v>
      </c>
      <c r="I16" s="7" t="n">
        <v>9</v>
      </c>
      <c r="J16" s="7" t="n">
        <v>9.1</v>
      </c>
      <c r="K16" s="7" t="n">
        <v>9.199999999999999</v>
      </c>
      <c r="M16" s="3" t="inlineStr">
        <is>
          <t>IDF - intensity (mm/hr) [x=duration(min)]</t>
        </is>
      </c>
    </row>
    <row r="17">
      <c r="A17" s="6" t="n">
        <v>2005</v>
      </c>
      <c r="B17" s="7" t="n">
        <v>2.2</v>
      </c>
      <c r="C17" s="7" t="n">
        <v>2.8</v>
      </c>
      <c r="D17" s="7" t="n">
        <v>3</v>
      </c>
      <c r="E17" s="7" t="n">
        <v>5</v>
      </c>
      <c r="F17" s="7" t="n">
        <v>6.6</v>
      </c>
      <c r="G17" s="7" t="n">
        <v>7.3</v>
      </c>
      <c r="H17" s="7" t="n">
        <v>11</v>
      </c>
      <c r="I17" s="7" t="n">
        <v>21.9</v>
      </c>
      <c r="J17" s="7" t="n">
        <v>43.8</v>
      </c>
      <c r="K17" s="7" t="n">
        <v>87.59999999999999</v>
      </c>
      <c r="M17" t="inlineStr">
        <is>
          <t>Duration(min)</t>
        </is>
      </c>
      <c r="N17" t="inlineStr">
        <is>
          <t>2 yr</t>
        </is>
      </c>
      <c r="O17" t="inlineStr">
        <is>
          <t>5 yr</t>
        </is>
      </c>
      <c r="P17" t="inlineStr">
        <is>
          <t>10 yr</t>
        </is>
      </c>
      <c r="Q17" t="inlineStr">
        <is>
          <t>25 yr</t>
        </is>
      </c>
      <c r="R17" t="inlineStr">
        <is>
          <t>50 yr</t>
        </is>
      </c>
      <c r="S17" t="inlineStr">
        <is>
          <t>100 yr</t>
        </is>
      </c>
      <c r="T17" t="inlineStr">
        <is>
          <t>200 yr</t>
        </is>
      </c>
      <c r="U17" t="inlineStr">
        <is>
          <t>500 yr</t>
        </is>
      </c>
      <c r="V17" t="inlineStr">
        <is>
          <t>1000 yr</t>
        </is>
      </c>
      <c r="W17" t="inlineStr">
        <is>
          <t>2000 yr</t>
        </is>
      </c>
      <c r="X17" t="inlineStr">
        <is>
          <t>5000 yr</t>
        </is>
      </c>
      <c r="Y17" t="inlineStr">
        <is>
          <t>10000 yr</t>
        </is>
      </c>
    </row>
    <row r="18">
      <c r="A18" s="6" t="n">
        <v>2006</v>
      </c>
      <c r="B18" s="7" t="n">
        <v>9</v>
      </c>
      <c r="C18" s="7" t="n">
        <v>9.800000000000001</v>
      </c>
      <c r="D18" s="7" t="n">
        <v>13.6</v>
      </c>
      <c r="E18" s="7" t="n">
        <v>21.8</v>
      </c>
      <c r="F18" s="7" t="n">
        <v>38.6</v>
      </c>
      <c r="G18" s="7" t="n">
        <v>40.8</v>
      </c>
      <c r="H18" s="7" t="n">
        <v>40.8</v>
      </c>
      <c r="I18" s="7" t="n">
        <v>40.8</v>
      </c>
      <c r="J18" s="7" t="n">
        <v>40.9</v>
      </c>
      <c r="K18" s="7" t="n">
        <v>41</v>
      </c>
      <c r="M18" t="n">
        <v>5</v>
      </c>
      <c r="N18" t="n">
        <v>66.7</v>
      </c>
      <c r="O18" t="n">
        <v>100.5</v>
      </c>
      <c r="P18" t="n">
        <v>124.3</v>
      </c>
      <c r="Q18" t="n">
        <v>156.3</v>
      </c>
      <c r="R18" t="n">
        <v>181.4</v>
      </c>
      <c r="S18" t="n">
        <v>207.6</v>
      </c>
      <c r="T18" t="n">
        <v>235</v>
      </c>
      <c r="U18" t="n">
        <v>273.2</v>
      </c>
      <c r="V18" t="n">
        <v>303.7</v>
      </c>
      <c r="W18" t="n">
        <v>335.8</v>
      </c>
      <c r="X18" t="n">
        <v>380.6</v>
      </c>
      <c r="Y18" t="n">
        <v>416.4</v>
      </c>
    </row>
    <row r="19">
      <c r="A19" s="6" t="n">
        <v>2007</v>
      </c>
      <c r="B19" s="7" t="n">
        <v>6.8</v>
      </c>
      <c r="C19" s="7" t="n">
        <v>8.800000000000001</v>
      </c>
      <c r="D19" s="7" t="n">
        <v>11.8</v>
      </c>
      <c r="E19" s="7" t="n">
        <v>14.6</v>
      </c>
      <c r="F19" s="7" t="n">
        <v>18.5</v>
      </c>
      <c r="G19" s="7" t="n">
        <v>24</v>
      </c>
      <c r="H19" s="7" t="n">
        <v>24.4</v>
      </c>
      <c r="I19" s="7" t="n">
        <v>43.4</v>
      </c>
      <c r="J19" s="7" t="n">
        <v>50.5</v>
      </c>
      <c r="K19" s="7" t="n">
        <v>54.4</v>
      </c>
      <c r="M19" t="n">
        <v>10</v>
      </c>
      <c r="N19" t="n">
        <v>54.6</v>
      </c>
      <c r="O19" t="n">
        <v>83</v>
      </c>
      <c r="P19" t="n">
        <v>102.8</v>
      </c>
      <c r="Q19" t="n">
        <v>129.1</v>
      </c>
      <c r="R19" t="n">
        <v>149.6</v>
      </c>
      <c r="S19" t="n">
        <v>170.7</v>
      </c>
      <c r="T19" t="n">
        <v>192.6</v>
      </c>
      <c r="U19" t="n">
        <v>222.9</v>
      </c>
      <c r="V19" t="n">
        <v>246.9</v>
      </c>
      <c r="W19" t="n">
        <v>271.8</v>
      </c>
      <c r="X19" t="n">
        <v>306.3</v>
      </c>
      <c r="Y19" t="n">
        <v>333.7</v>
      </c>
    </row>
    <row r="20">
      <c r="A20" s="6" t="n">
        <v>2008</v>
      </c>
      <c r="B20" s="7" t="n"/>
      <c r="C20" s="7" t="n"/>
      <c r="D20" s="7" t="n"/>
      <c r="E20" s="7" t="n"/>
      <c r="F20" s="7" t="n"/>
      <c r="G20" s="7" t="n"/>
      <c r="H20" s="7" t="n"/>
      <c r="I20" s="7" t="n"/>
      <c r="J20" s="7" t="n">
        <v>0.6</v>
      </c>
      <c r="K20" s="7" t="n">
        <v>0.8</v>
      </c>
      <c r="M20" t="n">
        <v>15</v>
      </c>
      <c r="N20" t="n">
        <v>46.5</v>
      </c>
      <c r="O20" t="n">
        <v>71.09999999999999</v>
      </c>
      <c r="P20" t="n">
        <v>88.2</v>
      </c>
      <c r="Q20" t="n">
        <v>110.8</v>
      </c>
      <c r="R20" t="n">
        <v>128.3</v>
      </c>
      <c r="S20" t="n">
        <v>146.3</v>
      </c>
      <c r="T20" t="n">
        <v>165</v>
      </c>
      <c r="U20" t="n">
        <v>190.7</v>
      </c>
      <c r="V20" t="n">
        <v>211</v>
      </c>
      <c r="W20" t="n">
        <v>232.1</v>
      </c>
      <c r="X20" t="n">
        <v>261.1</v>
      </c>
      <c r="Y20" t="n">
        <v>284.1</v>
      </c>
    </row>
    <row r="21">
      <c r="A21" s="6" t="n">
        <v>2009</v>
      </c>
      <c r="B21" s="7" t="n">
        <v>16.6</v>
      </c>
      <c r="C21" s="7" t="n">
        <v>29.4</v>
      </c>
      <c r="D21" s="7" t="n">
        <v>31.6</v>
      </c>
      <c r="E21" s="7" t="n">
        <v>31.8</v>
      </c>
      <c r="F21" s="7" t="n">
        <v>31.9</v>
      </c>
      <c r="G21" s="7" t="n">
        <v>32</v>
      </c>
      <c r="H21" s="7" t="n">
        <v>32</v>
      </c>
      <c r="I21" s="7" t="n">
        <v>32.2</v>
      </c>
      <c r="J21" s="7" t="n">
        <v>32.2</v>
      </c>
      <c r="K21" s="7" t="n">
        <v>32.3</v>
      </c>
      <c r="M21" t="n">
        <v>30</v>
      </c>
      <c r="N21" t="n">
        <v>32.1</v>
      </c>
      <c r="O21" t="n">
        <v>49.7</v>
      </c>
      <c r="P21" t="n">
        <v>61.8</v>
      </c>
      <c r="Q21" t="n">
        <v>77.7</v>
      </c>
      <c r="R21" t="n">
        <v>89.90000000000001</v>
      </c>
      <c r="S21" t="n">
        <v>102.5</v>
      </c>
      <c r="T21" t="n">
        <v>115.3</v>
      </c>
      <c r="U21" t="n">
        <v>132.9</v>
      </c>
      <c r="V21" t="n">
        <v>146.7</v>
      </c>
      <c r="W21" t="n">
        <v>160.9</v>
      </c>
      <c r="X21" t="n">
        <v>180.3</v>
      </c>
      <c r="Y21" t="n">
        <v>195.5</v>
      </c>
    </row>
    <row r="22">
      <c r="A22" s="6" t="n">
        <v>2010</v>
      </c>
      <c r="B22" s="7" t="n">
        <v>106</v>
      </c>
      <c r="C22" s="7" t="n">
        <v>184</v>
      </c>
      <c r="D22" s="7" t="n">
        <v>242</v>
      </c>
      <c r="E22" s="7" t="n">
        <v>275.8</v>
      </c>
      <c r="F22" s="7" t="n">
        <v>299.2</v>
      </c>
      <c r="G22" s="7" t="n">
        <v>389.8</v>
      </c>
      <c r="H22" s="7" t="n">
        <v>420</v>
      </c>
      <c r="I22" s="7" t="n">
        <v>504.5</v>
      </c>
      <c r="J22" s="7" t="n">
        <v>542.9</v>
      </c>
      <c r="K22" s="7" t="n">
        <v>553.3</v>
      </c>
      <c r="M22" t="n">
        <v>60</v>
      </c>
      <c r="N22" t="n">
        <v>20.1</v>
      </c>
      <c r="O22" t="n">
        <v>31</v>
      </c>
      <c r="P22" t="n">
        <v>38.6</v>
      </c>
      <c r="Q22" t="n">
        <v>48.6</v>
      </c>
      <c r="R22" t="n">
        <v>56.3</v>
      </c>
      <c r="S22" t="n">
        <v>64.2</v>
      </c>
      <c r="T22" t="n">
        <v>72.3</v>
      </c>
      <c r="U22" t="n">
        <v>83.5</v>
      </c>
      <c r="V22" t="n">
        <v>92.3</v>
      </c>
      <c r="W22" t="n">
        <v>101.4</v>
      </c>
      <c r="X22" t="n">
        <v>114</v>
      </c>
      <c r="Y22" t="n">
        <v>123.8</v>
      </c>
    </row>
    <row r="23">
      <c r="A23" s="6" t="n">
        <v>2011</v>
      </c>
      <c r="B23" s="7" t="n">
        <v>49</v>
      </c>
      <c r="C23" s="7" t="n">
        <v>78</v>
      </c>
      <c r="D23" s="7" t="n">
        <v>103.6</v>
      </c>
      <c r="E23" s="7" t="n">
        <v>142.2</v>
      </c>
      <c r="F23" s="7" t="n">
        <v>158.5</v>
      </c>
      <c r="G23" s="7" t="n">
        <v>161.8</v>
      </c>
      <c r="H23" s="7" t="n">
        <v>167.8</v>
      </c>
      <c r="I23" s="7" t="n">
        <v>179.8</v>
      </c>
      <c r="J23" s="7" t="n">
        <v>180.7</v>
      </c>
      <c r="K23" s="7" t="n">
        <v>181.6</v>
      </c>
      <c r="M23" t="n">
        <v>120</v>
      </c>
      <c r="N23" t="n">
        <v>11.7</v>
      </c>
      <c r="O23" t="n">
        <v>18.5</v>
      </c>
      <c r="P23" t="n">
        <v>23.2</v>
      </c>
      <c r="Q23" t="n">
        <v>29.6</v>
      </c>
      <c r="R23" t="n">
        <v>34.6</v>
      </c>
      <c r="S23" t="n">
        <v>39.8</v>
      </c>
      <c r="T23" t="n">
        <v>45.2</v>
      </c>
      <c r="U23" t="n">
        <v>52.7</v>
      </c>
      <c r="V23" t="n">
        <v>58.7</v>
      </c>
      <c r="W23" t="n">
        <v>65</v>
      </c>
      <c r="X23" t="n">
        <v>73.8</v>
      </c>
      <c r="Y23" t="n">
        <v>80.8</v>
      </c>
    </row>
    <row r="24">
      <c r="A24" s="6" t="n">
        <v>2012</v>
      </c>
      <c r="B24" s="7" t="n">
        <v>88</v>
      </c>
      <c r="C24" s="7" t="n">
        <v>138</v>
      </c>
      <c r="D24" s="7" t="n">
        <v>162</v>
      </c>
      <c r="E24" s="7" t="n">
        <v>214.8</v>
      </c>
      <c r="F24" s="7" t="n">
        <v>268</v>
      </c>
      <c r="G24" s="7" t="n">
        <v>274.9</v>
      </c>
      <c r="H24" s="7" t="n">
        <v>275.3</v>
      </c>
      <c r="I24" s="7" t="n">
        <v>294.4</v>
      </c>
      <c r="J24" s="7" t="n">
        <v>311.1</v>
      </c>
      <c r="K24" s="7" t="n">
        <v>327</v>
      </c>
      <c r="M24" t="n">
        <v>180</v>
      </c>
      <c r="N24" t="n">
        <v>8.300000000000001</v>
      </c>
      <c r="O24" t="n">
        <v>13.5</v>
      </c>
      <c r="P24" t="n">
        <v>17.2</v>
      </c>
      <c r="Q24" t="n">
        <v>22.5</v>
      </c>
      <c r="R24" t="n">
        <v>26.8</v>
      </c>
      <c r="S24" t="n">
        <v>31.4</v>
      </c>
      <c r="T24" t="n">
        <v>36.3</v>
      </c>
      <c r="U24" t="n">
        <v>43.4</v>
      </c>
      <c r="V24" t="n">
        <v>49.3</v>
      </c>
      <c r="W24" t="n">
        <v>55.7</v>
      </c>
      <c r="X24" t="n">
        <v>64.90000000000001</v>
      </c>
      <c r="Y24" t="n">
        <v>72.5</v>
      </c>
    </row>
    <row r="25">
      <c r="A25" s="6" t="n">
        <v>2013</v>
      </c>
      <c r="B25" s="7" t="n">
        <v>7.4</v>
      </c>
      <c r="C25" s="7" t="n">
        <v>12.6</v>
      </c>
      <c r="D25" s="7" t="n">
        <v>16.8</v>
      </c>
      <c r="E25" s="7" t="n">
        <v>22.8</v>
      </c>
      <c r="F25" s="7" t="n">
        <v>26</v>
      </c>
      <c r="G25" s="7" t="n">
        <v>30.4</v>
      </c>
      <c r="H25" s="7" t="n">
        <v>33</v>
      </c>
      <c r="I25" s="7" t="n">
        <v>46.6</v>
      </c>
      <c r="J25" s="7" t="n">
        <v>46.7</v>
      </c>
      <c r="K25" s="7" t="n">
        <v>56.4</v>
      </c>
      <c r="M25" t="n">
        <v>360</v>
      </c>
      <c r="N25" t="n">
        <v>4.6</v>
      </c>
      <c r="O25" t="n">
        <v>7.8</v>
      </c>
      <c r="P25" t="n">
        <v>10.1</v>
      </c>
      <c r="Q25" t="n">
        <v>13.4</v>
      </c>
      <c r="R25" t="n">
        <v>16.1</v>
      </c>
      <c r="S25" t="n">
        <v>19.1</v>
      </c>
      <c r="T25" t="n">
        <v>22.3</v>
      </c>
      <c r="U25" t="n">
        <v>27</v>
      </c>
      <c r="V25" t="n">
        <v>31</v>
      </c>
      <c r="W25" t="n">
        <v>35.4</v>
      </c>
      <c r="X25" t="n">
        <v>41.8</v>
      </c>
      <c r="Y25" t="n">
        <v>47.1</v>
      </c>
    </row>
    <row r="26">
      <c r="A26" s="6" t="n">
        <v>2014</v>
      </c>
      <c r="B26" s="7" t="n">
        <v>6.8</v>
      </c>
      <c r="C26" s="7" t="n">
        <v>9</v>
      </c>
      <c r="D26" s="7" t="n">
        <v>12.2</v>
      </c>
      <c r="E26" s="7" t="n">
        <v>18.6</v>
      </c>
      <c r="F26" s="7" t="n">
        <v>25.2</v>
      </c>
      <c r="G26" s="7" t="n">
        <v>48.6</v>
      </c>
      <c r="H26" s="7" t="n">
        <v>52.6</v>
      </c>
      <c r="I26" s="7" t="n">
        <v>61.1</v>
      </c>
      <c r="J26" s="7" t="n">
        <v>66.40000000000001</v>
      </c>
      <c r="K26" s="7" t="n">
        <v>78</v>
      </c>
      <c r="M26" t="n">
        <v>720</v>
      </c>
      <c r="N26" t="n">
        <v>2.6</v>
      </c>
      <c r="O26" t="n">
        <v>4.4</v>
      </c>
      <c r="P26" t="n">
        <v>5.8</v>
      </c>
      <c r="Q26" t="n">
        <v>7.7</v>
      </c>
      <c r="R26" t="n">
        <v>9.4</v>
      </c>
      <c r="S26" t="n">
        <v>11.1</v>
      </c>
      <c r="T26" t="n">
        <v>13.1</v>
      </c>
      <c r="U26" t="n">
        <v>16</v>
      </c>
      <c r="V26" t="n">
        <v>18.4</v>
      </c>
      <c r="W26" t="n">
        <v>21</v>
      </c>
      <c r="X26" t="n">
        <v>25</v>
      </c>
      <c r="Y26" t="n">
        <v>28.3</v>
      </c>
    </row>
    <row r="27">
      <c r="A27" s="6" t="n">
        <v>2016</v>
      </c>
      <c r="B27" s="7" t="n">
        <v>11.8</v>
      </c>
      <c r="C27" s="7" t="n">
        <v>19.6</v>
      </c>
      <c r="D27" s="7" t="n">
        <v>22.4</v>
      </c>
      <c r="E27" s="7" t="n">
        <v>29.8</v>
      </c>
      <c r="F27" s="7" t="n">
        <v>31.7</v>
      </c>
      <c r="G27" s="7" t="n">
        <v>32.1</v>
      </c>
      <c r="H27" s="7" t="n">
        <v>32.6</v>
      </c>
      <c r="I27" s="7" t="n">
        <v>35.8</v>
      </c>
      <c r="J27" s="7" t="n">
        <v>37</v>
      </c>
      <c r="K27" s="7" t="n">
        <v>37.1</v>
      </c>
      <c r="M27" t="n">
        <v>1440</v>
      </c>
      <c r="N27" t="n">
        <v>1.5</v>
      </c>
      <c r="O27" t="n">
        <v>2.5</v>
      </c>
      <c r="P27" t="n">
        <v>3.3</v>
      </c>
      <c r="Q27" t="n">
        <v>4.4</v>
      </c>
      <c r="R27" t="n">
        <v>5.3</v>
      </c>
      <c r="S27" t="n">
        <v>6.3</v>
      </c>
      <c r="T27" t="n">
        <v>7.3</v>
      </c>
      <c r="U27" t="n">
        <v>8.9</v>
      </c>
      <c r="V27" t="n">
        <v>10.2</v>
      </c>
      <c r="W27" t="n">
        <v>11.6</v>
      </c>
      <c r="X27" t="n">
        <v>13.7</v>
      </c>
      <c r="Y27" t="n">
        <v>15.5</v>
      </c>
    </row>
    <row r="28">
      <c r="A28" s="6" t="n">
        <v>2017</v>
      </c>
      <c r="B28" s="7" t="n">
        <v>7.1</v>
      </c>
      <c r="C28" s="7" t="n">
        <v>9</v>
      </c>
      <c r="D28" s="7" t="n">
        <v>11.2</v>
      </c>
      <c r="E28" s="7" t="n">
        <v>13.8</v>
      </c>
      <c r="F28" s="7" t="n">
        <v>14.3</v>
      </c>
      <c r="G28" s="7" t="n">
        <v>16.2</v>
      </c>
      <c r="H28" s="7" t="n">
        <v>16.3</v>
      </c>
      <c r="I28" s="7" t="n">
        <v>21.4</v>
      </c>
      <c r="J28" s="7" t="n">
        <v>28.7</v>
      </c>
      <c r="K28" s="7" t="n">
        <v>31.2</v>
      </c>
    </row>
    <row r="29">
      <c r="A29" s="6" t="n">
        <v>2018</v>
      </c>
      <c r="B29" s="7" t="n">
        <v>7</v>
      </c>
      <c r="C29" s="7" t="n">
        <v>12</v>
      </c>
      <c r="D29" s="7" t="n">
        <v>15.2</v>
      </c>
      <c r="E29" s="7" t="n">
        <v>20.6</v>
      </c>
      <c r="F29" s="7" t="n">
        <v>33</v>
      </c>
      <c r="G29" s="7" t="n">
        <v>41.1</v>
      </c>
      <c r="H29" s="7" t="n">
        <v>42.6</v>
      </c>
      <c r="I29" s="7" t="n">
        <v>44.4</v>
      </c>
      <c r="J29" s="7" t="n">
        <v>44.5</v>
      </c>
      <c r="K29" s="7" t="n">
        <v>44.6</v>
      </c>
    </row>
    <row r="30">
      <c r="A30" s="6" t="n">
        <v>2019</v>
      </c>
      <c r="B30" s="7" t="n">
        <v>8.199999999999999</v>
      </c>
      <c r="C30" s="7" t="n">
        <v>15</v>
      </c>
      <c r="D30" s="7" t="n">
        <v>21.6</v>
      </c>
      <c r="E30" s="7" t="n">
        <v>29.2</v>
      </c>
      <c r="F30" s="7" t="n">
        <v>31.6</v>
      </c>
      <c r="G30" s="7" t="n">
        <v>31.6</v>
      </c>
      <c r="H30" s="7" t="n">
        <v>31.6</v>
      </c>
      <c r="I30" s="7" t="n">
        <v>31.6</v>
      </c>
      <c r="J30" s="7" t="n">
        <v>44.2</v>
      </c>
      <c r="K30" s="7" t="n">
        <v>54.5</v>
      </c>
    </row>
    <row r="31">
      <c r="A31" s="6" t="n">
        <v>2020</v>
      </c>
      <c r="B31" s="7" t="n">
        <v>14.2</v>
      </c>
      <c r="C31" s="7" t="n">
        <v>21.4</v>
      </c>
      <c r="D31" s="7" t="n">
        <v>27.4</v>
      </c>
      <c r="E31" s="7" t="n">
        <v>34.2</v>
      </c>
      <c r="F31" s="7" t="n">
        <v>37.4</v>
      </c>
      <c r="G31" s="7" t="n">
        <v>42.4</v>
      </c>
      <c r="H31" s="7" t="n">
        <v>44</v>
      </c>
      <c r="I31" s="7" t="n">
        <v>45.9</v>
      </c>
      <c r="J31" s="7" t="n">
        <v>46</v>
      </c>
      <c r="K31" s="7" t="n">
        <v>46.1</v>
      </c>
    </row>
    <row r="32">
      <c r="A32" s="6" t="n">
        <v>2021</v>
      </c>
      <c r="B32" s="7" t="n">
        <v>6.6</v>
      </c>
      <c r="C32" s="7" t="n">
        <v>12</v>
      </c>
      <c r="D32" s="7" t="n">
        <v>17.4</v>
      </c>
      <c r="E32" s="7" t="n">
        <v>29.8</v>
      </c>
      <c r="F32" s="7" t="n">
        <v>33.6</v>
      </c>
      <c r="G32" s="7" t="n">
        <v>33.6</v>
      </c>
      <c r="H32" s="7" t="n">
        <v>33.6</v>
      </c>
      <c r="I32" s="7" t="n">
        <v>33.7</v>
      </c>
      <c r="J32" s="7" t="n">
        <v>33.8</v>
      </c>
      <c r="K32" s="7" t="n">
        <v>34</v>
      </c>
    </row>
    <row r="33">
      <c r="A33" s="6" t="n">
        <v>2022</v>
      </c>
      <c r="B33" s="7" t="n">
        <v>10.4</v>
      </c>
      <c r="C33" s="7" t="n">
        <v>19.4</v>
      </c>
      <c r="D33" s="7" t="n">
        <v>24.6</v>
      </c>
      <c r="E33" s="7" t="n">
        <v>39.4</v>
      </c>
      <c r="F33" s="7" t="n">
        <v>74.2</v>
      </c>
      <c r="G33" s="7" t="n">
        <v>129.4</v>
      </c>
      <c r="H33" s="7" t="n">
        <v>135</v>
      </c>
      <c r="I33" s="7" t="n">
        <v>135.4</v>
      </c>
      <c r="J33" s="7" t="n">
        <v>135.5</v>
      </c>
      <c r="K33" s="7" t="n">
        <v>135.6</v>
      </c>
    </row>
    <row r="36">
      <c r="A36" s="2" t="inlineStr">
        <is>
          <t>AMS AFTER gap filling (mm)  -  yellow = added or changed by gap filling</t>
        </is>
      </c>
    </row>
    <row r="37">
      <c r="A37" s="4" t="inlineStr">
        <is>
          <t>Water year</t>
        </is>
      </c>
      <c r="B37" s="5" t="inlineStr">
        <is>
          <t>5min</t>
        </is>
      </c>
      <c r="C37" s="5" t="inlineStr">
        <is>
          <t>10min</t>
        </is>
      </c>
      <c r="D37" s="5" t="inlineStr">
        <is>
          <t>15min</t>
        </is>
      </c>
      <c r="E37" s="5" t="inlineStr">
        <is>
          <t>30min</t>
        </is>
      </c>
      <c r="F37" s="5" t="inlineStr">
        <is>
          <t>1h</t>
        </is>
      </c>
      <c r="G37" s="5" t="inlineStr">
        <is>
          <t>2h</t>
        </is>
      </c>
      <c r="H37" s="5" t="inlineStr">
        <is>
          <t>3h</t>
        </is>
      </c>
      <c r="I37" s="5" t="inlineStr">
        <is>
          <t>6h</t>
        </is>
      </c>
      <c r="J37" s="5" t="inlineStr">
        <is>
          <t>12h</t>
        </is>
      </c>
      <c r="K37" s="5" t="inlineStr">
        <is>
          <t>24h</t>
        </is>
      </c>
    </row>
    <row r="38">
      <c r="A38" s="6" t="n">
        <v>1993</v>
      </c>
      <c r="B38" s="7" t="n">
        <v>7.8</v>
      </c>
      <c r="C38" s="7" t="n">
        <v>12.4</v>
      </c>
      <c r="D38" s="7" t="n">
        <v>15.4</v>
      </c>
      <c r="E38" s="7" t="n">
        <v>23</v>
      </c>
      <c r="F38" s="7" t="n">
        <v>28</v>
      </c>
      <c r="G38" s="7" t="n">
        <v>28.4</v>
      </c>
      <c r="H38" s="7" t="n">
        <v>28.4</v>
      </c>
      <c r="I38" s="7" t="n">
        <v>28.4</v>
      </c>
      <c r="J38" s="7" t="n">
        <v>28.5</v>
      </c>
      <c r="K38" s="8" t="n">
        <v>29.1</v>
      </c>
    </row>
    <row r="39">
      <c r="A39" s="6" t="n">
        <v>1994</v>
      </c>
      <c r="B39" s="7" t="n">
        <v>9.800000000000001</v>
      </c>
      <c r="C39" s="7" t="n">
        <v>11.6</v>
      </c>
      <c r="D39" s="7" t="n">
        <v>12.4</v>
      </c>
      <c r="E39" s="7" t="n">
        <v>15.4</v>
      </c>
      <c r="F39" s="7" t="n">
        <v>18.1</v>
      </c>
      <c r="G39" s="7" t="n">
        <v>20.4</v>
      </c>
      <c r="H39" s="7" t="n">
        <v>20.5</v>
      </c>
      <c r="I39" s="7" t="n">
        <v>20.8</v>
      </c>
      <c r="J39" s="7" t="n">
        <v>21.3</v>
      </c>
      <c r="K39" s="7" t="n">
        <v>27.8</v>
      </c>
    </row>
    <row r="40">
      <c r="A40" s="6" t="n">
        <v>1995</v>
      </c>
      <c r="B40" s="7" t="n">
        <v>10.6</v>
      </c>
      <c r="C40" s="7" t="n">
        <v>19.2</v>
      </c>
      <c r="D40" s="7" t="n">
        <v>25.8</v>
      </c>
      <c r="E40" s="7" t="n">
        <v>36.2</v>
      </c>
      <c r="F40" s="7" t="n">
        <v>44.7</v>
      </c>
      <c r="G40" s="7" t="n">
        <v>44.8</v>
      </c>
      <c r="H40" s="7" t="n">
        <v>44.8</v>
      </c>
      <c r="I40" s="7" t="n">
        <v>44.8</v>
      </c>
      <c r="J40" s="7" t="n">
        <v>44.9</v>
      </c>
      <c r="K40" s="7" t="n">
        <v>45</v>
      </c>
    </row>
    <row r="41">
      <c r="A41" s="6" t="n">
        <v>1996</v>
      </c>
      <c r="B41" s="7" t="n">
        <v>6.2</v>
      </c>
      <c r="C41" s="7" t="n">
        <v>8.6</v>
      </c>
      <c r="D41" s="7" t="n">
        <v>10.4</v>
      </c>
      <c r="E41" s="7" t="n">
        <v>16.2</v>
      </c>
      <c r="F41" s="7" t="n">
        <v>25.8</v>
      </c>
      <c r="G41" s="7" t="n">
        <v>43.8</v>
      </c>
      <c r="H41" s="7" t="n">
        <v>54.4</v>
      </c>
      <c r="I41" s="7" t="n">
        <v>62.8</v>
      </c>
      <c r="J41" s="7" t="n">
        <v>73</v>
      </c>
      <c r="K41" s="7" t="n">
        <v>76.7</v>
      </c>
    </row>
    <row r="42">
      <c r="A42" s="6" t="n">
        <v>1997</v>
      </c>
      <c r="B42" s="7" t="n">
        <v>10</v>
      </c>
      <c r="C42" s="7" t="n">
        <v>16</v>
      </c>
      <c r="D42" s="7" t="n">
        <v>19.6</v>
      </c>
      <c r="E42" s="7" t="n">
        <v>27.6</v>
      </c>
      <c r="F42" s="7" t="n">
        <v>35.4</v>
      </c>
      <c r="G42" s="7" t="n">
        <v>43.5</v>
      </c>
      <c r="H42" s="7" t="n">
        <v>45.3</v>
      </c>
      <c r="I42" s="7" t="n">
        <v>58.8</v>
      </c>
      <c r="J42" s="7" t="n">
        <v>86.2</v>
      </c>
      <c r="K42" s="7" t="n">
        <v>86.8</v>
      </c>
    </row>
    <row r="43">
      <c r="A43" s="6" t="n">
        <v>1998</v>
      </c>
      <c r="B43" s="7" t="n">
        <v>8.6</v>
      </c>
      <c r="C43" s="7" t="n">
        <v>15.6</v>
      </c>
      <c r="D43" s="7" t="n">
        <v>21</v>
      </c>
      <c r="E43" s="7" t="n">
        <v>26.4</v>
      </c>
      <c r="F43" s="7" t="n">
        <v>28.8</v>
      </c>
      <c r="G43" s="7" t="n">
        <v>30.5</v>
      </c>
      <c r="H43" s="7" t="n">
        <v>31.8</v>
      </c>
      <c r="I43" s="7" t="n">
        <v>33</v>
      </c>
      <c r="J43" s="7" t="n">
        <v>33.7</v>
      </c>
      <c r="K43" s="7" t="n">
        <v>60.5</v>
      </c>
    </row>
    <row r="44">
      <c r="A44" s="6" t="n">
        <v>1999</v>
      </c>
      <c r="B44" s="7" t="n">
        <v>7.4</v>
      </c>
      <c r="C44" s="7" t="n">
        <v>12</v>
      </c>
      <c r="D44" s="7" t="n">
        <v>16</v>
      </c>
      <c r="E44" s="7" t="n">
        <v>26.6</v>
      </c>
      <c r="F44" s="7" t="n">
        <v>39.8</v>
      </c>
      <c r="G44" s="7" t="n">
        <v>43.8</v>
      </c>
      <c r="H44" s="7" t="n">
        <v>43.8</v>
      </c>
      <c r="I44" s="7" t="n">
        <v>44</v>
      </c>
      <c r="J44" s="7" t="n">
        <v>44.2</v>
      </c>
      <c r="K44" s="7" t="n">
        <v>44.6</v>
      </c>
    </row>
    <row r="45">
      <c r="A45" s="6" t="n">
        <v>2000</v>
      </c>
      <c r="B45" s="7" t="n">
        <v>7.4</v>
      </c>
      <c r="C45" s="7" t="n">
        <v>13</v>
      </c>
      <c r="D45" s="7" t="n">
        <v>16</v>
      </c>
      <c r="E45" s="7" t="n">
        <v>18.9</v>
      </c>
      <c r="F45" s="8" t="n">
        <v>19.3</v>
      </c>
      <c r="G45" s="8" t="n">
        <v>22.9</v>
      </c>
      <c r="H45" s="8" t="n">
        <v>25.5</v>
      </c>
      <c r="I45" s="8" t="n">
        <v>25.5</v>
      </c>
      <c r="J45" s="8" t="n">
        <v>25.5</v>
      </c>
      <c r="K45" s="8" t="n">
        <v>25.6</v>
      </c>
    </row>
    <row r="46">
      <c r="A46" s="6" t="n">
        <v>2001</v>
      </c>
      <c r="B46" s="7" t="n">
        <v>5.4</v>
      </c>
      <c r="C46" s="7" t="n">
        <v>9.6</v>
      </c>
      <c r="D46" s="7" t="n">
        <v>13.2</v>
      </c>
      <c r="E46" s="7" t="n">
        <v>19.2</v>
      </c>
      <c r="F46" s="7" t="n">
        <v>20.1</v>
      </c>
      <c r="G46" s="7" t="n">
        <v>20.4</v>
      </c>
      <c r="H46" s="7" t="n">
        <v>20.4</v>
      </c>
      <c r="I46" s="7" t="n">
        <v>20.4</v>
      </c>
      <c r="J46" s="7" t="n">
        <v>20.5</v>
      </c>
      <c r="K46" s="7" t="n">
        <v>20.6</v>
      </c>
    </row>
    <row r="47">
      <c r="A47" s="6" t="n">
        <v>2002</v>
      </c>
      <c r="B47" s="7" t="n">
        <v>5.6</v>
      </c>
      <c r="C47" s="7" t="n">
        <v>9</v>
      </c>
      <c r="D47" s="7" t="n">
        <v>9.6</v>
      </c>
      <c r="E47" s="8" t="n">
        <v>10.4</v>
      </c>
      <c r="F47" s="8" t="n">
        <v>15.5</v>
      </c>
      <c r="G47" s="8" t="n">
        <v>16.4</v>
      </c>
      <c r="H47" s="8" t="n">
        <v>18.6</v>
      </c>
      <c r="I47" s="8" t="n">
        <v>18.6</v>
      </c>
      <c r="J47" s="8" t="n">
        <v>18.7</v>
      </c>
      <c r="K47" s="8" t="n">
        <v>18.8</v>
      </c>
    </row>
    <row r="48">
      <c r="A48" s="6" t="n">
        <v>2003</v>
      </c>
      <c r="B48" s="7" t="n">
        <v>6.8</v>
      </c>
      <c r="C48" s="7" t="n">
        <v>11.8</v>
      </c>
      <c r="D48" s="7" t="n">
        <v>13.8</v>
      </c>
      <c r="E48" s="7" t="n">
        <v>18.8</v>
      </c>
      <c r="F48" s="7" t="n">
        <v>23.8</v>
      </c>
      <c r="G48" s="7" t="n">
        <v>29.6</v>
      </c>
      <c r="H48" s="7" t="n">
        <v>31.8</v>
      </c>
      <c r="I48" s="7" t="n">
        <v>32.8</v>
      </c>
      <c r="J48" s="7" t="n">
        <v>36.2</v>
      </c>
      <c r="K48" s="7" t="n">
        <v>37.1</v>
      </c>
    </row>
    <row r="49">
      <c r="A49" s="6" t="n">
        <v>2004</v>
      </c>
      <c r="B49" s="7" t="n">
        <v>2.6</v>
      </c>
      <c r="C49" s="7" t="n">
        <v>4</v>
      </c>
      <c r="D49" s="7" t="n">
        <v>4.8</v>
      </c>
      <c r="E49" s="7" t="n">
        <v>6.6</v>
      </c>
      <c r="F49" s="7" t="n">
        <v>8.800000000000001</v>
      </c>
      <c r="G49" s="7" t="n">
        <v>9</v>
      </c>
      <c r="H49" s="7" t="n">
        <v>9</v>
      </c>
      <c r="I49" s="7" t="n">
        <v>9</v>
      </c>
      <c r="J49" s="7" t="n">
        <v>9.1</v>
      </c>
      <c r="K49" s="7" t="n">
        <v>9.199999999999999</v>
      </c>
    </row>
    <row r="50">
      <c r="A50" s="6" t="n">
        <v>2005</v>
      </c>
      <c r="B50" s="8" t="n">
        <v>4.4</v>
      </c>
      <c r="C50" s="8" t="n">
        <v>8.5</v>
      </c>
      <c r="D50" s="8" t="n">
        <v>9.6</v>
      </c>
      <c r="E50" s="8" t="n">
        <v>12.8</v>
      </c>
      <c r="F50" s="8" t="n">
        <v>14.9</v>
      </c>
      <c r="G50" s="8" t="n">
        <v>15.6</v>
      </c>
      <c r="H50" s="8" t="n">
        <v>15.9</v>
      </c>
      <c r="I50" s="7" t="n">
        <v>21.9</v>
      </c>
      <c r="J50" s="7" t="n">
        <v>43.8</v>
      </c>
      <c r="K50" s="7" t="n">
        <v>87.59999999999999</v>
      </c>
    </row>
    <row r="51">
      <c r="A51" s="6" t="n">
        <v>2006</v>
      </c>
      <c r="B51" s="7" t="n">
        <v>9</v>
      </c>
      <c r="C51" s="7" t="n">
        <v>9.800000000000001</v>
      </c>
      <c r="D51" s="7" t="n">
        <v>13.6</v>
      </c>
      <c r="E51" s="7" t="n">
        <v>21.8</v>
      </c>
      <c r="F51" s="7" t="n">
        <v>38.6</v>
      </c>
      <c r="G51" s="7" t="n">
        <v>40.8</v>
      </c>
      <c r="H51" s="7" t="n">
        <v>40.8</v>
      </c>
      <c r="I51" s="7" t="n">
        <v>40.8</v>
      </c>
      <c r="J51" s="7" t="n">
        <v>40.9</v>
      </c>
      <c r="K51" s="7" t="n">
        <v>41</v>
      </c>
    </row>
    <row r="52">
      <c r="A52" s="6" t="n">
        <v>2007</v>
      </c>
      <c r="B52" s="7" t="n">
        <v>6.8</v>
      </c>
      <c r="C52" s="7" t="n">
        <v>8.800000000000001</v>
      </c>
      <c r="D52" s="7" t="n">
        <v>11.8</v>
      </c>
      <c r="E52" s="7" t="n">
        <v>14.6</v>
      </c>
      <c r="F52" s="7" t="n">
        <v>18.5</v>
      </c>
      <c r="G52" s="7" t="n">
        <v>24</v>
      </c>
      <c r="H52" s="7" t="n">
        <v>24.4</v>
      </c>
      <c r="I52" s="7" t="n">
        <v>43.4</v>
      </c>
      <c r="J52" s="7" t="n">
        <v>50.5</v>
      </c>
      <c r="K52" s="7" t="n">
        <v>54.4</v>
      </c>
    </row>
    <row r="53">
      <c r="A53" s="6" t="n">
        <v>2008</v>
      </c>
      <c r="B53" s="8" t="n">
        <v>3</v>
      </c>
      <c r="C53" s="8" t="n">
        <v>5</v>
      </c>
      <c r="D53" s="8" t="n">
        <v>6.7</v>
      </c>
      <c r="E53" s="8" t="n">
        <v>9</v>
      </c>
      <c r="F53" s="8" t="n">
        <v>11.5</v>
      </c>
      <c r="G53" s="8" t="n">
        <v>12.8</v>
      </c>
      <c r="H53" s="8" t="n">
        <v>13</v>
      </c>
      <c r="I53" s="8" t="n">
        <v>13.2</v>
      </c>
      <c r="J53" s="8" t="n">
        <v>13.3</v>
      </c>
      <c r="K53" s="8" t="n">
        <v>13.3</v>
      </c>
    </row>
    <row r="54">
      <c r="A54" s="6" t="n">
        <v>2009</v>
      </c>
      <c r="B54" s="7" t="n">
        <v>16.6</v>
      </c>
      <c r="C54" s="7" t="n">
        <v>29.4</v>
      </c>
      <c r="D54" s="7" t="n">
        <v>31.6</v>
      </c>
      <c r="E54" s="7" t="n">
        <v>31.8</v>
      </c>
      <c r="F54" s="7" t="n">
        <v>31.9</v>
      </c>
      <c r="G54" s="7" t="n">
        <v>32</v>
      </c>
      <c r="H54" s="7" t="n">
        <v>32</v>
      </c>
      <c r="I54" s="7" t="n">
        <v>32.2</v>
      </c>
      <c r="J54" s="7" t="n">
        <v>32.2</v>
      </c>
      <c r="K54" s="7" t="n">
        <v>32.3</v>
      </c>
    </row>
    <row r="55">
      <c r="A55" s="6" t="n">
        <v>2010</v>
      </c>
      <c r="B55" s="7" t="n">
        <v>106</v>
      </c>
      <c r="C55" s="7" t="n">
        <v>184</v>
      </c>
      <c r="D55" s="7" t="n">
        <v>242</v>
      </c>
      <c r="E55" s="7" t="n">
        <v>275.8</v>
      </c>
      <c r="F55" s="7" t="n">
        <v>299.2</v>
      </c>
      <c r="G55" s="7" t="n">
        <v>389.8</v>
      </c>
      <c r="H55" s="7" t="n">
        <v>420</v>
      </c>
      <c r="I55" s="7" t="n">
        <v>504.5</v>
      </c>
      <c r="J55" s="7" t="n">
        <v>542.9</v>
      </c>
      <c r="K55" s="7" t="n">
        <v>553.3</v>
      </c>
    </row>
    <row r="56">
      <c r="A56" s="6" t="n">
        <v>2011</v>
      </c>
      <c r="B56" s="7" t="n">
        <v>49</v>
      </c>
      <c r="C56" s="7" t="n">
        <v>78</v>
      </c>
      <c r="D56" s="7" t="n">
        <v>103.6</v>
      </c>
      <c r="E56" s="7" t="n">
        <v>142.2</v>
      </c>
      <c r="F56" s="7" t="n">
        <v>158.5</v>
      </c>
      <c r="G56" s="7" t="n">
        <v>161.8</v>
      </c>
      <c r="H56" s="7" t="n">
        <v>167.8</v>
      </c>
      <c r="I56" s="7" t="n">
        <v>179.8</v>
      </c>
      <c r="J56" s="7" t="n">
        <v>180.7</v>
      </c>
      <c r="K56" s="7" t="n">
        <v>181.6</v>
      </c>
    </row>
    <row r="57">
      <c r="A57" s="6" t="n">
        <v>2012</v>
      </c>
      <c r="B57" s="7" t="n">
        <v>88</v>
      </c>
      <c r="C57" s="7" t="n">
        <v>138</v>
      </c>
      <c r="D57" s="7" t="n">
        <v>162</v>
      </c>
      <c r="E57" s="7" t="n">
        <v>214.8</v>
      </c>
      <c r="F57" s="7" t="n">
        <v>268</v>
      </c>
      <c r="G57" s="7" t="n">
        <v>274.9</v>
      </c>
      <c r="H57" s="7" t="n">
        <v>275.3</v>
      </c>
      <c r="I57" s="7" t="n">
        <v>294.4</v>
      </c>
      <c r="J57" s="7" t="n">
        <v>311.1</v>
      </c>
      <c r="K57" s="7" t="n">
        <v>327</v>
      </c>
    </row>
    <row r="58">
      <c r="A58" s="6" t="n">
        <v>2013</v>
      </c>
      <c r="B58" s="7" t="n">
        <v>7.4</v>
      </c>
      <c r="C58" s="7" t="n">
        <v>12.6</v>
      </c>
      <c r="D58" s="7" t="n">
        <v>16.8</v>
      </c>
      <c r="E58" s="7" t="n">
        <v>22.8</v>
      </c>
      <c r="F58" s="7" t="n">
        <v>26</v>
      </c>
      <c r="G58" s="7" t="n">
        <v>30.4</v>
      </c>
      <c r="H58" s="7" t="n">
        <v>33</v>
      </c>
      <c r="I58" s="7" t="n">
        <v>46.6</v>
      </c>
      <c r="J58" s="7" t="n">
        <v>46.7</v>
      </c>
      <c r="K58" s="7" t="n">
        <v>56.4</v>
      </c>
    </row>
    <row r="59">
      <c r="A59" s="6" t="n">
        <v>2014</v>
      </c>
      <c r="B59" s="7" t="n">
        <v>6.8</v>
      </c>
      <c r="C59" s="8" t="n">
        <v>9.9</v>
      </c>
      <c r="D59" s="8" t="n">
        <v>13.4</v>
      </c>
      <c r="E59" s="8" t="n">
        <v>22.4</v>
      </c>
      <c r="F59" s="8" t="n">
        <v>33.6</v>
      </c>
      <c r="G59" s="7" t="n">
        <v>48.6</v>
      </c>
      <c r="H59" s="7" t="n">
        <v>52.6</v>
      </c>
      <c r="I59" s="7" t="n">
        <v>61.1</v>
      </c>
      <c r="J59" s="8" t="n">
        <v>75.5</v>
      </c>
      <c r="K59" s="7" t="n">
        <v>78</v>
      </c>
    </row>
    <row r="60">
      <c r="A60" s="6" t="n">
        <v>2016</v>
      </c>
      <c r="B60" s="7" t="n">
        <v>11.8</v>
      </c>
      <c r="C60" s="7" t="n">
        <v>19.6</v>
      </c>
      <c r="D60" s="7" t="n">
        <v>22.4</v>
      </c>
      <c r="E60" s="7" t="n">
        <v>29.8</v>
      </c>
      <c r="F60" s="7" t="n">
        <v>31.7</v>
      </c>
      <c r="G60" s="7" t="n">
        <v>32.1</v>
      </c>
      <c r="H60" s="7" t="n">
        <v>32.6</v>
      </c>
      <c r="I60" s="7" t="n">
        <v>35.8</v>
      </c>
      <c r="J60" s="7" t="n">
        <v>37</v>
      </c>
      <c r="K60" s="7" t="n">
        <v>37.1</v>
      </c>
    </row>
    <row r="61">
      <c r="A61" s="6" t="n">
        <v>2017</v>
      </c>
      <c r="B61" s="7" t="n">
        <v>7.1</v>
      </c>
      <c r="C61" s="7" t="n">
        <v>9</v>
      </c>
      <c r="D61" s="7" t="n">
        <v>11.2</v>
      </c>
      <c r="E61" s="7" t="n">
        <v>13.8</v>
      </c>
      <c r="F61" s="7" t="n">
        <v>14.3</v>
      </c>
      <c r="G61" s="7" t="n">
        <v>16.2</v>
      </c>
      <c r="H61" s="7" t="n">
        <v>16.3</v>
      </c>
      <c r="I61" s="7" t="n">
        <v>21.4</v>
      </c>
      <c r="J61" s="7" t="n">
        <v>28.7</v>
      </c>
      <c r="K61" s="7" t="n">
        <v>31.2</v>
      </c>
    </row>
    <row r="62">
      <c r="A62" s="6" t="n">
        <v>2018</v>
      </c>
      <c r="B62" s="7" t="n">
        <v>7</v>
      </c>
      <c r="C62" s="7" t="n">
        <v>12</v>
      </c>
      <c r="D62" s="7" t="n">
        <v>15.2</v>
      </c>
      <c r="E62" s="7" t="n">
        <v>20.6</v>
      </c>
      <c r="F62" s="7" t="n">
        <v>33</v>
      </c>
      <c r="G62" s="7" t="n">
        <v>41.1</v>
      </c>
      <c r="H62" s="7" t="n">
        <v>42.6</v>
      </c>
      <c r="I62" s="7" t="n">
        <v>44.4</v>
      </c>
      <c r="J62" s="7" t="n">
        <v>44.5</v>
      </c>
      <c r="K62" s="7" t="n">
        <v>44.6</v>
      </c>
    </row>
    <row r="63">
      <c r="A63" s="6" t="n">
        <v>2019</v>
      </c>
      <c r="B63" s="7" t="n">
        <v>8.199999999999999</v>
      </c>
      <c r="C63" s="7" t="n">
        <v>15</v>
      </c>
      <c r="D63" s="7" t="n">
        <v>21.6</v>
      </c>
      <c r="E63" s="7" t="n">
        <v>29.2</v>
      </c>
      <c r="F63" s="7" t="n">
        <v>31.6</v>
      </c>
      <c r="G63" s="7" t="n">
        <v>31.6</v>
      </c>
      <c r="H63" s="7" t="n">
        <v>31.6</v>
      </c>
      <c r="I63" s="7" t="n">
        <v>31.6</v>
      </c>
      <c r="J63" s="7" t="n">
        <v>44.2</v>
      </c>
      <c r="K63" s="7" t="n">
        <v>54.5</v>
      </c>
    </row>
    <row r="64">
      <c r="A64" s="6" t="n">
        <v>2020</v>
      </c>
      <c r="B64" s="7" t="n">
        <v>14.2</v>
      </c>
      <c r="C64" s="7" t="n">
        <v>21.4</v>
      </c>
      <c r="D64" s="7" t="n">
        <v>27.4</v>
      </c>
      <c r="E64" s="7" t="n">
        <v>34.2</v>
      </c>
      <c r="F64" s="7" t="n">
        <v>37.4</v>
      </c>
      <c r="G64" s="7" t="n">
        <v>42.4</v>
      </c>
      <c r="H64" s="7" t="n">
        <v>44</v>
      </c>
      <c r="I64" s="7" t="n">
        <v>45.9</v>
      </c>
      <c r="J64" s="7" t="n">
        <v>46</v>
      </c>
      <c r="K64" s="7" t="n">
        <v>46.1</v>
      </c>
    </row>
    <row r="65">
      <c r="A65" s="6" t="n">
        <v>2021</v>
      </c>
      <c r="B65" s="7" t="n">
        <v>6.6</v>
      </c>
      <c r="C65" s="7" t="n">
        <v>12</v>
      </c>
      <c r="D65" s="7" t="n">
        <v>17.4</v>
      </c>
      <c r="E65" s="7" t="n">
        <v>29.8</v>
      </c>
      <c r="F65" s="7" t="n">
        <v>33.6</v>
      </c>
      <c r="G65" s="7" t="n">
        <v>33.6</v>
      </c>
      <c r="H65" s="7" t="n">
        <v>33.6</v>
      </c>
      <c r="I65" s="7" t="n">
        <v>33.7</v>
      </c>
      <c r="J65" s="7" t="n">
        <v>33.8</v>
      </c>
      <c r="K65" s="7" t="n">
        <v>34</v>
      </c>
    </row>
    <row r="66">
      <c r="A66" s="6" t="n">
        <v>2022</v>
      </c>
      <c r="B66" s="7" t="n">
        <v>10.4</v>
      </c>
      <c r="C66" s="7" t="n">
        <v>19.4</v>
      </c>
      <c r="D66" s="7" t="n">
        <v>24.6</v>
      </c>
      <c r="E66" s="7" t="n">
        <v>39.4</v>
      </c>
      <c r="F66" s="7" t="n">
        <v>74.2</v>
      </c>
      <c r="G66" s="7" t="n">
        <v>129.4</v>
      </c>
      <c r="H66" s="7" t="n">
        <v>135</v>
      </c>
      <c r="I66" s="7" t="n">
        <v>135.4</v>
      </c>
      <c r="J66" s="7" t="n">
        <v>135.5</v>
      </c>
      <c r="K66" s="7" t="n">
        <v>135.6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Y64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</cols>
  <sheetData>
    <row r="1">
      <c r="A1" s="1" t="inlineStr">
        <is>
          <t>Gauge 74  |  FL730339AF  |  Jabal Kheyaam2 at Jabal Kheyaam</t>
        </is>
      </c>
    </row>
    <row r="3">
      <c r="A3" s="2" t="inlineStr">
        <is>
          <t>AMS BEFORE gap filling (observed only, mm)</t>
        </is>
      </c>
      <c r="M3" s="3" t="inlineStr">
        <is>
          <t>IDF - design rainfall DEPTH (mm)</t>
        </is>
      </c>
    </row>
    <row r="4">
      <c r="A4" s="4" t="inlineStr">
        <is>
          <t>Water year</t>
        </is>
      </c>
      <c r="B4" s="5" t="inlineStr">
        <is>
          <t>5min</t>
        </is>
      </c>
      <c r="C4" s="5" t="inlineStr">
        <is>
          <t>10min</t>
        </is>
      </c>
      <c r="D4" s="5" t="inlineStr">
        <is>
          <t>15min</t>
        </is>
      </c>
      <c r="E4" s="5" t="inlineStr">
        <is>
          <t>30min</t>
        </is>
      </c>
      <c r="F4" s="5" t="inlineStr">
        <is>
          <t>1h</t>
        </is>
      </c>
      <c r="G4" s="5" t="inlineStr">
        <is>
          <t>2h</t>
        </is>
      </c>
      <c r="H4" s="5" t="inlineStr">
        <is>
          <t>3h</t>
        </is>
      </c>
      <c r="I4" s="5" t="inlineStr">
        <is>
          <t>6h</t>
        </is>
      </c>
      <c r="J4" s="5" t="inlineStr">
        <is>
          <t>12h</t>
        </is>
      </c>
      <c r="K4" s="5" t="inlineStr">
        <is>
          <t>24h</t>
        </is>
      </c>
      <c r="M4" s="4" t="inlineStr">
        <is>
          <t>Duration \ RP</t>
        </is>
      </c>
      <c r="N4" s="4" t="n">
        <v>2</v>
      </c>
      <c r="O4" s="4" t="n">
        <v>5</v>
      </c>
      <c r="P4" s="4" t="n">
        <v>10</v>
      </c>
      <c r="Q4" s="4" t="n">
        <v>25</v>
      </c>
      <c r="R4" s="4" t="n">
        <v>50</v>
      </c>
      <c r="S4" s="4" t="n">
        <v>100</v>
      </c>
      <c r="T4" s="4" t="n">
        <v>200</v>
      </c>
      <c r="U4" s="4" t="n">
        <v>500</v>
      </c>
      <c r="V4" s="4" t="n">
        <v>1000</v>
      </c>
      <c r="W4" s="4" t="n">
        <v>2000</v>
      </c>
      <c r="X4" s="4" t="n">
        <v>5000</v>
      </c>
      <c r="Y4" s="4" t="n">
        <v>10000</v>
      </c>
    </row>
    <row r="5">
      <c r="A5" s="6" t="n">
        <v>1993</v>
      </c>
      <c r="B5" s="7" t="n">
        <v>9.199999999999999</v>
      </c>
      <c r="C5" s="7" t="n">
        <v>17.8</v>
      </c>
      <c r="D5" s="7" t="n">
        <v>21.6</v>
      </c>
      <c r="E5" s="7" t="n">
        <v>24.2</v>
      </c>
      <c r="F5" s="7" t="n">
        <v>24.4</v>
      </c>
      <c r="G5" s="7" t="n">
        <v>24.7</v>
      </c>
      <c r="H5" s="7" t="n">
        <v>25</v>
      </c>
      <c r="I5" s="7" t="n">
        <v>25.8</v>
      </c>
      <c r="J5" s="7" t="n">
        <v>27.6</v>
      </c>
      <c r="K5" s="7" t="n">
        <v>30.8</v>
      </c>
      <c r="M5" s="6" t="inlineStr">
        <is>
          <t>5min</t>
        </is>
      </c>
      <c r="N5" s="6" t="n">
        <v>5.6</v>
      </c>
      <c r="O5" s="6" t="n">
        <v>8.4</v>
      </c>
      <c r="P5" s="6" t="n">
        <v>10.4</v>
      </c>
      <c r="Q5" s="6" t="n">
        <v>13</v>
      </c>
      <c r="R5" s="6" t="n">
        <v>14.9</v>
      </c>
      <c r="S5" s="6" t="n">
        <v>16.9</v>
      </c>
      <c r="T5" s="6" t="n">
        <v>19</v>
      </c>
      <c r="U5" s="6" t="n">
        <v>21.8</v>
      </c>
      <c r="V5" s="6" t="n">
        <v>24</v>
      </c>
      <c r="W5" s="6" t="n">
        <v>26.2</v>
      </c>
      <c r="X5" s="6" t="n">
        <v>29.3</v>
      </c>
      <c r="Y5" s="6" t="n">
        <v>31.6</v>
      </c>
    </row>
    <row r="6">
      <c r="A6" s="6" t="n">
        <v>1994</v>
      </c>
      <c r="B6" s="7" t="n">
        <v>5.8</v>
      </c>
      <c r="C6" s="7" t="n">
        <v>9.199999999999999</v>
      </c>
      <c r="D6" s="7" t="n">
        <v>12.6</v>
      </c>
      <c r="E6" s="7" t="n">
        <v>17.2</v>
      </c>
      <c r="F6" s="7" t="n">
        <v>18.7</v>
      </c>
      <c r="G6" s="7" t="n">
        <v>19.1</v>
      </c>
      <c r="H6" s="7" t="n">
        <v>19.2</v>
      </c>
      <c r="I6" s="7" t="n">
        <v>20</v>
      </c>
      <c r="J6" s="7" t="n">
        <v>23.8</v>
      </c>
      <c r="K6" s="7" t="n">
        <v>24</v>
      </c>
      <c r="M6" s="6" t="inlineStr">
        <is>
          <t>10min</t>
        </is>
      </c>
      <c r="N6" s="6" t="n">
        <v>9.199999999999999</v>
      </c>
      <c r="O6" s="6" t="n">
        <v>13.9</v>
      </c>
      <c r="P6" s="6" t="n">
        <v>17.1</v>
      </c>
      <c r="Q6" s="6" t="n">
        <v>21.2</v>
      </c>
      <c r="R6" s="6" t="n">
        <v>24.4</v>
      </c>
      <c r="S6" s="6" t="n">
        <v>27.6</v>
      </c>
      <c r="T6" s="6" t="n">
        <v>30.8</v>
      </c>
      <c r="U6" s="6" t="n">
        <v>35.1</v>
      </c>
      <c r="V6" s="6" t="n">
        <v>38.5</v>
      </c>
      <c r="W6" s="6" t="n">
        <v>41.9</v>
      </c>
      <c r="X6" s="6" t="n">
        <v>46.5</v>
      </c>
      <c r="Y6" s="6" t="n">
        <v>50.1</v>
      </c>
    </row>
    <row r="7">
      <c r="A7" s="6" t="n">
        <v>1995</v>
      </c>
      <c r="B7" s="7" t="n">
        <v>4.4</v>
      </c>
      <c r="C7" s="7" t="n">
        <v>7.6</v>
      </c>
      <c r="D7" s="7" t="n">
        <v>8.199999999999999</v>
      </c>
      <c r="E7" s="7" t="n">
        <v>10.8</v>
      </c>
      <c r="F7" s="7" t="n">
        <v>14</v>
      </c>
      <c r="G7" s="7" t="n">
        <v>18.9</v>
      </c>
      <c r="H7" s="7" t="n">
        <v>19.3</v>
      </c>
      <c r="I7" s="7" t="n">
        <v>19.9</v>
      </c>
      <c r="J7" s="7" t="n">
        <v>20.2</v>
      </c>
      <c r="K7" s="7" t="n">
        <v>29.6</v>
      </c>
      <c r="M7" s="6" t="inlineStr">
        <is>
          <t>15min</t>
        </is>
      </c>
      <c r="N7" s="6" t="n">
        <v>11.7</v>
      </c>
      <c r="O7" s="6" t="n">
        <v>17.8</v>
      </c>
      <c r="P7" s="6" t="n">
        <v>22.1</v>
      </c>
      <c r="Q7" s="6" t="n">
        <v>27.7</v>
      </c>
      <c r="R7" s="6" t="n">
        <v>31.9</v>
      </c>
      <c r="S7" s="6" t="n">
        <v>36.3</v>
      </c>
      <c r="T7" s="6" t="n">
        <v>40.8</v>
      </c>
      <c r="U7" s="6" t="n">
        <v>46.9</v>
      </c>
      <c r="V7" s="6" t="n">
        <v>51.7</v>
      </c>
      <c r="W7" s="6" t="n">
        <v>56.6</v>
      </c>
      <c r="X7" s="6" t="n">
        <v>63.4</v>
      </c>
      <c r="Y7" s="6" t="n">
        <v>68.59999999999999</v>
      </c>
    </row>
    <row r="8">
      <c r="A8" s="6" t="n">
        <v>1996</v>
      </c>
      <c r="B8" s="7" t="n">
        <v>11.6</v>
      </c>
      <c r="C8" s="7" t="n">
        <v>17</v>
      </c>
      <c r="D8" s="7" t="n">
        <v>23</v>
      </c>
      <c r="E8" s="7" t="n">
        <v>29.2</v>
      </c>
      <c r="F8" s="7" t="n">
        <v>29.3</v>
      </c>
      <c r="G8" s="7" t="n">
        <v>30.8</v>
      </c>
      <c r="H8" s="7" t="n">
        <v>42.2</v>
      </c>
      <c r="I8" s="7" t="n">
        <v>62.2</v>
      </c>
      <c r="J8" s="7" t="n">
        <v>75.09999999999999</v>
      </c>
      <c r="K8" s="7" t="n">
        <v>79</v>
      </c>
      <c r="M8" s="6" t="inlineStr">
        <is>
          <t>30min</t>
        </is>
      </c>
      <c r="N8" s="6" t="n">
        <v>16</v>
      </c>
      <c r="O8" s="6" t="n">
        <v>24.8</v>
      </c>
      <c r="P8" s="6" t="n">
        <v>31.1</v>
      </c>
      <c r="Q8" s="6" t="n">
        <v>39.4</v>
      </c>
      <c r="R8" s="6" t="n">
        <v>45.9</v>
      </c>
      <c r="S8" s="6" t="n">
        <v>52.6</v>
      </c>
      <c r="T8" s="6" t="n">
        <v>59.6</v>
      </c>
      <c r="U8" s="6" t="n">
        <v>69.40000000000001</v>
      </c>
      <c r="V8" s="6" t="n">
        <v>77.09999999999999</v>
      </c>
      <c r="W8" s="6" t="n">
        <v>85.2</v>
      </c>
      <c r="X8" s="6" t="n">
        <v>96.5</v>
      </c>
      <c r="Y8" s="6" t="n">
        <v>105.5</v>
      </c>
    </row>
    <row r="9">
      <c r="A9" s="6" t="n">
        <v>1997</v>
      </c>
      <c r="B9" s="7" t="n">
        <v>11.2</v>
      </c>
      <c r="C9" s="7" t="n">
        <v>19</v>
      </c>
      <c r="D9" s="7" t="n">
        <v>19.8</v>
      </c>
      <c r="E9" s="7" t="n">
        <v>33.4</v>
      </c>
      <c r="F9" s="7" t="n">
        <v>36</v>
      </c>
      <c r="G9" s="7" t="n">
        <v>36.1</v>
      </c>
      <c r="H9" s="7" t="n">
        <v>36.3</v>
      </c>
      <c r="I9" s="7" t="n">
        <v>55.2</v>
      </c>
      <c r="J9" s="7" t="n">
        <v>69.5</v>
      </c>
      <c r="K9" s="7" t="n">
        <v>102.3</v>
      </c>
      <c r="M9" s="6" t="inlineStr">
        <is>
          <t>1h</t>
        </is>
      </c>
      <c r="N9" s="6" t="n">
        <v>19.8</v>
      </c>
      <c r="O9" s="6" t="n">
        <v>31</v>
      </c>
      <c r="P9" s="6" t="n">
        <v>39</v>
      </c>
      <c r="Q9" s="6" t="n">
        <v>50</v>
      </c>
      <c r="R9" s="6" t="n">
        <v>58.7</v>
      </c>
      <c r="S9" s="6" t="n">
        <v>67.90000000000001</v>
      </c>
      <c r="T9" s="6" t="n">
        <v>77.59999999999999</v>
      </c>
      <c r="U9" s="6" t="n">
        <v>91.3</v>
      </c>
      <c r="V9" s="6" t="n">
        <v>102.4</v>
      </c>
      <c r="W9" s="6" t="n">
        <v>114.2</v>
      </c>
      <c r="X9" s="6" t="n">
        <v>130.9</v>
      </c>
      <c r="Y9" s="6" t="n">
        <v>144.4</v>
      </c>
    </row>
    <row r="10">
      <c r="A10" s="6" t="n">
        <v>1998</v>
      </c>
      <c r="B10" s="7" t="n">
        <v>12.4</v>
      </c>
      <c r="C10" s="7" t="n">
        <v>22.6</v>
      </c>
      <c r="D10" s="7" t="n">
        <v>32</v>
      </c>
      <c r="E10" s="7" t="n">
        <v>56.2</v>
      </c>
      <c r="F10" s="7" t="n">
        <v>74.09999999999999</v>
      </c>
      <c r="G10" s="7" t="n">
        <v>111.2</v>
      </c>
      <c r="H10" s="7" t="n">
        <v>113.5</v>
      </c>
      <c r="I10" s="7" t="n">
        <v>129.6</v>
      </c>
      <c r="J10" s="7" t="n">
        <v>130.9</v>
      </c>
      <c r="K10" s="7" t="n">
        <v>139.6</v>
      </c>
      <c r="M10" s="6" t="inlineStr">
        <is>
          <t>2h</t>
        </is>
      </c>
      <c r="N10" s="6" t="n">
        <v>23.2</v>
      </c>
      <c r="O10" s="6" t="n">
        <v>37</v>
      </c>
      <c r="P10" s="6" t="n">
        <v>47</v>
      </c>
      <c r="Q10" s="6" t="n">
        <v>60.8</v>
      </c>
      <c r="R10" s="6" t="n">
        <v>71.90000000000001</v>
      </c>
      <c r="S10" s="6" t="n">
        <v>83.8</v>
      </c>
      <c r="T10" s="6" t="n">
        <v>96.40000000000001</v>
      </c>
      <c r="U10" s="6" t="n">
        <v>114.5</v>
      </c>
      <c r="V10" s="6" t="n">
        <v>129.4</v>
      </c>
      <c r="W10" s="6" t="n">
        <v>145.3</v>
      </c>
      <c r="X10" s="6" t="n">
        <v>168.2</v>
      </c>
      <c r="Y10" s="6" t="n">
        <v>186.9</v>
      </c>
    </row>
    <row r="11">
      <c r="A11" s="6" t="n">
        <v>1999</v>
      </c>
      <c r="B11" s="7" t="n">
        <v>5.2</v>
      </c>
      <c r="C11" s="7" t="n">
        <v>9</v>
      </c>
      <c r="D11" s="7" t="n">
        <v>11.6</v>
      </c>
      <c r="E11" s="7" t="n">
        <v>12.6</v>
      </c>
      <c r="F11" s="7" t="n">
        <v>15.2</v>
      </c>
      <c r="G11" s="7" t="n">
        <v>16</v>
      </c>
      <c r="H11" s="7" t="n">
        <v>16.1</v>
      </c>
      <c r="I11" s="7" t="n">
        <v>17.4</v>
      </c>
      <c r="J11" s="7" t="n">
        <v>24.8</v>
      </c>
      <c r="K11" s="7" t="n">
        <v>25.1</v>
      </c>
      <c r="M11" s="6" t="inlineStr">
        <is>
          <t>3h</t>
        </is>
      </c>
      <c r="N11" s="6" t="n">
        <v>24.8</v>
      </c>
      <c r="O11" s="6" t="n">
        <v>40.3</v>
      </c>
      <c r="P11" s="6" t="n">
        <v>51.9</v>
      </c>
      <c r="Q11" s="6" t="n">
        <v>68.40000000000001</v>
      </c>
      <c r="R11" s="6" t="n">
        <v>82.09999999999999</v>
      </c>
      <c r="S11" s="6" t="n">
        <v>97</v>
      </c>
      <c r="T11" s="6" t="n">
        <v>113.4</v>
      </c>
      <c r="U11" s="6" t="n">
        <v>137.5</v>
      </c>
      <c r="V11" s="6" t="n">
        <v>157.8</v>
      </c>
      <c r="W11" s="6" t="n">
        <v>180.2</v>
      </c>
      <c r="X11" s="6" t="n">
        <v>213.1</v>
      </c>
      <c r="Y11" s="6" t="n">
        <v>240.9</v>
      </c>
    </row>
    <row r="12">
      <c r="A12" s="6" t="n">
        <v>2000</v>
      </c>
      <c r="B12" s="7" t="n">
        <v>8</v>
      </c>
      <c r="C12" s="7" t="n">
        <v>15.6</v>
      </c>
      <c r="D12" s="7" t="n">
        <v>22.8</v>
      </c>
      <c r="E12" s="7" t="n">
        <v>34.2</v>
      </c>
      <c r="F12" s="7" t="n">
        <v>39.8</v>
      </c>
      <c r="G12" s="7" t="n">
        <v>39.8</v>
      </c>
      <c r="H12" s="7" t="n">
        <v>39.9</v>
      </c>
      <c r="I12" s="7" t="n">
        <v>39.9</v>
      </c>
      <c r="J12" s="7" t="n">
        <v>40.1</v>
      </c>
      <c r="K12" s="7" t="n">
        <v>40.4</v>
      </c>
      <c r="M12" s="6" t="inlineStr">
        <is>
          <t>6h</t>
        </is>
      </c>
      <c r="N12" s="6" t="n">
        <v>27.8</v>
      </c>
      <c r="O12" s="6" t="n">
        <v>46.6</v>
      </c>
      <c r="P12" s="6" t="n">
        <v>60.9</v>
      </c>
      <c r="Q12" s="6" t="n">
        <v>81.59999999999999</v>
      </c>
      <c r="R12" s="6" t="n">
        <v>99</v>
      </c>
      <c r="S12" s="6" t="n">
        <v>118.3</v>
      </c>
      <c r="T12" s="6" t="n">
        <v>139.7</v>
      </c>
      <c r="U12" s="6" t="n">
        <v>171.7</v>
      </c>
      <c r="V12" s="6" t="n">
        <v>199.2</v>
      </c>
      <c r="W12" s="6" t="n">
        <v>229.7</v>
      </c>
      <c r="X12" s="6" t="n">
        <v>275.5</v>
      </c>
      <c r="Y12" s="6" t="n">
        <v>314.7</v>
      </c>
    </row>
    <row r="13">
      <c r="A13" s="6" t="n">
        <v>2001</v>
      </c>
      <c r="B13" s="7" t="n">
        <v>6</v>
      </c>
      <c r="C13" s="7" t="n">
        <v>10.4</v>
      </c>
      <c r="D13" s="7" t="n">
        <v>14.4</v>
      </c>
      <c r="E13" s="7" t="n">
        <v>17.5</v>
      </c>
      <c r="F13" s="7" t="n">
        <v>24.8</v>
      </c>
      <c r="G13" s="7" t="n">
        <v>39</v>
      </c>
      <c r="H13" s="7" t="n">
        <v>40.4</v>
      </c>
      <c r="I13" s="7" t="n">
        <v>40.5</v>
      </c>
      <c r="J13" s="7" t="n">
        <v>40.6</v>
      </c>
      <c r="K13" s="7" t="n">
        <v>40.8</v>
      </c>
      <c r="M13" s="6" t="inlineStr">
        <is>
          <t>12h</t>
        </is>
      </c>
      <c r="N13" s="6" t="n">
        <v>30.7</v>
      </c>
      <c r="O13" s="6" t="n">
        <v>53.4</v>
      </c>
      <c r="P13" s="6" t="n">
        <v>71.59999999999999</v>
      </c>
      <c r="Q13" s="6" t="n">
        <v>99</v>
      </c>
      <c r="R13" s="6" t="n">
        <v>123</v>
      </c>
      <c r="S13" s="6" t="n">
        <v>150.4</v>
      </c>
      <c r="T13" s="6" t="n">
        <v>181.9</v>
      </c>
      <c r="U13" s="6" t="n">
        <v>230.9</v>
      </c>
      <c r="V13" s="6" t="n">
        <v>274.4</v>
      </c>
      <c r="W13" s="6" t="n">
        <v>324.5</v>
      </c>
      <c r="X13" s="6" t="n">
        <v>402.6</v>
      </c>
      <c r="Y13" s="6" t="n">
        <v>472</v>
      </c>
    </row>
    <row r="14">
      <c r="A14" s="6" t="n">
        <v>2002</v>
      </c>
      <c r="B14" s="7" t="n">
        <v>1.8</v>
      </c>
      <c r="C14" s="7" t="n">
        <v>3.2</v>
      </c>
      <c r="D14" s="7" t="n">
        <v>4.4</v>
      </c>
      <c r="E14" s="7" t="n">
        <v>5</v>
      </c>
      <c r="F14" s="7" t="n">
        <v>5</v>
      </c>
      <c r="G14" s="7" t="n">
        <v>5</v>
      </c>
      <c r="H14" s="7" t="n">
        <v>5</v>
      </c>
      <c r="I14" s="7" t="n">
        <v>5</v>
      </c>
      <c r="J14" s="7" t="n">
        <v>5.1</v>
      </c>
      <c r="K14" s="7" t="n">
        <v>5.2</v>
      </c>
      <c r="M14" s="6" t="inlineStr">
        <is>
          <t>24h</t>
        </is>
      </c>
      <c r="N14" s="6" t="n">
        <v>35.2</v>
      </c>
      <c r="O14" s="6" t="n">
        <v>61.8</v>
      </c>
      <c r="P14" s="6" t="n">
        <v>82.59999999999999</v>
      </c>
      <c r="Q14" s="6" t="n">
        <v>113.3</v>
      </c>
      <c r="R14" s="6" t="n">
        <v>139.8</v>
      </c>
      <c r="S14" s="6" t="n">
        <v>169.7</v>
      </c>
      <c r="T14" s="6" t="n">
        <v>203.4</v>
      </c>
      <c r="U14" s="6" t="n">
        <v>255.1</v>
      </c>
      <c r="V14" s="6" t="n">
        <v>300.2</v>
      </c>
      <c r="W14" s="6" t="n">
        <v>351.5</v>
      </c>
      <c r="X14" s="6" t="n">
        <v>429.9</v>
      </c>
      <c r="Y14" s="6" t="n">
        <v>498.5</v>
      </c>
    </row>
    <row r="15">
      <c r="A15" s="6" t="n">
        <v>2003</v>
      </c>
      <c r="B15" s="7" t="n">
        <v>6.4</v>
      </c>
      <c r="C15" s="7" t="n">
        <v>12</v>
      </c>
      <c r="D15" s="7" t="n">
        <v>16.2</v>
      </c>
      <c r="E15" s="7" t="n">
        <v>26.6</v>
      </c>
      <c r="F15" s="7" t="n">
        <v>27.4</v>
      </c>
      <c r="G15" s="7" t="n">
        <v>27.6</v>
      </c>
      <c r="H15" s="7" t="n">
        <v>27.6</v>
      </c>
      <c r="I15" s="7" t="n">
        <v>27.7</v>
      </c>
      <c r="J15" s="7" t="n">
        <v>31</v>
      </c>
      <c r="K15" s="7" t="n">
        <v>31.1</v>
      </c>
    </row>
    <row r="16">
      <c r="A16" s="6" t="n">
        <v>2004</v>
      </c>
      <c r="B16" s="7" t="n">
        <v>5.4</v>
      </c>
      <c r="C16" s="7" t="n">
        <v>9.800000000000001</v>
      </c>
      <c r="D16" s="7" t="n">
        <v>13.6</v>
      </c>
      <c r="E16" s="7" t="n">
        <v>17</v>
      </c>
      <c r="F16" s="7" t="n">
        <v>24.4</v>
      </c>
      <c r="G16" s="7" t="n">
        <v>27.4</v>
      </c>
      <c r="H16" s="7" t="n">
        <v>27.4</v>
      </c>
      <c r="I16" s="7" t="n">
        <v>27.4</v>
      </c>
      <c r="J16" s="7" t="n">
        <v>27.5</v>
      </c>
      <c r="K16" s="7" t="n">
        <v>27.6</v>
      </c>
      <c r="M16" s="3" t="inlineStr">
        <is>
          <t>IDF - intensity (mm/hr) [x=duration(min)]</t>
        </is>
      </c>
    </row>
    <row r="17">
      <c r="A17" s="6" t="n">
        <v>2005</v>
      </c>
      <c r="B17" s="7" t="n">
        <v>4.2</v>
      </c>
      <c r="C17" s="7" t="n">
        <v>5.8</v>
      </c>
      <c r="D17" s="7" t="n">
        <v>6.4</v>
      </c>
      <c r="E17" s="7" t="n">
        <v>7.2</v>
      </c>
      <c r="F17" s="7" t="n">
        <v>7.2</v>
      </c>
      <c r="G17" s="7" t="n">
        <v>8.199999999999999</v>
      </c>
      <c r="H17" s="7" t="n">
        <v>9.800000000000001</v>
      </c>
      <c r="I17" s="7" t="n">
        <v>9.800000000000001</v>
      </c>
      <c r="J17" s="7" t="n">
        <v>9.9</v>
      </c>
      <c r="K17" s="7" t="n">
        <v>10</v>
      </c>
      <c r="M17" t="inlineStr">
        <is>
          <t>Duration(min)</t>
        </is>
      </c>
      <c r="N17" t="inlineStr">
        <is>
          <t>2 yr</t>
        </is>
      </c>
      <c r="O17" t="inlineStr">
        <is>
          <t>5 yr</t>
        </is>
      </c>
      <c r="P17" t="inlineStr">
        <is>
          <t>10 yr</t>
        </is>
      </c>
      <c r="Q17" t="inlineStr">
        <is>
          <t>25 yr</t>
        </is>
      </c>
      <c r="R17" t="inlineStr">
        <is>
          <t>50 yr</t>
        </is>
      </c>
      <c r="S17" t="inlineStr">
        <is>
          <t>100 yr</t>
        </is>
      </c>
      <c r="T17" t="inlineStr">
        <is>
          <t>200 yr</t>
        </is>
      </c>
      <c r="U17" t="inlineStr">
        <is>
          <t>500 yr</t>
        </is>
      </c>
      <c r="V17" t="inlineStr">
        <is>
          <t>1000 yr</t>
        </is>
      </c>
      <c r="W17" t="inlineStr">
        <is>
          <t>2000 yr</t>
        </is>
      </c>
      <c r="X17" t="inlineStr">
        <is>
          <t>5000 yr</t>
        </is>
      </c>
      <c r="Y17" t="inlineStr">
        <is>
          <t>10000 yr</t>
        </is>
      </c>
    </row>
    <row r="18">
      <c r="A18" s="6" t="n">
        <v>2006</v>
      </c>
      <c r="B18" s="7" t="n">
        <v>7.4</v>
      </c>
      <c r="C18" s="7" t="n">
        <v>10.2</v>
      </c>
      <c r="D18" s="7" t="n">
        <v>14.4</v>
      </c>
      <c r="E18" s="7" t="n">
        <v>22.2</v>
      </c>
      <c r="F18" s="7" t="n">
        <v>28.6</v>
      </c>
      <c r="G18" s="7" t="n">
        <v>36.8</v>
      </c>
      <c r="H18" s="7" t="n">
        <v>39</v>
      </c>
      <c r="I18" s="7" t="n">
        <v>44.2</v>
      </c>
      <c r="J18" s="7" t="n">
        <v>49.8</v>
      </c>
      <c r="K18" s="7" t="n">
        <v>67.59999999999999</v>
      </c>
      <c r="M18" t="n">
        <v>5</v>
      </c>
      <c r="N18" t="n">
        <v>67</v>
      </c>
      <c r="O18" t="n">
        <v>101.4</v>
      </c>
      <c r="P18" t="n">
        <v>124.9</v>
      </c>
      <c r="Q18" t="n">
        <v>155.7</v>
      </c>
      <c r="R18" t="n">
        <v>179.3</v>
      </c>
      <c r="S18" t="n">
        <v>203.4</v>
      </c>
      <c r="T18" t="n">
        <v>228</v>
      </c>
      <c r="U18" t="n">
        <v>261.5</v>
      </c>
      <c r="V18" t="n">
        <v>287.7</v>
      </c>
      <c r="W18" t="n">
        <v>314.6</v>
      </c>
      <c r="X18" t="n">
        <v>351.2</v>
      </c>
      <c r="Y18" t="n">
        <v>379.8</v>
      </c>
    </row>
    <row r="19">
      <c r="A19" s="6" t="n">
        <v>2007</v>
      </c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M19" t="n">
        <v>10</v>
      </c>
      <c r="N19" t="n">
        <v>55.2</v>
      </c>
      <c r="O19" t="n">
        <v>83.5</v>
      </c>
      <c r="P19" t="n">
        <v>102.7</v>
      </c>
      <c r="Q19" t="n">
        <v>127.5</v>
      </c>
      <c r="R19" t="n">
        <v>146.3</v>
      </c>
      <c r="S19" t="n">
        <v>165.4</v>
      </c>
      <c r="T19" t="n">
        <v>184.7</v>
      </c>
      <c r="U19" t="n">
        <v>210.8</v>
      </c>
      <c r="V19" t="n">
        <v>231</v>
      </c>
      <c r="W19" t="n">
        <v>251.5</v>
      </c>
      <c r="X19" t="n">
        <v>279.2</v>
      </c>
      <c r="Y19" t="n">
        <v>300.7</v>
      </c>
    </row>
    <row r="20">
      <c r="A20" s="6" t="n">
        <v>2008</v>
      </c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>
        <v>1.6</v>
      </c>
      <c r="M20" t="n">
        <v>15</v>
      </c>
      <c r="N20" t="n">
        <v>46.6</v>
      </c>
      <c r="O20" t="n">
        <v>71.3</v>
      </c>
      <c r="P20" t="n">
        <v>88.3</v>
      </c>
      <c r="Q20" t="n">
        <v>110.6</v>
      </c>
      <c r="R20" t="n">
        <v>127.7</v>
      </c>
      <c r="S20" t="n">
        <v>145.2</v>
      </c>
      <c r="T20" t="n">
        <v>163.2</v>
      </c>
      <c r="U20" t="n">
        <v>187.6</v>
      </c>
      <c r="V20" t="n">
        <v>206.8</v>
      </c>
      <c r="W20" t="n">
        <v>226.5</v>
      </c>
      <c r="X20" t="n">
        <v>253.4</v>
      </c>
      <c r="Y20" t="n">
        <v>274.5</v>
      </c>
    </row>
    <row r="21">
      <c r="A21" s="6" t="n">
        <v>2009</v>
      </c>
      <c r="B21" s="7" t="n">
        <v>7.4</v>
      </c>
      <c r="C21" s="7" t="n">
        <v>10</v>
      </c>
      <c r="D21" s="7" t="n">
        <v>10.8</v>
      </c>
      <c r="E21" s="7" t="n">
        <v>12.6</v>
      </c>
      <c r="F21" s="7" t="n">
        <v>12.8</v>
      </c>
      <c r="G21" s="7" t="n">
        <v>13.5</v>
      </c>
      <c r="H21" s="7" t="n">
        <v>14.9</v>
      </c>
      <c r="I21" s="7" t="n">
        <v>15.9</v>
      </c>
      <c r="J21" s="7" t="n">
        <v>17</v>
      </c>
      <c r="K21" s="7" t="n">
        <v>24.8</v>
      </c>
      <c r="M21" t="n">
        <v>30</v>
      </c>
      <c r="N21" t="n">
        <v>31.9</v>
      </c>
      <c r="O21" t="n">
        <v>49.7</v>
      </c>
      <c r="P21" t="n">
        <v>62.1</v>
      </c>
      <c r="Q21" t="n">
        <v>78.8</v>
      </c>
      <c r="R21" t="n">
        <v>91.8</v>
      </c>
      <c r="S21" t="n">
        <v>105.2</v>
      </c>
      <c r="T21" t="n">
        <v>119.3</v>
      </c>
      <c r="U21" t="n">
        <v>138.8</v>
      </c>
      <c r="V21" t="n">
        <v>154.3</v>
      </c>
      <c r="W21" t="n">
        <v>170.5</v>
      </c>
      <c r="X21" t="n">
        <v>193</v>
      </c>
      <c r="Y21" t="n">
        <v>210.9</v>
      </c>
    </row>
    <row r="22">
      <c r="A22" s="6" t="n">
        <v>2010</v>
      </c>
      <c r="B22" s="7" t="n">
        <v>6.2</v>
      </c>
      <c r="C22" s="7" t="n">
        <v>10</v>
      </c>
      <c r="D22" s="7" t="n">
        <v>13</v>
      </c>
      <c r="E22" s="7" t="n">
        <v>16.2</v>
      </c>
      <c r="F22" s="7" t="n">
        <v>21.8</v>
      </c>
      <c r="G22" s="7" t="n">
        <v>27.2</v>
      </c>
      <c r="H22" s="7" t="n">
        <v>27.7</v>
      </c>
      <c r="I22" s="7" t="n">
        <v>33.5</v>
      </c>
      <c r="J22" s="7" t="n">
        <v>57.8</v>
      </c>
      <c r="K22" s="7" t="n">
        <v>76.2</v>
      </c>
      <c r="M22" t="n">
        <v>60</v>
      </c>
      <c r="N22" t="n">
        <v>19.8</v>
      </c>
      <c r="O22" t="n">
        <v>31</v>
      </c>
      <c r="P22" t="n">
        <v>39</v>
      </c>
      <c r="Q22" t="n">
        <v>50</v>
      </c>
      <c r="R22" t="n">
        <v>58.7</v>
      </c>
      <c r="S22" t="n">
        <v>67.90000000000001</v>
      </c>
      <c r="T22" t="n">
        <v>77.59999999999999</v>
      </c>
      <c r="U22" t="n">
        <v>91.3</v>
      </c>
      <c r="V22" t="n">
        <v>102.4</v>
      </c>
      <c r="W22" t="n">
        <v>114.2</v>
      </c>
      <c r="X22" t="n">
        <v>130.9</v>
      </c>
      <c r="Y22" t="n">
        <v>144.4</v>
      </c>
    </row>
    <row r="23">
      <c r="A23" s="6" t="n">
        <v>2011</v>
      </c>
      <c r="B23" s="7" t="n">
        <v>4.4</v>
      </c>
      <c r="C23" s="7" t="n">
        <v>6.2</v>
      </c>
      <c r="D23" s="7" t="n">
        <v>7.6</v>
      </c>
      <c r="E23" s="7" t="n">
        <v>9.800000000000001</v>
      </c>
      <c r="F23" s="7" t="n">
        <v>13</v>
      </c>
      <c r="G23" s="7" t="n">
        <v>18.6</v>
      </c>
      <c r="H23" s="7" t="n">
        <v>20.6</v>
      </c>
      <c r="I23" s="7" t="n">
        <v>20.9</v>
      </c>
      <c r="J23" s="7" t="n">
        <v>21.6</v>
      </c>
      <c r="K23" s="7" t="n">
        <v>21.7</v>
      </c>
      <c r="M23" t="n">
        <v>120</v>
      </c>
      <c r="N23" t="n">
        <v>11.6</v>
      </c>
      <c r="O23" t="n">
        <v>18.5</v>
      </c>
      <c r="P23" t="n">
        <v>23.5</v>
      </c>
      <c r="Q23" t="n">
        <v>30.4</v>
      </c>
      <c r="R23" t="n">
        <v>36</v>
      </c>
      <c r="S23" t="n">
        <v>41.9</v>
      </c>
      <c r="T23" t="n">
        <v>48.2</v>
      </c>
      <c r="U23" t="n">
        <v>57.3</v>
      </c>
      <c r="V23" t="n">
        <v>64.7</v>
      </c>
      <c r="W23" t="n">
        <v>72.7</v>
      </c>
      <c r="X23" t="n">
        <v>84.09999999999999</v>
      </c>
      <c r="Y23" t="n">
        <v>93.5</v>
      </c>
    </row>
    <row r="24">
      <c r="A24" s="6" t="n">
        <v>2012</v>
      </c>
      <c r="B24" s="7" t="n">
        <v>12.2</v>
      </c>
      <c r="C24" s="7" t="n">
        <v>20.8</v>
      </c>
      <c r="D24" s="7" t="n">
        <v>31.8</v>
      </c>
      <c r="E24" s="7" t="n">
        <v>45.4</v>
      </c>
      <c r="F24" s="7" t="n">
        <v>61.4</v>
      </c>
      <c r="G24" s="7" t="n">
        <v>62</v>
      </c>
      <c r="H24" s="7" t="n">
        <v>63.8</v>
      </c>
      <c r="I24" s="7" t="n">
        <v>71</v>
      </c>
      <c r="J24" s="7" t="n">
        <v>71.2</v>
      </c>
      <c r="K24" s="7" t="n">
        <v>75.09999999999999</v>
      </c>
      <c r="M24" t="n">
        <v>180</v>
      </c>
      <c r="N24" t="n">
        <v>8.300000000000001</v>
      </c>
      <c r="O24" t="n">
        <v>13.4</v>
      </c>
      <c r="P24" t="n">
        <v>17.3</v>
      </c>
      <c r="Q24" t="n">
        <v>22.8</v>
      </c>
      <c r="R24" t="n">
        <v>27.4</v>
      </c>
      <c r="S24" t="n">
        <v>32.3</v>
      </c>
      <c r="T24" t="n">
        <v>37.8</v>
      </c>
      <c r="U24" t="n">
        <v>45.8</v>
      </c>
      <c r="V24" t="n">
        <v>52.6</v>
      </c>
      <c r="W24" t="n">
        <v>60.1</v>
      </c>
      <c r="X24" t="n">
        <v>71</v>
      </c>
      <c r="Y24" t="n">
        <v>80.3</v>
      </c>
    </row>
    <row r="25">
      <c r="A25" s="6" t="n">
        <v>2013</v>
      </c>
      <c r="B25" s="7" t="n">
        <v>8.6</v>
      </c>
      <c r="C25" s="7" t="n">
        <v>16.8</v>
      </c>
      <c r="D25" s="7" t="n">
        <v>23.4</v>
      </c>
      <c r="E25" s="7" t="n">
        <v>30.6</v>
      </c>
      <c r="F25" s="7" t="n">
        <v>35.6</v>
      </c>
      <c r="G25" s="7" t="n">
        <v>39.2</v>
      </c>
      <c r="H25" s="7" t="n">
        <v>39.2</v>
      </c>
      <c r="I25" s="7" t="n">
        <v>39.2</v>
      </c>
      <c r="J25" s="7" t="n">
        <v>39.3</v>
      </c>
      <c r="K25" s="7" t="n">
        <v>39.4</v>
      </c>
      <c r="M25" t="n">
        <v>360</v>
      </c>
      <c r="N25" t="n">
        <v>4.6</v>
      </c>
      <c r="O25" t="n">
        <v>7.8</v>
      </c>
      <c r="P25" t="n">
        <v>10.1</v>
      </c>
      <c r="Q25" t="n">
        <v>13.6</v>
      </c>
      <c r="R25" t="n">
        <v>16.5</v>
      </c>
      <c r="S25" t="n">
        <v>19.7</v>
      </c>
      <c r="T25" t="n">
        <v>23.3</v>
      </c>
      <c r="U25" t="n">
        <v>28.6</v>
      </c>
      <c r="V25" t="n">
        <v>33.2</v>
      </c>
      <c r="W25" t="n">
        <v>38.3</v>
      </c>
      <c r="X25" t="n">
        <v>45.9</v>
      </c>
      <c r="Y25" t="n">
        <v>52.4</v>
      </c>
    </row>
    <row r="26">
      <c r="A26" s="6" t="n">
        <v>2014</v>
      </c>
      <c r="B26" s="7" t="n">
        <v>9.6</v>
      </c>
      <c r="C26" s="7" t="n">
        <v>14.2</v>
      </c>
      <c r="D26" s="7" t="n">
        <v>17.4</v>
      </c>
      <c r="E26" s="7" t="n">
        <v>19.8</v>
      </c>
      <c r="F26" s="7" t="n">
        <v>27.4</v>
      </c>
      <c r="G26" s="7" t="n">
        <v>40</v>
      </c>
      <c r="H26" s="7" t="n">
        <v>58.6</v>
      </c>
      <c r="I26" s="7" t="n">
        <v>82.3</v>
      </c>
      <c r="J26" s="7" t="n">
        <v>84.3</v>
      </c>
      <c r="K26" s="7" t="n">
        <v>106.2</v>
      </c>
      <c r="M26" t="n">
        <v>720</v>
      </c>
      <c r="N26" t="n">
        <v>2.6</v>
      </c>
      <c r="O26" t="n">
        <v>4.5</v>
      </c>
      <c r="P26" t="n">
        <v>6</v>
      </c>
      <c r="Q26" t="n">
        <v>8.199999999999999</v>
      </c>
      <c r="R26" t="n">
        <v>10.2</v>
      </c>
      <c r="S26" t="n">
        <v>12.5</v>
      </c>
      <c r="T26" t="n">
        <v>15.2</v>
      </c>
      <c r="U26" t="n">
        <v>19.2</v>
      </c>
      <c r="V26" t="n">
        <v>22.9</v>
      </c>
      <c r="W26" t="n">
        <v>27</v>
      </c>
      <c r="X26" t="n">
        <v>33.5</v>
      </c>
      <c r="Y26" t="n">
        <v>39.3</v>
      </c>
    </row>
    <row r="27">
      <c r="A27" s="6" t="n">
        <v>2015</v>
      </c>
      <c r="B27" s="7" t="n"/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  <c r="M27" t="n">
        <v>1440</v>
      </c>
      <c r="N27" t="n">
        <v>1.5</v>
      </c>
      <c r="O27" t="n">
        <v>2.6</v>
      </c>
      <c r="P27" t="n">
        <v>3.4</v>
      </c>
      <c r="Q27" t="n">
        <v>4.7</v>
      </c>
      <c r="R27" t="n">
        <v>5.8</v>
      </c>
      <c r="S27" t="n">
        <v>7.1</v>
      </c>
      <c r="T27" t="n">
        <v>8.5</v>
      </c>
      <c r="U27" t="n">
        <v>10.6</v>
      </c>
      <c r="V27" t="n">
        <v>12.5</v>
      </c>
      <c r="W27" t="n">
        <v>14.6</v>
      </c>
      <c r="X27" t="n">
        <v>17.9</v>
      </c>
      <c r="Y27" t="n">
        <v>20.8</v>
      </c>
    </row>
    <row r="28">
      <c r="A28" s="6" t="n">
        <v>2016</v>
      </c>
      <c r="B28" s="7" t="n"/>
      <c r="C28" s="7" t="n"/>
      <c r="D28" s="7" t="n"/>
      <c r="E28" s="7" t="n"/>
      <c r="F28" s="7" t="n"/>
      <c r="G28" s="7" t="n"/>
      <c r="H28" s="7" t="n"/>
      <c r="I28" s="7" t="n"/>
      <c r="J28" s="7" t="n"/>
      <c r="K28" s="7" t="n"/>
    </row>
    <row r="29">
      <c r="A29" s="6" t="n">
        <v>2017</v>
      </c>
      <c r="B29" s="7" t="n">
        <v>7.4</v>
      </c>
      <c r="C29" s="7" t="n">
        <v>11</v>
      </c>
      <c r="D29" s="7" t="n">
        <v>11.2</v>
      </c>
      <c r="E29" s="7" t="n">
        <v>15.6</v>
      </c>
      <c r="F29" s="7" t="n">
        <v>23.8</v>
      </c>
      <c r="G29" s="7" t="n">
        <v>23.8</v>
      </c>
      <c r="H29" s="7" t="n">
        <v>23.8</v>
      </c>
      <c r="I29" s="7" t="n">
        <v>23.9</v>
      </c>
      <c r="J29" s="7" t="n">
        <v>23.9</v>
      </c>
      <c r="K29" s="7" t="n">
        <v>24</v>
      </c>
    </row>
    <row r="30">
      <c r="A30" s="6" t="n">
        <v>2018</v>
      </c>
      <c r="B30" s="7" t="n">
        <v>4.8</v>
      </c>
      <c r="C30" s="7" t="n">
        <v>7.6</v>
      </c>
      <c r="D30" s="7" t="n">
        <v>9.199999999999999</v>
      </c>
      <c r="E30" s="7" t="n">
        <v>10.6</v>
      </c>
      <c r="F30" s="7" t="n">
        <v>10.6</v>
      </c>
      <c r="G30" s="7" t="n">
        <v>10.8</v>
      </c>
      <c r="H30" s="7" t="n">
        <v>13.8</v>
      </c>
      <c r="I30" s="7" t="n">
        <v>13.9</v>
      </c>
      <c r="J30" s="7" t="n">
        <v>14</v>
      </c>
      <c r="K30" s="7" t="n">
        <v>18.8</v>
      </c>
    </row>
    <row r="31">
      <c r="A31" s="6" t="n">
        <v>2019</v>
      </c>
      <c r="B31" s="7" t="n">
        <v>8.6</v>
      </c>
      <c r="C31" s="7" t="n">
        <v>11.8</v>
      </c>
      <c r="D31" s="7" t="n">
        <v>13.4</v>
      </c>
      <c r="E31" s="7" t="n">
        <v>21</v>
      </c>
      <c r="F31" s="7" t="n">
        <v>22.2</v>
      </c>
      <c r="G31" s="7" t="n">
        <v>23</v>
      </c>
      <c r="H31" s="7" t="n">
        <v>25.8</v>
      </c>
      <c r="I31" s="7" t="n">
        <v>42.4</v>
      </c>
      <c r="J31" s="7" t="n">
        <v>50.6</v>
      </c>
      <c r="K31" s="7" t="n">
        <v>68.90000000000001</v>
      </c>
    </row>
    <row r="32">
      <c r="A32" s="6" t="n">
        <v>2020</v>
      </c>
      <c r="B32" s="7" t="n">
        <v>6</v>
      </c>
      <c r="C32" s="7" t="n">
        <v>8.4</v>
      </c>
      <c r="D32" s="7" t="n">
        <v>11.4</v>
      </c>
      <c r="E32" s="7" t="n">
        <v>15.4</v>
      </c>
      <c r="F32" s="7" t="n">
        <v>15.8</v>
      </c>
      <c r="G32" s="7" t="n">
        <v>15.8</v>
      </c>
      <c r="H32" s="7" t="n">
        <v>15.8</v>
      </c>
      <c r="I32" s="7" t="n">
        <v>15.9</v>
      </c>
      <c r="J32" s="7" t="n">
        <v>15.9</v>
      </c>
      <c r="K32" s="7" t="n">
        <v>16</v>
      </c>
    </row>
    <row r="35">
      <c r="A35" s="2" t="inlineStr">
        <is>
          <t>AMS AFTER gap filling (mm)  -  yellow = added or changed by gap filling</t>
        </is>
      </c>
    </row>
    <row r="36">
      <c r="A36" s="4" t="inlineStr">
        <is>
          <t>Water year</t>
        </is>
      </c>
      <c r="B36" s="5" t="inlineStr">
        <is>
          <t>5min</t>
        </is>
      </c>
      <c r="C36" s="5" t="inlineStr">
        <is>
          <t>10min</t>
        </is>
      </c>
      <c r="D36" s="5" t="inlineStr">
        <is>
          <t>15min</t>
        </is>
      </c>
      <c r="E36" s="5" t="inlineStr">
        <is>
          <t>30min</t>
        </is>
      </c>
      <c r="F36" s="5" t="inlineStr">
        <is>
          <t>1h</t>
        </is>
      </c>
      <c r="G36" s="5" t="inlineStr">
        <is>
          <t>2h</t>
        </is>
      </c>
      <c r="H36" s="5" t="inlineStr">
        <is>
          <t>3h</t>
        </is>
      </c>
      <c r="I36" s="5" t="inlineStr">
        <is>
          <t>6h</t>
        </is>
      </c>
      <c r="J36" s="5" t="inlineStr">
        <is>
          <t>12h</t>
        </is>
      </c>
      <c r="K36" s="5" t="inlineStr">
        <is>
          <t>24h</t>
        </is>
      </c>
    </row>
    <row r="37">
      <c r="A37" s="6" t="n">
        <v>1993</v>
      </c>
      <c r="B37" s="7" t="n">
        <v>9.199999999999999</v>
      </c>
      <c r="C37" s="7" t="n">
        <v>17.8</v>
      </c>
      <c r="D37" s="7" t="n">
        <v>21.6</v>
      </c>
      <c r="E37" s="7" t="n">
        <v>24.2</v>
      </c>
      <c r="F37" s="7" t="n">
        <v>24.4</v>
      </c>
      <c r="G37" s="7" t="n">
        <v>24.7</v>
      </c>
      <c r="H37" s="7" t="n">
        <v>25</v>
      </c>
      <c r="I37" s="7" t="n">
        <v>25.8</v>
      </c>
      <c r="J37" s="7" t="n">
        <v>27.6</v>
      </c>
      <c r="K37" s="7" t="n">
        <v>30.8</v>
      </c>
    </row>
    <row r="38">
      <c r="A38" s="6" t="n">
        <v>1994</v>
      </c>
      <c r="B38" s="7" t="n">
        <v>5.8</v>
      </c>
      <c r="C38" s="7" t="n">
        <v>9.199999999999999</v>
      </c>
      <c r="D38" s="7" t="n">
        <v>12.6</v>
      </c>
      <c r="E38" s="7" t="n">
        <v>17.2</v>
      </c>
      <c r="F38" s="7" t="n">
        <v>18.7</v>
      </c>
      <c r="G38" s="7" t="n">
        <v>19.1</v>
      </c>
      <c r="H38" s="7" t="n">
        <v>19.2</v>
      </c>
      <c r="I38" s="7" t="n">
        <v>20</v>
      </c>
      <c r="J38" s="7" t="n">
        <v>23.8</v>
      </c>
      <c r="K38" s="7" t="n">
        <v>24</v>
      </c>
    </row>
    <row r="39">
      <c r="A39" s="6" t="n">
        <v>1995</v>
      </c>
      <c r="B39" s="7" t="n">
        <v>4.4</v>
      </c>
      <c r="C39" s="7" t="n">
        <v>7.6</v>
      </c>
      <c r="D39" s="7" t="n">
        <v>8.199999999999999</v>
      </c>
      <c r="E39" s="7" t="n">
        <v>10.8</v>
      </c>
      <c r="F39" s="7" t="n">
        <v>14</v>
      </c>
      <c r="G39" s="7" t="n">
        <v>18.9</v>
      </c>
      <c r="H39" s="7" t="n">
        <v>19.3</v>
      </c>
      <c r="I39" s="7" t="n">
        <v>19.9</v>
      </c>
      <c r="J39" s="7" t="n">
        <v>20.2</v>
      </c>
      <c r="K39" s="7" t="n">
        <v>29.6</v>
      </c>
    </row>
    <row r="40">
      <c r="A40" s="6" t="n">
        <v>1996</v>
      </c>
      <c r="B40" s="7" t="n">
        <v>11.6</v>
      </c>
      <c r="C40" s="7" t="n">
        <v>17</v>
      </c>
      <c r="D40" s="7" t="n">
        <v>23</v>
      </c>
      <c r="E40" s="7" t="n">
        <v>29.2</v>
      </c>
      <c r="F40" s="7" t="n">
        <v>29.3</v>
      </c>
      <c r="G40" s="7" t="n">
        <v>30.8</v>
      </c>
      <c r="H40" s="7" t="n">
        <v>42.2</v>
      </c>
      <c r="I40" s="7" t="n">
        <v>62.2</v>
      </c>
      <c r="J40" s="7" t="n">
        <v>75.09999999999999</v>
      </c>
      <c r="K40" s="7" t="n">
        <v>79</v>
      </c>
    </row>
    <row r="41">
      <c r="A41" s="6" t="n">
        <v>1997</v>
      </c>
      <c r="B41" s="7" t="n">
        <v>11.2</v>
      </c>
      <c r="C41" s="7" t="n">
        <v>19</v>
      </c>
      <c r="D41" s="7" t="n">
        <v>19.8</v>
      </c>
      <c r="E41" s="7" t="n">
        <v>33.4</v>
      </c>
      <c r="F41" s="7" t="n">
        <v>36</v>
      </c>
      <c r="G41" s="7" t="n">
        <v>36.1</v>
      </c>
      <c r="H41" s="7" t="n">
        <v>36.3</v>
      </c>
      <c r="I41" s="7" t="n">
        <v>55.2</v>
      </c>
      <c r="J41" s="7" t="n">
        <v>69.5</v>
      </c>
      <c r="K41" s="7" t="n">
        <v>102.3</v>
      </c>
    </row>
    <row r="42">
      <c r="A42" s="6" t="n">
        <v>1998</v>
      </c>
      <c r="B42" s="7" t="n">
        <v>12.4</v>
      </c>
      <c r="C42" s="7" t="n">
        <v>22.6</v>
      </c>
      <c r="D42" s="7" t="n">
        <v>32</v>
      </c>
      <c r="E42" s="7" t="n">
        <v>56.2</v>
      </c>
      <c r="F42" s="7" t="n">
        <v>74.09999999999999</v>
      </c>
      <c r="G42" s="7" t="n">
        <v>111.2</v>
      </c>
      <c r="H42" s="7" t="n">
        <v>113.5</v>
      </c>
      <c r="I42" s="7" t="n">
        <v>129.6</v>
      </c>
      <c r="J42" s="7" t="n">
        <v>130.9</v>
      </c>
      <c r="K42" s="7" t="n">
        <v>139.6</v>
      </c>
    </row>
    <row r="43">
      <c r="A43" s="6" t="n">
        <v>1999</v>
      </c>
      <c r="B43" s="7" t="n">
        <v>5.2</v>
      </c>
      <c r="C43" s="7" t="n">
        <v>9</v>
      </c>
      <c r="D43" s="7" t="n">
        <v>11.6</v>
      </c>
      <c r="E43" s="7" t="n">
        <v>12.6</v>
      </c>
      <c r="F43" s="7" t="n">
        <v>15.2</v>
      </c>
      <c r="G43" s="7" t="n">
        <v>16</v>
      </c>
      <c r="H43" s="7" t="n">
        <v>16.1</v>
      </c>
      <c r="I43" s="7" t="n">
        <v>17.4</v>
      </c>
      <c r="J43" s="7" t="n">
        <v>24.8</v>
      </c>
      <c r="K43" s="7" t="n">
        <v>25.1</v>
      </c>
    </row>
    <row r="44">
      <c r="A44" s="6" t="n">
        <v>2000</v>
      </c>
      <c r="B44" s="7" t="n">
        <v>8</v>
      </c>
      <c r="C44" s="7" t="n">
        <v>15.6</v>
      </c>
      <c r="D44" s="7" t="n">
        <v>22.8</v>
      </c>
      <c r="E44" s="7" t="n">
        <v>34.2</v>
      </c>
      <c r="F44" s="7" t="n">
        <v>39.8</v>
      </c>
      <c r="G44" s="7" t="n">
        <v>39.8</v>
      </c>
      <c r="H44" s="7" t="n">
        <v>39.9</v>
      </c>
      <c r="I44" s="7" t="n">
        <v>39.9</v>
      </c>
      <c r="J44" s="7" t="n">
        <v>40.1</v>
      </c>
      <c r="K44" s="7" t="n">
        <v>40.4</v>
      </c>
    </row>
    <row r="45">
      <c r="A45" s="6" t="n">
        <v>2001</v>
      </c>
      <c r="B45" s="7" t="n">
        <v>6</v>
      </c>
      <c r="C45" s="7" t="n">
        <v>10.4</v>
      </c>
      <c r="D45" s="7" t="n">
        <v>14.4</v>
      </c>
      <c r="E45" s="7" t="n">
        <v>17.5</v>
      </c>
      <c r="F45" s="7" t="n">
        <v>24.8</v>
      </c>
      <c r="G45" s="7" t="n">
        <v>39</v>
      </c>
      <c r="H45" s="7" t="n">
        <v>40.4</v>
      </c>
      <c r="I45" s="7" t="n">
        <v>40.5</v>
      </c>
      <c r="J45" s="7" t="n">
        <v>40.6</v>
      </c>
      <c r="K45" s="8" t="n">
        <v>42.9</v>
      </c>
    </row>
    <row r="46">
      <c r="A46" s="6" t="n">
        <v>2002</v>
      </c>
      <c r="B46" s="8" t="n">
        <v>2.4</v>
      </c>
      <c r="C46" s="8" t="n">
        <v>4.4</v>
      </c>
      <c r="D46" s="8" t="n">
        <v>5.6</v>
      </c>
      <c r="E46" s="8" t="n">
        <v>8.1</v>
      </c>
      <c r="F46" s="8" t="n">
        <v>8.9</v>
      </c>
      <c r="G46" s="8" t="n">
        <v>8.9</v>
      </c>
      <c r="H46" s="8" t="n">
        <v>8.9</v>
      </c>
      <c r="I46" s="8" t="n">
        <v>8.9</v>
      </c>
      <c r="J46" s="8" t="n">
        <v>9</v>
      </c>
      <c r="K46" s="8" t="n">
        <v>9</v>
      </c>
    </row>
    <row r="47">
      <c r="A47" s="6" t="n">
        <v>2003</v>
      </c>
      <c r="B47" s="7" t="n">
        <v>6.4</v>
      </c>
      <c r="C47" s="7" t="n">
        <v>12</v>
      </c>
      <c r="D47" s="7" t="n">
        <v>16.2</v>
      </c>
      <c r="E47" s="7" t="n">
        <v>26.6</v>
      </c>
      <c r="F47" s="7" t="n">
        <v>27.4</v>
      </c>
      <c r="G47" s="7" t="n">
        <v>27.6</v>
      </c>
      <c r="H47" s="7" t="n">
        <v>27.6</v>
      </c>
      <c r="I47" s="7" t="n">
        <v>27.7</v>
      </c>
      <c r="J47" s="7" t="n">
        <v>31</v>
      </c>
      <c r="K47" s="7" t="n">
        <v>31.1</v>
      </c>
    </row>
    <row r="48">
      <c r="A48" s="6" t="n">
        <v>2004</v>
      </c>
      <c r="B48" s="7" t="n">
        <v>5.4</v>
      </c>
      <c r="C48" s="7" t="n">
        <v>9.800000000000001</v>
      </c>
      <c r="D48" s="7" t="n">
        <v>13.6</v>
      </c>
      <c r="E48" s="7" t="n">
        <v>17</v>
      </c>
      <c r="F48" s="7" t="n">
        <v>24.4</v>
      </c>
      <c r="G48" s="7" t="n">
        <v>27.4</v>
      </c>
      <c r="H48" s="7" t="n">
        <v>27.4</v>
      </c>
      <c r="I48" s="7" t="n">
        <v>27.4</v>
      </c>
      <c r="J48" s="7" t="n">
        <v>27.5</v>
      </c>
      <c r="K48" s="7" t="n">
        <v>27.6</v>
      </c>
    </row>
    <row r="49">
      <c r="A49" s="6" t="n">
        <v>2005</v>
      </c>
      <c r="B49" s="7" t="n">
        <v>4.2</v>
      </c>
      <c r="C49" s="7" t="n">
        <v>5.8</v>
      </c>
      <c r="D49" s="7" t="n">
        <v>6.4</v>
      </c>
      <c r="E49" s="8" t="n">
        <v>9.300000000000001</v>
      </c>
      <c r="F49" s="8" t="n">
        <v>12.1</v>
      </c>
      <c r="G49" s="8" t="n">
        <v>18.9</v>
      </c>
      <c r="H49" s="8" t="n">
        <v>22.6</v>
      </c>
      <c r="I49" s="8" t="n">
        <v>31.6</v>
      </c>
      <c r="J49" s="8" t="n">
        <v>48.1</v>
      </c>
      <c r="K49" s="8" t="n">
        <v>76.09999999999999</v>
      </c>
    </row>
    <row r="50">
      <c r="A50" s="6" t="n">
        <v>2006</v>
      </c>
      <c r="B50" s="7" t="n">
        <v>7.4</v>
      </c>
      <c r="C50" s="7" t="n">
        <v>10.2</v>
      </c>
      <c r="D50" s="7" t="n">
        <v>14.4</v>
      </c>
      <c r="E50" s="7" t="n">
        <v>22.2</v>
      </c>
      <c r="F50" s="7" t="n">
        <v>28.6</v>
      </c>
      <c r="G50" s="7" t="n">
        <v>36.8</v>
      </c>
      <c r="H50" s="7" t="n">
        <v>39</v>
      </c>
      <c r="I50" s="7" t="n">
        <v>44.2</v>
      </c>
      <c r="J50" s="7" t="n">
        <v>49.8</v>
      </c>
      <c r="K50" s="7" t="n">
        <v>67.59999999999999</v>
      </c>
    </row>
    <row r="51">
      <c r="A51" s="6" t="n">
        <v>2007</v>
      </c>
      <c r="B51" s="8" t="n">
        <v>2</v>
      </c>
      <c r="C51" s="8" t="n">
        <v>3.6</v>
      </c>
      <c r="D51" s="8" t="n">
        <v>5.1</v>
      </c>
      <c r="E51" s="8" t="n">
        <v>8.1</v>
      </c>
      <c r="F51" s="8" t="n">
        <v>13</v>
      </c>
      <c r="G51" s="8" t="n">
        <v>21.6</v>
      </c>
      <c r="H51" s="8" t="n">
        <v>25.3</v>
      </c>
      <c r="I51" s="8" t="n">
        <v>37.2</v>
      </c>
      <c r="J51" s="8" t="n">
        <v>48.1</v>
      </c>
      <c r="K51" s="8" t="n">
        <v>53.6</v>
      </c>
    </row>
    <row r="52">
      <c r="A52" s="6" t="n">
        <v>2008</v>
      </c>
      <c r="B52" s="7" t="n"/>
      <c r="C52" s="7" t="n"/>
      <c r="D52" s="7" t="n"/>
      <c r="E52" s="7" t="n"/>
      <c r="F52" s="7" t="n"/>
      <c r="G52" s="7" t="n"/>
      <c r="H52" s="7" t="n"/>
      <c r="I52" s="7" t="n"/>
      <c r="J52" s="7" t="n"/>
      <c r="K52" s="8" t="n">
        <v>20.1</v>
      </c>
    </row>
    <row r="53">
      <c r="A53" s="6" t="n">
        <v>2009</v>
      </c>
      <c r="B53" s="7" t="n">
        <v>7.4</v>
      </c>
      <c r="C53" s="7" t="n">
        <v>10</v>
      </c>
      <c r="D53" s="7" t="n">
        <v>10.8</v>
      </c>
      <c r="E53" s="7" t="n">
        <v>12.6</v>
      </c>
      <c r="F53" s="7" t="n">
        <v>12.8</v>
      </c>
      <c r="G53" s="7" t="n">
        <v>13.5</v>
      </c>
      <c r="H53" s="7" t="n">
        <v>14.9</v>
      </c>
      <c r="I53" s="7" t="n">
        <v>15.9</v>
      </c>
      <c r="J53" s="7" t="n">
        <v>17</v>
      </c>
      <c r="K53" s="7" t="n">
        <v>24.8</v>
      </c>
    </row>
    <row r="54">
      <c r="A54" s="6" t="n">
        <v>2010</v>
      </c>
      <c r="B54" s="7" t="n">
        <v>6.2</v>
      </c>
      <c r="C54" s="7" t="n">
        <v>10</v>
      </c>
      <c r="D54" s="7" t="n">
        <v>13</v>
      </c>
      <c r="E54" s="7" t="n">
        <v>16.2</v>
      </c>
      <c r="F54" s="7" t="n">
        <v>21.8</v>
      </c>
      <c r="G54" s="7" t="n">
        <v>27.2</v>
      </c>
      <c r="H54" s="7" t="n">
        <v>27.7</v>
      </c>
      <c r="I54" s="7" t="n">
        <v>33.5</v>
      </c>
      <c r="J54" s="7" t="n">
        <v>57.8</v>
      </c>
      <c r="K54" s="7" t="n">
        <v>76.2</v>
      </c>
    </row>
    <row r="55">
      <c r="A55" s="6" t="n">
        <v>2011</v>
      </c>
      <c r="B55" s="7" t="n">
        <v>4.4</v>
      </c>
      <c r="C55" s="7" t="n">
        <v>6.2</v>
      </c>
      <c r="D55" s="7" t="n">
        <v>7.6</v>
      </c>
      <c r="E55" s="7" t="n">
        <v>9.800000000000001</v>
      </c>
      <c r="F55" s="7" t="n">
        <v>13</v>
      </c>
      <c r="G55" s="7" t="n">
        <v>18.6</v>
      </c>
      <c r="H55" s="7" t="n">
        <v>20.6</v>
      </c>
      <c r="I55" s="7" t="n">
        <v>20.9</v>
      </c>
      <c r="J55" s="7" t="n">
        <v>21.6</v>
      </c>
      <c r="K55" s="7" t="n">
        <v>21.7</v>
      </c>
    </row>
    <row r="56">
      <c r="A56" s="6" t="n">
        <v>2012</v>
      </c>
      <c r="B56" s="7" t="n">
        <v>12.2</v>
      </c>
      <c r="C56" s="7" t="n">
        <v>20.8</v>
      </c>
      <c r="D56" s="7" t="n">
        <v>31.8</v>
      </c>
      <c r="E56" s="7" t="n">
        <v>45.4</v>
      </c>
      <c r="F56" s="7" t="n">
        <v>61.4</v>
      </c>
      <c r="G56" s="7" t="n">
        <v>62</v>
      </c>
      <c r="H56" s="7" t="n">
        <v>63.8</v>
      </c>
      <c r="I56" s="7" t="n">
        <v>71</v>
      </c>
      <c r="J56" s="7" t="n">
        <v>71.2</v>
      </c>
      <c r="K56" s="7" t="n">
        <v>75.09999999999999</v>
      </c>
    </row>
    <row r="57">
      <c r="A57" s="6" t="n">
        <v>2013</v>
      </c>
      <c r="B57" s="7" t="n">
        <v>8.6</v>
      </c>
      <c r="C57" s="7" t="n">
        <v>16.8</v>
      </c>
      <c r="D57" s="7" t="n">
        <v>23.4</v>
      </c>
      <c r="E57" s="7" t="n">
        <v>30.6</v>
      </c>
      <c r="F57" s="7" t="n">
        <v>35.6</v>
      </c>
      <c r="G57" s="7" t="n">
        <v>39.2</v>
      </c>
      <c r="H57" s="7" t="n">
        <v>39.2</v>
      </c>
      <c r="I57" s="7" t="n">
        <v>39.2</v>
      </c>
      <c r="J57" s="7" t="n">
        <v>39.3</v>
      </c>
      <c r="K57" s="7" t="n">
        <v>39.4</v>
      </c>
    </row>
    <row r="58">
      <c r="A58" s="6" t="n">
        <v>2014</v>
      </c>
      <c r="B58" s="7" t="n">
        <v>9.6</v>
      </c>
      <c r="C58" s="7" t="n">
        <v>14.2</v>
      </c>
      <c r="D58" s="7" t="n">
        <v>17.4</v>
      </c>
      <c r="E58" s="7" t="n">
        <v>19.8</v>
      </c>
      <c r="F58" s="7" t="n">
        <v>27.4</v>
      </c>
      <c r="G58" s="7" t="n">
        <v>40</v>
      </c>
      <c r="H58" s="7" t="n">
        <v>58.6</v>
      </c>
      <c r="I58" s="7" t="n">
        <v>82.3</v>
      </c>
      <c r="J58" s="7" t="n">
        <v>84.3</v>
      </c>
      <c r="K58" s="7" t="n">
        <v>106.2</v>
      </c>
    </row>
    <row r="59">
      <c r="A59" s="6" t="n">
        <v>2015</v>
      </c>
      <c r="B59" s="8" t="n">
        <v>1.9</v>
      </c>
      <c r="C59" s="8" t="n">
        <v>3.1</v>
      </c>
      <c r="D59" s="8" t="n">
        <v>4</v>
      </c>
      <c r="E59" s="8" t="n">
        <v>5.3</v>
      </c>
      <c r="F59" s="8" t="n">
        <v>6.5</v>
      </c>
      <c r="G59" s="8" t="n">
        <v>11.2</v>
      </c>
      <c r="H59" s="8" t="n">
        <v>14.4</v>
      </c>
      <c r="I59" s="8" t="n">
        <v>19.5</v>
      </c>
      <c r="J59" s="8" t="n">
        <v>19.6</v>
      </c>
      <c r="K59" s="8" t="n">
        <v>26.3</v>
      </c>
    </row>
    <row r="60">
      <c r="A60" s="6" t="n">
        <v>2016</v>
      </c>
      <c r="B60" s="8" t="n">
        <v>4.3</v>
      </c>
      <c r="C60" s="8" t="n">
        <v>7.6</v>
      </c>
      <c r="D60" s="8" t="n">
        <v>10.6</v>
      </c>
      <c r="E60" s="8" t="n">
        <v>12.5</v>
      </c>
      <c r="F60" s="8" t="n">
        <v>16.8</v>
      </c>
      <c r="G60" s="8" t="n">
        <v>23.9</v>
      </c>
      <c r="H60" s="8" t="n">
        <v>26</v>
      </c>
      <c r="I60" s="8" t="n">
        <v>30.7</v>
      </c>
      <c r="J60" s="8" t="n">
        <v>32</v>
      </c>
      <c r="K60" s="8" t="n">
        <v>32</v>
      </c>
    </row>
    <row r="61">
      <c r="A61" s="6" t="n">
        <v>2017</v>
      </c>
      <c r="B61" s="7" t="n">
        <v>7.4</v>
      </c>
      <c r="C61" s="7" t="n">
        <v>11</v>
      </c>
      <c r="D61" s="7" t="n">
        <v>11.2</v>
      </c>
      <c r="E61" s="7" t="n">
        <v>15.6</v>
      </c>
      <c r="F61" s="7" t="n">
        <v>23.8</v>
      </c>
      <c r="G61" s="7" t="n">
        <v>23.8</v>
      </c>
      <c r="H61" s="7" t="n">
        <v>23.8</v>
      </c>
      <c r="I61" s="7" t="n">
        <v>23.9</v>
      </c>
      <c r="J61" s="7" t="n">
        <v>23.9</v>
      </c>
      <c r="K61" s="7" t="n">
        <v>24</v>
      </c>
    </row>
    <row r="62">
      <c r="A62" s="6" t="n">
        <v>2018</v>
      </c>
      <c r="B62" s="7" t="n">
        <v>4.8</v>
      </c>
      <c r="C62" s="7" t="n">
        <v>7.6</v>
      </c>
      <c r="D62" s="7" t="n">
        <v>9.199999999999999</v>
      </c>
      <c r="E62" s="7" t="n">
        <v>10.6</v>
      </c>
      <c r="F62" s="7" t="n">
        <v>10.6</v>
      </c>
      <c r="G62" s="7" t="n">
        <v>10.8</v>
      </c>
      <c r="H62" s="7" t="n">
        <v>13.8</v>
      </c>
      <c r="I62" s="7" t="n">
        <v>13.9</v>
      </c>
      <c r="J62" s="7" t="n">
        <v>14</v>
      </c>
      <c r="K62" s="7" t="n">
        <v>18.8</v>
      </c>
    </row>
    <row r="63">
      <c r="A63" s="6" t="n">
        <v>2019</v>
      </c>
      <c r="B63" s="7" t="n">
        <v>8.6</v>
      </c>
      <c r="C63" s="7" t="n">
        <v>11.8</v>
      </c>
      <c r="D63" s="7" t="n">
        <v>13.4</v>
      </c>
      <c r="E63" s="7" t="n">
        <v>21</v>
      </c>
      <c r="F63" s="7" t="n">
        <v>22.2</v>
      </c>
      <c r="G63" s="7" t="n">
        <v>23</v>
      </c>
      <c r="H63" s="7" t="n">
        <v>25.8</v>
      </c>
      <c r="I63" s="7" t="n">
        <v>42.4</v>
      </c>
      <c r="J63" s="7" t="n">
        <v>50.6</v>
      </c>
      <c r="K63" s="7" t="n">
        <v>68.90000000000001</v>
      </c>
    </row>
    <row r="64">
      <c r="A64" s="6" t="n">
        <v>2020</v>
      </c>
      <c r="B64" s="7" t="n">
        <v>6</v>
      </c>
      <c r="C64" s="7" t="n">
        <v>8.4</v>
      </c>
      <c r="D64" s="7" t="n">
        <v>11.4</v>
      </c>
      <c r="E64" s="7" t="n">
        <v>15.4</v>
      </c>
      <c r="F64" s="7" t="n">
        <v>15.8</v>
      </c>
      <c r="G64" s="7" t="n">
        <v>15.8</v>
      </c>
      <c r="H64" s="7" t="n">
        <v>15.8</v>
      </c>
      <c r="I64" s="7" t="n">
        <v>15.9</v>
      </c>
      <c r="J64" s="7" t="n">
        <v>15.9</v>
      </c>
      <c r="K64" s="7" t="n">
        <v>16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Y42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</cols>
  <sheetData>
    <row r="1">
      <c r="A1" s="1" t="inlineStr">
        <is>
          <t>Gauge 75  |  FL737261AF  |  SHANNAH NEAR SHANNAH</t>
        </is>
      </c>
    </row>
    <row r="3">
      <c r="A3" s="2" t="inlineStr">
        <is>
          <t>AMS BEFORE gap filling (observed only, mm)</t>
        </is>
      </c>
      <c r="M3" s="3" t="inlineStr">
        <is>
          <t>IDF - design rainfall DEPTH (mm)</t>
        </is>
      </c>
    </row>
    <row r="4">
      <c r="A4" s="4" t="inlineStr">
        <is>
          <t>Water year</t>
        </is>
      </c>
      <c r="B4" s="5" t="inlineStr">
        <is>
          <t>5min</t>
        </is>
      </c>
      <c r="C4" s="5" t="inlineStr">
        <is>
          <t>10min</t>
        </is>
      </c>
      <c r="D4" s="5" t="inlineStr">
        <is>
          <t>15min</t>
        </is>
      </c>
      <c r="E4" s="5" t="inlineStr">
        <is>
          <t>30min</t>
        </is>
      </c>
      <c r="F4" s="5" t="inlineStr">
        <is>
          <t>1h</t>
        </is>
      </c>
      <c r="G4" s="5" t="inlineStr">
        <is>
          <t>2h</t>
        </is>
      </c>
      <c r="H4" s="5" t="inlineStr">
        <is>
          <t>3h</t>
        </is>
      </c>
      <c r="I4" s="5" t="inlineStr">
        <is>
          <t>6h</t>
        </is>
      </c>
      <c r="J4" s="5" t="inlineStr">
        <is>
          <t>12h</t>
        </is>
      </c>
      <c r="K4" s="5" t="inlineStr">
        <is>
          <t>24h</t>
        </is>
      </c>
      <c r="M4" s="4" t="inlineStr">
        <is>
          <t>Duration \ RP</t>
        </is>
      </c>
      <c r="N4" s="4" t="n">
        <v>2</v>
      </c>
      <c r="O4" s="4" t="n">
        <v>5</v>
      </c>
      <c r="P4" s="4" t="n">
        <v>10</v>
      </c>
      <c r="Q4" s="4" t="n">
        <v>25</v>
      </c>
      <c r="R4" s="4" t="n">
        <v>50</v>
      </c>
      <c r="S4" s="4" t="n">
        <v>100</v>
      </c>
      <c r="T4" s="4" t="n">
        <v>200</v>
      </c>
      <c r="U4" s="4" t="n">
        <v>500</v>
      </c>
      <c r="V4" s="4" t="n">
        <v>1000</v>
      </c>
      <c r="W4" s="4" t="n">
        <v>2000</v>
      </c>
      <c r="X4" s="4" t="n">
        <v>5000</v>
      </c>
      <c r="Y4" s="4" t="n">
        <v>10000</v>
      </c>
    </row>
    <row r="5">
      <c r="A5" s="6" t="n">
        <v>1993</v>
      </c>
      <c r="B5" s="7" t="n">
        <v>2</v>
      </c>
      <c r="C5" s="7" t="n">
        <v>3.2</v>
      </c>
      <c r="D5" s="7" t="n">
        <v>4</v>
      </c>
      <c r="E5" s="7" t="n">
        <v>5</v>
      </c>
      <c r="F5" s="7" t="n">
        <v>5.2</v>
      </c>
      <c r="G5" s="7" t="n">
        <v>5.5</v>
      </c>
      <c r="H5" s="7" t="n">
        <v>5.7</v>
      </c>
      <c r="I5" s="7" t="n">
        <v>6.5</v>
      </c>
      <c r="J5" s="7" t="n">
        <v>6.8</v>
      </c>
      <c r="K5" s="7" t="n">
        <v>7.3</v>
      </c>
      <c r="M5" s="6" t="inlineStr">
        <is>
          <t>5min</t>
        </is>
      </c>
      <c r="N5" s="6" t="n">
        <v>5.7</v>
      </c>
      <c r="O5" s="6" t="n">
        <v>8.5</v>
      </c>
      <c r="P5" s="6" t="n">
        <v>10.4</v>
      </c>
      <c r="Q5" s="6" t="n">
        <v>12.9</v>
      </c>
      <c r="R5" s="6" t="n">
        <v>14.7</v>
      </c>
      <c r="S5" s="6" t="n">
        <v>16.5</v>
      </c>
      <c r="T5" s="6" t="n">
        <v>18.3</v>
      </c>
      <c r="U5" s="6" t="n">
        <v>20.8</v>
      </c>
      <c r="V5" s="6" t="n">
        <v>22.6</v>
      </c>
      <c r="W5" s="6" t="n">
        <v>24.5</v>
      </c>
      <c r="X5" s="6" t="n">
        <v>26.9</v>
      </c>
      <c r="Y5" s="6" t="n">
        <v>28.8</v>
      </c>
    </row>
    <row r="6">
      <c r="A6" s="6" t="n">
        <v>1994</v>
      </c>
      <c r="B6" s="7" t="n">
        <v>4.4</v>
      </c>
      <c r="C6" s="7" t="n">
        <v>7.4</v>
      </c>
      <c r="D6" s="7" t="n">
        <v>9.800000000000001</v>
      </c>
      <c r="E6" s="7" t="n">
        <v>11.6</v>
      </c>
      <c r="F6" s="7" t="n">
        <v>18.2</v>
      </c>
      <c r="G6" s="7" t="n">
        <v>18.2</v>
      </c>
      <c r="H6" s="7" t="n">
        <v>18.2</v>
      </c>
      <c r="I6" s="7" t="n">
        <v>18.3</v>
      </c>
      <c r="J6" s="7" t="n">
        <v>18.4</v>
      </c>
      <c r="K6" s="7" t="n">
        <v>18.6</v>
      </c>
      <c r="M6" s="6" t="inlineStr">
        <is>
          <t>10min</t>
        </is>
      </c>
      <c r="N6" s="6" t="n">
        <v>9.300000000000001</v>
      </c>
      <c r="O6" s="6" t="n">
        <v>14.1</v>
      </c>
      <c r="P6" s="6" t="n">
        <v>17.2</v>
      </c>
      <c r="Q6" s="6" t="n">
        <v>21.3</v>
      </c>
      <c r="R6" s="6" t="n">
        <v>24.3</v>
      </c>
      <c r="S6" s="6" t="n">
        <v>27.4</v>
      </c>
      <c r="T6" s="6" t="n">
        <v>30.4</v>
      </c>
      <c r="U6" s="6" t="n">
        <v>34.5</v>
      </c>
      <c r="V6" s="6" t="n">
        <v>37.6</v>
      </c>
      <c r="W6" s="6" t="n">
        <v>40.8</v>
      </c>
      <c r="X6" s="6" t="n">
        <v>45</v>
      </c>
      <c r="Y6" s="6" t="n">
        <v>48.2</v>
      </c>
    </row>
    <row r="7">
      <c r="A7" s="6" t="n">
        <v>1995</v>
      </c>
      <c r="B7" s="7" t="n">
        <v>6.8</v>
      </c>
      <c r="C7" s="7" t="n">
        <v>8</v>
      </c>
      <c r="D7" s="7" t="n">
        <v>8</v>
      </c>
      <c r="E7" s="7" t="n">
        <v>11.4</v>
      </c>
      <c r="F7" s="7" t="n">
        <v>15.8</v>
      </c>
      <c r="G7" s="7" t="n">
        <v>23.2</v>
      </c>
      <c r="H7" s="7" t="n">
        <v>26.2</v>
      </c>
      <c r="I7" s="7" t="n">
        <v>26.5</v>
      </c>
      <c r="J7" s="7" t="n">
        <v>26.6</v>
      </c>
      <c r="K7" s="7" t="n">
        <v>37.4</v>
      </c>
      <c r="M7" s="6" t="inlineStr">
        <is>
          <t>15min</t>
        </is>
      </c>
      <c r="N7" s="6" t="n">
        <v>11.8</v>
      </c>
      <c r="O7" s="6" t="n">
        <v>18.1</v>
      </c>
      <c r="P7" s="6" t="n">
        <v>22.4</v>
      </c>
      <c r="Q7" s="6" t="n">
        <v>28</v>
      </c>
      <c r="R7" s="6" t="n">
        <v>32.3</v>
      </c>
      <c r="S7" s="6" t="n">
        <v>36.7</v>
      </c>
      <c r="T7" s="6" t="n">
        <v>41.2</v>
      </c>
      <c r="U7" s="6" t="n">
        <v>47.4</v>
      </c>
      <c r="V7" s="6" t="n">
        <v>52.2</v>
      </c>
      <c r="W7" s="6" t="n">
        <v>57.1</v>
      </c>
      <c r="X7" s="6" t="n">
        <v>63.8</v>
      </c>
      <c r="Y7" s="6" t="n">
        <v>69.09999999999999</v>
      </c>
    </row>
    <row r="8">
      <c r="A8" s="6" t="n">
        <v>1996</v>
      </c>
      <c r="B8" s="7" t="n">
        <v>6</v>
      </c>
      <c r="C8" s="7" t="n">
        <v>10.4</v>
      </c>
      <c r="D8" s="7" t="n">
        <v>12</v>
      </c>
      <c r="E8" s="7" t="n">
        <v>14.6</v>
      </c>
      <c r="F8" s="7" t="n">
        <v>14.6</v>
      </c>
      <c r="G8" s="7" t="n">
        <v>18.6</v>
      </c>
      <c r="H8" s="7" t="n">
        <v>23.8</v>
      </c>
      <c r="I8" s="7" t="n">
        <v>35</v>
      </c>
      <c r="J8" s="7" t="n">
        <v>39.2</v>
      </c>
      <c r="K8" s="7" t="n">
        <v>40.1</v>
      </c>
      <c r="M8" s="6" t="inlineStr">
        <is>
          <t>30min</t>
        </is>
      </c>
      <c r="N8" s="6" t="n">
        <v>16.1</v>
      </c>
      <c r="O8" s="6" t="n">
        <v>25.2</v>
      </c>
      <c r="P8" s="6" t="n">
        <v>31.6</v>
      </c>
      <c r="Q8" s="6" t="n">
        <v>40.3</v>
      </c>
      <c r="R8" s="6" t="n">
        <v>47.3</v>
      </c>
      <c r="S8" s="6" t="n">
        <v>54.5</v>
      </c>
      <c r="T8" s="6" t="n">
        <v>62.2</v>
      </c>
      <c r="U8" s="6" t="n">
        <v>73</v>
      </c>
      <c r="V8" s="6" t="n">
        <v>81.7</v>
      </c>
      <c r="W8" s="6" t="n">
        <v>90.90000000000001</v>
      </c>
      <c r="X8" s="6" t="n">
        <v>103.9</v>
      </c>
      <c r="Y8" s="6" t="n">
        <v>114.3</v>
      </c>
    </row>
    <row r="9">
      <c r="A9" s="6" t="n">
        <v>1997</v>
      </c>
      <c r="B9" s="7" t="n">
        <v>9</v>
      </c>
      <c r="C9" s="7" t="n">
        <v>9.800000000000001</v>
      </c>
      <c r="D9" s="7" t="n">
        <v>13.2</v>
      </c>
      <c r="E9" s="7" t="n">
        <v>17.2</v>
      </c>
      <c r="F9" s="7" t="n">
        <v>18.4</v>
      </c>
      <c r="G9" s="7" t="n">
        <v>29.8</v>
      </c>
      <c r="H9" s="7" t="n">
        <v>35.8</v>
      </c>
      <c r="I9" s="7" t="n">
        <v>53</v>
      </c>
      <c r="J9" s="7" t="n">
        <v>66.59999999999999</v>
      </c>
      <c r="K9" s="7" t="n">
        <v>85.90000000000001</v>
      </c>
      <c r="M9" s="6" t="inlineStr">
        <is>
          <t>1h</t>
        </is>
      </c>
      <c r="N9" s="6" t="n">
        <v>20.1</v>
      </c>
      <c r="O9" s="6" t="n">
        <v>31.7</v>
      </c>
      <c r="P9" s="6" t="n">
        <v>40.1</v>
      </c>
      <c r="Q9" s="6" t="n">
        <v>51.9</v>
      </c>
      <c r="R9" s="6" t="n">
        <v>61.5</v>
      </c>
      <c r="S9" s="6" t="n">
        <v>71.8</v>
      </c>
      <c r="T9" s="6" t="n">
        <v>82.90000000000001</v>
      </c>
      <c r="U9" s="6" t="n">
        <v>98.90000000000001</v>
      </c>
      <c r="V9" s="6" t="n">
        <v>112.1</v>
      </c>
      <c r="W9" s="6" t="n">
        <v>126.4</v>
      </c>
      <c r="X9" s="6" t="n">
        <v>147</v>
      </c>
      <c r="Y9" s="6" t="n">
        <v>164.1</v>
      </c>
    </row>
    <row r="10">
      <c r="A10" s="6" t="n">
        <v>1998</v>
      </c>
      <c r="B10" s="7" t="n">
        <v>9.6</v>
      </c>
      <c r="C10" s="7" t="n">
        <v>18.6</v>
      </c>
      <c r="D10" s="7" t="n">
        <v>24.2</v>
      </c>
      <c r="E10" s="7" t="n">
        <v>39.6</v>
      </c>
      <c r="F10" s="7" t="n">
        <v>57</v>
      </c>
      <c r="G10" s="7" t="n">
        <v>74.40000000000001</v>
      </c>
      <c r="H10" s="7" t="n">
        <v>80.59999999999999</v>
      </c>
      <c r="I10" s="7" t="n">
        <v>101.6</v>
      </c>
      <c r="J10" s="7" t="n">
        <v>102.4</v>
      </c>
      <c r="K10" s="7" t="n">
        <v>105.5</v>
      </c>
      <c r="M10" s="6" t="inlineStr">
        <is>
          <t>2h</t>
        </is>
      </c>
      <c r="N10" s="6" t="n">
        <v>23.7</v>
      </c>
      <c r="O10" s="6" t="n">
        <v>37.7</v>
      </c>
      <c r="P10" s="6" t="n">
        <v>48.1</v>
      </c>
      <c r="Q10" s="6" t="n">
        <v>62.6</v>
      </c>
      <c r="R10" s="6" t="n">
        <v>74.5</v>
      </c>
      <c r="S10" s="6" t="n">
        <v>87.40000000000001</v>
      </c>
      <c r="T10" s="6" t="n">
        <v>101.3</v>
      </c>
      <c r="U10" s="6" t="n">
        <v>121.5</v>
      </c>
      <c r="V10" s="6" t="n">
        <v>138.3</v>
      </c>
      <c r="W10" s="6" t="n">
        <v>156.6</v>
      </c>
      <c r="X10" s="6" t="n">
        <v>183.2</v>
      </c>
      <c r="Y10" s="6" t="n">
        <v>205.3</v>
      </c>
    </row>
    <row r="11">
      <c r="A11" s="6" t="n">
        <v>1999</v>
      </c>
      <c r="B11" s="7" t="n">
        <v>4.2</v>
      </c>
      <c r="C11" s="7" t="n">
        <v>5.4</v>
      </c>
      <c r="D11" s="7" t="n">
        <v>6.4</v>
      </c>
      <c r="E11" s="7" t="n">
        <v>8</v>
      </c>
      <c r="F11" s="7" t="n">
        <v>8</v>
      </c>
      <c r="G11" s="7" t="n">
        <v>14.8</v>
      </c>
      <c r="H11" s="7" t="n">
        <v>16.4</v>
      </c>
      <c r="I11" s="7" t="n">
        <v>22</v>
      </c>
      <c r="J11" s="7" t="n">
        <v>38.3</v>
      </c>
      <c r="K11" s="7" t="n">
        <v>39.4</v>
      </c>
      <c r="M11" s="6" t="inlineStr">
        <is>
          <t>3h</t>
        </is>
      </c>
      <c r="N11" s="6" t="n">
        <v>25.4</v>
      </c>
      <c r="O11" s="6" t="n">
        <v>40.9</v>
      </c>
      <c r="P11" s="6" t="n">
        <v>52.7</v>
      </c>
      <c r="Q11" s="6" t="n">
        <v>69.40000000000001</v>
      </c>
      <c r="R11" s="6" t="n">
        <v>83.2</v>
      </c>
      <c r="S11" s="6" t="n">
        <v>98.40000000000001</v>
      </c>
      <c r="T11" s="6" t="n">
        <v>115.1</v>
      </c>
      <c r="U11" s="6" t="n">
        <v>139.7</v>
      </c>
      <c r="V11" s="6" t="n">
        <v>160.6</v>
      </c>
      <c r="W11" s="6" t="n">
        <v>183.5</v>
      </c>
      <c r="X11" s="6" t="n">
        <v>217.4</v>
      </c>
      <c r="Y11" s="6" t="n">
        <v>246.1</v>
      </c>
    </row>
    <row r="12">
      <c r="A12" s="6" t="n">
        <v>2000</v>
      </c>
      <c r="B12" s="7" t="n">
        <v>3.2</v>
      </c>
      <c r="C12" s="7" t="n">
        <v>4.6</v>
      </c>
      <c r="D12" s="7" t="n">
        <v>5.6</v>
      </c>
      <c r="E12" s="7" t="n">
        <v>7.4</v>
      </c>
      <c r="F12" s="7" t="n">
        <v>7.6</v>
      </c>
      <c r="G12" s="7" t="n">
        <v>7.9</v>
      </c>
      <c r="H12" s="7" t="n">
        <v>8</v>
      </c>
      <c r="I12" s="7" t="n">
        <v>8</v>
      </c>
      <c r="J12" s="7" t="n">
        <v>8.1</v>
      </c>
      <c r="K12" s="7" t="n">
        <v>8.199999999999999</v>
      </c>
      <c r="M12" s="6" t="inlineStr">
        <is>
          <t>6h</t>
        </is>
      </c>
      <c r="N12" s="6" t="n">
        <v>28.6</v>
      </c>
      <c r="O12" s="6" t="n">
        <v>47.3</v>
      </c>
      <c r="P12" s="6" t="n">
        <v>61.4</v>
      </c>
      <c r="Q12" s="6" t="n">
        <v>81.5</v>
      </c>
      <c r="R12" s="6" t="n">
        <v>98.2</v>
      </c>
      <c r="S12" s="6" t="n">
        <v>116.6</v>
      </c>
      <c r="T12" s="6" t="n">
        <v>136.8</v>
      </c>
      <c r="U12" s="6" t="n">
        <v>166.7</v>
      </c>
      <c r="V12" s="6" t="n">
        <v>192</v>
      </c>
      <c r="W12" s="6" t="n">
        <v>219.9</v>
      </c>
      <c r="X12" s="6" t="n">
        <v>261.2</v>
      </c>
      <c r="Y12" s="6" t="n">
        <v>296.3</v>
      </c>
    </row>
    <row r="13">
      <c r="A13" s="6" t="n">
        <v>2001</v>
      </c>
      <c r="B13" s="7" t="n">
        <v>6.4</v>
      </c>
      <c r="C13" s="7" t="n">
        <v>9.6</v>
      </c>
      <c r="D13" s="7" t="n">
        <v>10.8</v>
      </c>
      <c r="E13" s="7" t="n">
        <v>16.2</v>
      </c>
      <c r="F13" s="7" t="n">
        <v>23.2</v>
      </c>
      <c r="G13" s="7" t="n">
        <v>27.2</v>
      </c>
      <c r="H13" s="7" t="n">
        <v>27.6</v>
      </c>
      <c r="I13" s="7" t="n">
        <v>27.8</v>
      </c>
      <c r="J13" s="7" t="n">
        <v>27.9</v>
      </c>
      <c r="K13" s="7" t="n">
        <v>28</v>
      </c>
      <c r="M13" s="6" t="inlineStr">
        <is>
          <t>12h</t>
        </is>
      </c>
      <c r="N13" s="6" t="n">
        <v>31.7</v>
      </c>
      <c r="O13" s="6" t="n">
        <v>54.4</v>
      </c>
      <c r="P13" s="6" t="n">
        <v>72.2</v>
      </c>
      <c r="Q13" s="6" t="n">
        <v>98.5</v>
      </c>
      <c r="R13" s="6" t="n">
        <v>121.2</v>
      </c>
      <c r="S13" s="6" t="n">
        <v>146.7</v>
      </c>
      <c r="T13" s="6" t="n">
        <v>175.6</v>
      </c>
      <c r="U13" s="6" t="n">
        <v>219.9</v>
      </c>
      <c r="V13" s="6" t="n">
        <v>258.6</v>
      </c>
      <c r="W13" s="6" t="n">
        <v>302.5</v>
      </c>
      <c r="X13" s="6" t="n">
        <v>369.7</v>
      </c>
      <c r="Y13" s="6" t="n">
        <v>428.6</v>
      </c>
    </row>
    <row r="14">
      <c r="A14" s="6" t="n">
        <v>2002</v>
      </c>
      <c r="B14" s="7" t="n">
        <v>1</v>
      </c>
      <c r="C14" s="7" t="n">
        <v>1.6</v>
      </c>
      <c r="D14" s="7" t="n">
        <v>2</v>
      </c>
      <c r="E14" s="7" t="n">
        <v>2</v>
      </c>
      <c r="F14" s="7" t="n">
        <v>2</v>
      </c>
      <c r="G14" s="7" t="n">
        <v>2</v>
      </c>
      <c r="H14" s="7" t="n">
        <v>2</v>
      </c>
      <c r="I14" s="7" t="n">
        <v>2</v>
      </c>
      <c r="J14" s="7" t="n">
        <v>2.1</v>
      </c>
      <c r="K14" s="7" t="n">
        <v>2.2</v>
      </c>
      <c r="M14" s="6" t="inlineStr">
        <is>
          <t>24h</t>
        </is>
      </c>
      <c r="N14" s="6" t="n">
        <v>36.2</v>
      </c>
      <c r="O14" s="6" t="n">
        <v>62.8</v>
      </c>
      <c r="P14" s="6" t="n">
        <v>83.40000000000001</v>
      </c>
      <c r="Q14" s="6" t="n">
        <v>113.5</v>
      </c>
      <c r="R14" s="6" t="n">
        <v>139.1</v>
      </c>
      <c r="S14" s="6" t="n">
        <v>167.7</v>
      </c>
      <c r="T14" s="6" t="n">
        <v>199.7</v>
      </c>
      <c r="U14" s="6" t="n">
        <v>248.2</v>
      </c>
      <c r="V14" s="6" t="n">
        <v>290.1</v>
      </c>
      <c r="W14" s="6" t="n">
        <v>337.2</v>
      </c>
      <c r="X14" s="6" t="n">
        <v>408.5</v>
      </c>
      <c r="Y14" s="6" t="n">
        <v>470.2</v>
      </c>
    </row>
    <row r="15">
      <c r="A15" s="6" t="n">
        <v>2003</v>
      </c>
      <c r="B15" s="7" t="n">
        <v>6.6</v>
      </c>
      <c r="C15" s="7" t="n">
        <v>10.2</v>
      </c>
      <c r="D15" s="7" t="n">
        <v>12.6</v>
      </c>
      <c r="E15" s="7" t="n">
        <v>15.8</v>
      </c>
      <c r="F15" s="7" t="n">
        <v>18.2</v>
      </c>
      <c r="G15" s="7" t="n">
        <v>21.1</v>
      </c>
      <c r="H15" s="7" t="n">
        <v>21.4</v>
      </c>
      <c r="I15" s="7" t="n">
        <v>21.6</v>
      </c>
      <c r="J15" s="7" t="n">
        <v>24.9</v>
      </c>
      <c r="K15" s="7" t="n">
        <v>25.1</v>
      </c>
    </row>
    <row r="16">
      <c r="A16" s="6" t="n">
        <v>2004</v>
      </c>
      <c r="B16" s="7" t="n">
        <v>3.6</v>
      </c>
      <c r="C16" s="7" t="n">
        <v>3.6</v>
      </c>
      <c r="D16" s="7" t="n">
        <v>3.7</v>
      </c>
      <c r="E16" s="7" t="n">
        <v>3.7</v>
      </c>
      <c r="F16" s="7" t="n">
        <v>3.8</v>
      </c>
      <c r="G16" s="7" t="n">
        <v>4</v>
      </c>
      <c r="H16" s="7" t="n">
        <v>4.3</v>
      </c>
      <c r="I16" s="7" t="n">
        <v>4.9</v>
      </c>
      <c r="J16" s="7" t="n">
        <v>5.4</v>
      </c>
      <c r="K16" s="7" t="n">
        <v>5.5</v>
      </c>
      <c r="M16" s="3" t="inlineStr">
        <is>
          <t>IDF - intensity (mm/hr) [x=duration(min)]</t>
        </is>
      </c>
    </row>
    <row r="17">
      <c r="A17" s="6" t="n">
        <v>2005</v>
      </c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M17" t="inlineStr">
        <is>
          <t>Duration(min)</t>
        </is>
      </c>
      <c r="N17" t="inlineStr">
        <is>
          <t>2 yr</t>
        </is>
      </c>
      <c r="O17" t="inlineStr">
        <is>
          <t>5 yr</t>
        </is>
      </c>
      <c r="P17" t="inlineStr">
        <is>
          <t>10 yr</t>
        </is>
      </c>
      <c r="Q17" t="inlineStr">
        <is>
          <t>25 yr</t>
        </is>
      </c>
      <c r="R17" t="inlineStr">
        <is>
          <t>50 yr</t>
        </is>
      </c>
      <c r="S17" t="inlineStr">
        <is>
          <t>100 yr</t>
        </is>
      </c>
      <c r="T17" t="inlineStr">
        <is>
          <t>200 yr</t>
        </is>
      </c>
      <c r="U17" t="inlineStr">
        <is>
          <t>500 yr</t>
        </is>
      </c>
      <c r="V17" t="inlineStr">
        <is>
          <t>1000 yr</t>
        </is>
      </c>
      <c r="W17" t="inlineStr">
        <is>
          <t>2000 yr</t>
        </is>
      </c>
      <c r="X17" t="inlineStr">
        <is>
          <t>5000 yr</t>
        </is>
      </c>
      <c r="Y17" t="inlineStr">
        <is>
          <t>10000 yr</t>
        </is>
      </c>
    </row>
    <row r="18">
      <c r="A18" s="6" t="n">
        <v>2006</v>
      </c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  <c r="K18" s="7" t="n"/>
      <c r="M18" t="n">
        <v>5</v>
      </c>
      <c r="N18" t="n">
        <v>68.2</v>
      </c>
      <c r="O18" t="n">
        <v>102.5</v>
      </c>
      <c r="P18" t="n">
        <v>125.4</v>
      </c>
      <c r="Q18" t="n">
        <v>154.6</v>
      </c>
      <c r="R18" t="n">
        <v>176.4</v>
      </c>
      <c r="S18" t="n">
        <v>198.2</v>
      </c>
      <c r="T18" t="n">
        <v>220</v>
      </c>
      <c r="U18" t="n">
        <v>249.1</v>
      </c>
      <c r="V18" t="n">
        <v>271.2</v>
      </c>
      <c r="W18" t="n">
        <v>293.5</v>
      </c>
      <c r="X18" t="n">
        <v>323.2</v>
      </c>
      <c r="Y18" t="n">
        <v>345.8</v>
      </c>
    </row>
    <row r="19">
      <c r="A19" s="6" t="n">
        <v>2007</v>
      </c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M19" t="n">
        <v>10</v>
      </c>
      <c r="N19" t="n">
        <v>56</v>
      </c>
      <c r="O19" t="n">
        <v>84.40000000000001</v>
      </c>
      <c r="P19" t="n">
        <v>103.5</v>
      </c>
      <c r="Q19" t="n">
        <v>127.8</v>
      </c>
      <c r="R19" t="n">
        <v>146</v>
      </c>
      <c r="S19" t="n">
        <v>164.3</v>
      </c>
      <c r="T19" t="n">
        <v>182.6</v>
      </c>
      <c r="U19" t="n">
        <v>207.1</v>
      </c>
      <c r="V19" t="n">
        <v>225.8</v>
      </c>
      <c r="W19" t="n">
        <v>244.6</v>
      </c>
      <c r="X19" t="n">
        <v>269.8</v>
      </c>
      <c r="Y19" t="n">
        <v>289</v>
      </c>
    </row>
    <row r="20">
      <c r="A20" s="6" t="n">
        <v>2008</v>
      </c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M20" t="n">
        <v>15</v>
      </c>
      <c r="N20" t="n">
        <v>47.2</v>
      </c>
      <c r="O20" t="n">
        <v>72.3</v>
      </c>
      <c r="P20" t="n">
        <v>89.5</v>
      </c>
      <c r="Q20" t="n">
        <v>112</v>
      </c>
      <c r="R20" t="n">
        <v>129.3</v>
      </c>
      <c r="S20" t="n">
        <v>146.9</v>
      </c>
      <c r="T20" t="n">
        <v>165</v>
      </c>
      <c r="U20" t="n">
        <v>189.6</v>
      </c>
      <c r="V20" t="n">
        <v>208.8</v>
      </c>
      <c r="W20" t="n">
        <v>228.5</v>
      </c>
      <c r="X20" t="n">
        <v>255.4</v>
      </c>
      <c r="Y20" t="n">
        <v>276.4</v>
      </c>
    </row>
    <row r="21">
      <c r="A21" s="6" t="n">
        <v>2009</v>
      </c>
      <c r="B21" s="7" t="n">
        <v>5.4</v>
      </c>
      <c r="C21" s="7" t="n">
        <v>7.2</v>
      </c>
      <c r="D21" s="7" t="n">
        <v>7.6</v>
      </c>
      <c r="E21" s="7" t="n">
        <v>7.6</v>
      </c>
      <c r="F21" s="7" t="n">
        <v>7.6</v>
      </c>
      <c r="G21" s="7" t="n">
        <v>8</v>
      </c>
      <c r="H21" s="7" t="n">
        <v>10</v>
      </c>
      <c r="I21" s="7" t="n">
        <v>15.2</v>
      </c>
      <c r="J21" s="7" t="n">
        <v>15.3</v>
      </c>
      <c r="K21" s="7" t="n">
        <v>22.2</v>
      </c>
      <c r="M21" t="n">
        <v>30</v>
      </c>
      <c r="N21" t="n">
        <v>32.3</v>
      </c>
      <c r="O21" t="n">
        <v>50.3</v>
      </c>
      <c r="P21" t="n">
        <v>63.2</v>
      </c>
      <c r="Q21" t="n">
        <v>80.7</v>
      </c>
      <c r="R21" t="n">
        <v>94.5</v>
      </c>
      <c r="S21" t="n">
        <v>109</v>
      </c>
      <c r="T21" t="n">
        <v>124.4</v>
      </c>
      <c r="U21" t="n">
        <v>145.9</v>
      </c>
      <c r="V21" t="n">
        <v>163.4</v>
      </c>
      <c r="W21" t="n">
        <v>181.8</v>
      </c>
      <c r="X21" t="n">
        <v>207.7</v>
      </c>
      <c r="Y21" t="n">
        <v>228.7</v>
      </c>
    </row>
    <row r="22">
      <c r="M22" t="n">
        <v>60</v>
      </c>
      <c r="N22" t="n">
        <v>20.1</v>
      </c>
      <c r="O22" t="n">
        <v>31.7</v>
      </c>
      <c r="P22" t="n">
        <v>40.1</v>
      </c>
      <c r="Q22" t="n">
        <v>51.9</v>
      </c>
      <c r="R22" t="n">
        <v>61.5</v>
      </c>
      <c r="S22" t="n">
        <v>71.8</v>
      </c>
      <c r="T22" t="n">
        <v>82.90000000000001</v>
      </c>
      <c r="U22" t="n">
        <v>98.90000000000001</v>
      </c>
      <c r="V22" t="n">
        <v>112.1</v>
      </c>
      <c r="W22" t="n">
        <v>126.4</v>
      </c>
      <c r="X22" t="n">
        <v>147</v>
      </c>
      <c r="Y22" t="n">
        <v>164.1</v>
      </c>
    </row>
    <row r="23">
      <c r="M23" t="n">
        <v>120</v>
      </c>
      <c r="N23" t="n">
        <v>11.8</v>
      </c>
      <c r="O23" t="n">
        <v>18.9</v>
      </c>
      <c r="P23" t="n">
        <v>24.1</v>
      </c>
      <c r="Q23" t="n">
        <v>31.3</v>
      </c>
      <c r="R23" t="n">
        <v>37.3</v>
      </c>
      <c r="S23" t="n">
        <v>43.7</v>
      </c>
      <c r="T23" t="n">
        <v>50.6</v>
      </c>
      <c r="U23" t="n">
        <v>60.8</v>
      </c>
      <c r="V23" t="n">
        <v>69.2</v>
      </c>
      <c r="W23" t="n">
        <v>78.3</v>
      </c>
      <c r="X23" t="n">
        <v>91.59999999999999</v>
      </c>
      <c r="Y23" t="n">
        <v>102.7</v>
      </c>
    </row>
    <row r="24">
      <c r="A24" s="2" t="inlineStr">
        <is>
          <t>AMS AFTER gap filling (mm)  -  yellow = added or changed by gap filling</t>
        </is>
      </c>
      <c r="M24" t="n">
        <v>180</v>
      </c>
      <c r="N24" t="n">
        <v>8.5</v>
      </c>
      <c r="O24" t="n">
        <v>13.6</v>
      </c>
      <c r="P24" t="n">
        <v>17.6</v>
      </c>
      <c r="Q24" t="n">
        <v>23.1</v>
      </c>
      <c r="R24" t="n">
        <v>27.7</v>
      </c>
      <c r="S24" t="n">
        <v>32.8</v>
      </c>
      <c r="T24" t="n">
        <v>38.4</v>
      </c>
      <c r="U24" t="n">
        <v>46.6</v>
      </c>
      <c r="V24" t="n">
        <v>53.5</v>
      </c>
      <c r="W24" t="n">
        <v>61.2</v>
      </c>
      <c r="X24" t="n">
        <v>72.5</v>
      </c>
      <c r="Y24" t="n">
        <v>82</v>
      </c>
    </row>
    <row r="25">
      <c r="A25" s="4" t="inlineStr">
        <is>
          <t>Water year</t>
        </is>
      </c>
      <c r="B25" s="5" t="inlineStr">
        <is>
          <t>5min</t>
        </is>
      </c>
      <c r="C25" s="5" t="inlineStr">
        <is>
          <t>10min</t>
        </is>
      </c>
      <c r="D25" s="5" t="inlineStr">
        <is>
          <t>15min</t>
        </is>
      </c>
      <c r="E25" s="5" t="inlineStr">
        <is>
          <t>30min</t>
        </is>
      </c>
      <c r="F25" s="5" t="inlineStr">
        <is>
          <t>1h</t>
        </is>
      </c>
      <c r="G25" s="5" t="inlineStr">
        <is>
          <t>2h</t>
        </is>
      </c>
      <c r="H25" s="5" t="inlineStr">
        <is>
          <t>3h</t>
        </is>
      </c>
      <c r="I25" s="5" t="inlineStr">
        <is>
          <t>6h</t>
        </is>
      </c>
      <c r="J25" s="5" t="inlineStr">
        <is>
          <t>12h</t>
        </is>
      </c>
      <c r="K25" s="5" t="inlineStr">
        <is>
          <t>24h</t>
        </is>
      </c>
      <c r="M25" t="n">
        <v>360</v>
      </c>
      <c r="N25" t="n">
        <v>4.8</v>
      </c>
      <c r="O25" t="n">
        <v>7.9</v>
      </c>
      <c r="P25" t="n">
        <v>10.2</v>
      </c>
      <c r="Q25" t="n">
        <v>13.6</v>
      </c>
      <c r="R25" t="n">
        <v>16.4</v>
      </c>
      <c r="S25" t="n">
        <v>19.4</v>
      </c>
      <c r="T25" t="n">
        <v>22.8</v>
      </c>
      <c r="U25" t="n">
        <v>27.8</v>
      </c>
      <c r="V25" t="n">
        <v>32</v>
      </c>
      <c r="W25" t="n">
        <v>36.6</v>
      </c>
      <c r="X25" t="n">
        <v>43.5</v>
      </c>
      <c r="Y25" t="n">
        <v>49.4</v>
      </c>
    </row>
    <row r="26">
      <c r="A26" s="6" t="n">
        <v>1993</v>
      </c>
      <c r="B26" s="8" t="n">
        <v>2.3</v>
      </c>
      <c r="C26" s="8" t="n">
        <v>3.4</v>
      </c>
      <c r="D26" s="8" t="n">
        <v>4.4</v>
      </c>
      <c r="E26" s="8" t="n">
        <v>5.7</v>
      </c>
      <c r="F26" s="8" t="n">
        <v>7.7</v>
      </c>
      <c r="G26" s="8" t="n">
        <v>7.8</v>
      </c>
      <c r="H26" s="8" t="n">
        <v>7.8</v>
      </c>
      <c r="I26" s="8" t="n">
        <v>7.8</v>
      </c>
      <c r="J26" s="8" t="n">
        <v>7.9</v>
      </c>
      <c r="K26" s="8" t="n">
        <v>10.7</v>
      </c>
      <c r="M26" t="n">
        <v>720</v>
      </c>
      <c r="N26" t="n">
        <v>2.6</v>
      </c>
      <c r="O26" t="n">
        <v>4.5</v>
      </c>
      <c r="P26" t="n">
        <v>6</v>
      </c>
      <c r="Q26" t="n">
        <v>8.199999999999999</v>
      </c>
      <c r="R26" t="n">
        <v>10.1</v>
      </c>
      <c r="S26" t="n">
        <v>12.2</v>
      </c>
      <c r="T26" t="n">
        <v>14.6</v>
      </c>
      <c r="U26" t="n">
        <v>18.3</v>
      </c>
      <c r="V26" t="n">
        <v>21.5</v>
      </c>
      <c r="W26" t="n">
        <v>25.2</v>
      </c>
      <c r="X26" t="n">
        <v>30.8</v>
      </c>
      <c r="Y26" t="n">
        <v>35.7</v>
      </c>
    </row>
    <row r="27">
      <c r="A27" s="6" t="n">
        <v>1994</v>
      </c>
      <c r="B27" s="7" t="n">
        <v>4.4</v>
      </c>
      <c r="C27" s="7" t="n">
        <v>7.4</v>
      </c>
      <c r="D27" s="7" t="n">
        <v>9.800000000000001</v>
      </c>
      <c r="E27" s="7" t="n">
        <v>11.6</v>
      </c>
      <c r="F27" s="7" t="n">
        <v>18.2</v>
      </c>
      <c r="G27" s="7" t="n">
        <v>18.2</v>
      </c>
      <c r="H27" s="7" t="n">
        <v>18.2</v>
      </c>
      <c r="I27" s="7" t="n">
        <v>18.3</v>
      </c>
      <c r="J27" s="7" t="n">
        <v>18.4</v>
      </c>
      <c r="K27" s="7" t="n">
        <v>18.6</v>
      </c>
      <c r="M27" t="n">
        <v>1440</v>
      </c>
      <c r="N27" t="n">
        <v>1.5</v>
      </c>
      <c r="O27" t="n">
        <v>2.6</v>
      </c>
      <c r="P27" t="n">
        <v>3.5</v>
      </c>
      <c r="Q27" t="n">
        <v>4.7</v>
      </c>
      <c r="R27" t="n">
        <v>5.8</v>
      </c>
      <c r="S27" t="n">
        <v>7</v>
      </c>
      <c r="T27" t="n">
        <v>8.300000000000001</v>
      </c>
      <c r="U27" t="n">
        <v>10.3</v>
      </c>
      <c r="V27" t="n">
        <v>12.1</v>
      </c>
      <c r="W27" t="n">
        <v>14</v>
      </c>
      <c r="X27" t="n">
        <v>17</v>
      </c>
      <c r="Y27" t="n">
        <v>19.6</v>
      </c>
    </row>
    <row r="28">
      <c r="A28" s="6" t="n">
        <v>1995</v>
      </c>
      <c r="B28" s="7" t="n">
        <v>6.8</v>
      </c>
      <c r="C28" s="7" t="n">
        <v>8</v>
      </c>
      <c r="D28" s="8" t="n">
        <v>8.199999999999999</v>
      </c>
      <c r="E28" s="7" t="n">
        <v>11.4</v>
      </c>
      <c r="F28" s="7" t="n">
        <v>15.8</v>
      </c>
      <c r="G28" s="7" t="n">
        <v>23.2</v>
      </c>
      <c r="H28" s="7" t="n">
        <v>26.2</v>
      </c>
      <c r="I28" s="7" t="n">
        <v>26.5</v>
      </c>
      <c r="J28" s="7" t="n">
        <v>26.6</v>
      </c>
      <c r="K28" s="7" t="n">
        <v>37.4</v>
      </c>
    </row>
    <row r="29">
      <c r="A29" s="6" t="n">
        <v>1996</v>
      </c>
      <c r="B29" s="7" t="n">
        <v>6</v>
      </c>
      <c r="C29" s="7" t="n">
        <v>10.4</v>
      </c>
      <c r="D29" s="7" t="n">
        <v>12</v>
      </c>
      <c r="E29" s="7" t="n">
        <v>14.6</v>
      </c>
      <c r="F29" s="7" t="n">
        <v>14.6</v>
      </c>
      <c r="G29" s="7" t="n">
        <v>18.6</v>
      </c>
      <c r="H29" s="7" t="n">
        <v>23.8</v>
      </c>
      <c r="I29" s="7" t="n">
        <v>35</v>
      </c>
      <c r="J29" s="7" t="n">
        <v>39.2</v>
      </c>
      <c r="K29" s="7" t="n">
        <v>40.1</v>
      </c>
    </row>
    <row r="30">
      <c r="A30" s="6" t="n">
        <v>1997</v>
      </c>
      <c r="B30" s="7" t="n">
        <v>9</v>
      </c>
      <c r="C30" s="7" t="n">
        <v>9.800000000000001</v>
      </c>
      <c r="D30" s="7" t="n">
        <v>13.2</v>
      </c>
      <c r="E30" s="7" t="n">
        <v>17.2</v>
      </c>
      <c r="F30" s="7" t="n">
        <v>18.4</v>
      </c>
      <c r="G30" s="7" t="n">
        <v>29.8</v>
      </c>
      <c r="H30" s="7" t="n">
        <v>35.8</v>
      </c>
      <c r="I30" s="7" t="n">
        <v>53</v>
      </c>
      <c r="J30" s="7" t="n">
        <v>66.59999999999999</v>
      </c>
      <c r="K30" s="7" t="n">
        <v>85.90000000000001</v>
      </c>
    </row>
    <row r="31">
      <c r="A31" s="6" t="n">
        <v>1998</v>
      </c>
      <c r="B31" s="7" t="n">
        <v>9.6</v>
      </c>
      <c r="C31" s="7" t="n">
        <v>18.6</v>
      </c>
      <c r="D31" s="7" t="n">
        <v>24.2</v>
      </c>
      <c r="E31" s="7" t="n">
        <v>39.6</v>
      </c>
      <c r="F31" s="7" t="n">
        <v>57</v>
      </c>
      <c r="G31" s="7" t="n">
        <v>74.40000000000001</v>
      </c>
      <c r="H31" s="7" t="n">
        <v>80.59999999999999</v>
      </c>
      <c r="I31" s="7" t="n">
        <v>101.6</v>
      </c>
      <c r="J31" s="7" t="n">
        <v>102.4</v>
      </c>
      <c r="K31" s="7" t="n">
        <v>105.5</v>
      </c>
    </row>
    <row r="32">
      <c r="A32" s="6" t="n">
        <v>1999</v>
      </c>
      <c r="B32" s="7" t="n">
        <v>4.2</v>
      </c>
      <c r="C32" s="7" t="n">
        <v>5.4</v>
      </c>
      <c r="D32" s="7" t="n">
        <v>6.4</v>
      </c>
      <c r="E32" s="7" t="n">
        <v>8</v>
      </c>
      <c r="F32" s="7" t="n">
        <v>8</v>
      </c>
      <c r="G32" s="7" t="n">
        <v>14.8</v>
      </c>
      <c r="H32" s="7" t="n">
        <v>16.4</v>
      </c>
      <c r="I32" s="7" t="n">
        <v>22</v>
      </c>
      <c r="J32" s="7" t="n">
        <v>38.3</v>
      </c>
      <c r="K32" s="7" t="n">
        <v>39.4</v>
      </c>
    </row>
    <row r="33">
      <c r="A33" s="6" t="n">
        <v>2000</v>
      </c>
      <c r="B33" s="7" t="n">
        <v>3.2</v>
      </c>
      <c r="C33" s="8" t="n">
        <v>5</v>
      </c>
      <c r="D33" s="8" t="n">
        <v>6</v>
      </c>
      <c r="E33" s="7" t="n">
        <v>7.4</v>
      </c>
      <c r="F33" s="8" t="n">
        <v>7.7</v>
      </c>
      <c r="G33" s="8" t="n">
        <v>10.3</v>
      </c>
      <c r="H33" s="8" t="n">
        <v>11.8</v>
      </c>
      <c r="I33" s="8" t="n">
        <v>17.1</v>
      </c>
      <c r="J33" s="8" t="n">
        <v>18.5</v>
      </c>
      <c r="K33" s="8" t="n">
        <v>18.5</v>
      </c>
    </row>
    <row r="34">
      <c r="A34" s="6" t="n">
        <v>2001</v>
      </c>
      <c r="B34" s="7" t="n">
        <v>6.4</v>
      </c>
      <c r="C34" s="7" t="n">
        <v>9.6</v>
      </c>
      <c r="D34" s="7" t="n">
        <v>10.8</v>
      </c>
      <c r="E34" s="7" t="n">
        <v>16.2</v>
      </c>
      <c r="F34" s="7" t="n">
        <v>23.2</v>
      </c>
      <c r="G34" s="7" t="n">
        <v>27.2</v>
      </c>
      <c r="H34" s="7" t="n">
        <v>27.6</v>
      </c>
      <c r="I34" s="7" t="n">
        <v>27.8</v>
      </c>
      <c r="J34" s="7" t="n">
        <v>27.9</v>
      </c>
      <c r="K34" s="7" t="n">
        <v>28</v>
      </c>
    </row>
    <row r="35">
      <c r="A35" s="6" t="n">
        <v>2002</v>
      </c>
      <c r="B35" s="7" t="n">
        <v>1</v>
      </c>
      <c r="C35" s="7" t="n">
        <v>1.6</v>
      </c>
      <c r="D35" s="7" t="n">
        <v>2</v>
      </c>
      <c r="E35" s="7" t="n">
        <v>2</v>
      </c>
      <c r="F35" s="7" t="n">
        <v>2</v>
      </c>
      <c r="G35" s="7" t="n">
        <v>2</v>
      </c>
      <c r="H35" s="7" t="n">
        <v>2</v>
      </c>
      <c r="I35" s="7" t="n">
        <v>2</v>
      </c>
      <c r="J35" s="7" t="n">
        <v>2.1</v>
      </c>
      <c r="K35" s="7" t="n">
        <v>2.2</v>
      </c>
    </row>
    <row r="36">
      <c r="A36" s="6" t="n">
        <v>2003</v>
      </c>
      <c r="B36" s="7" t="n">
        <v>6.6</v>
      </c>
      <c r="C36" s="7" t="n">
        <v>10.2</v>
      </c>
      <c r="D36" s="7" t="n">
        <v>12.6</v>
      </c>
      <c r="E36" s="7" t="n">
        <v>15.8</v>
      </c>
      <c r="F36" s="7" t="n">
        <v>18.2</v>
      </c>
      <c r="G36" s="7" t="n">
        <v>21.1</v>
      </c>
      <c r="H36" s="7" t="n">
        <v>21.4</v>
      </c>
      <c r="I36" s="7" t="n">
        <v>21.6</v>
      </c>
      <c r="J36" s="7" t="n">
        <v>24.9</v>
      </c>
      <c r="K36" s="7" t="n">
        <v>25.1</v>
      </c>
    </row>
    <row r="37">
      <c r="A37" s="6" t="n">
        <v>2004</v>
      </c>
      <c r="B37" s="7" t="n">
        <v>3.6</v>
      </c>
      <c r="C37" s="8" t="n">
        <v>4.6</v>
      </c>
      <c r="D37" s="8" t="n">
        <v>6.1</v>
      </c>
      <c r="E37" s="8" t="n">
        <v>7.6</v>
      </c>
      <c r="F37" s="8" t="n">
        <v>10.8</v>
      </c>
      <c r="G37" s="8" t="n">
        <v>12.3</v>
      </c>
      <c r="H37" s="8" t="n">
        <v>12.5</v>
      </c>
      <c r="I37" s="8" t="n">
        <v>13.5</v>
      </c>
      <c r="J37" s="8" t="n">
        <v>13.6</v>
      </c>
      <c r="K37" s="8" t="n">
        <v>13.7</v>
      </c>
    </row>
    <row r="38">
      <c r="A38" s="6" t="n">
        <v>2005</v>
      </c>
      <c r="B38" s="8" t="n">
        <v>3</v>
      </c>
      <c r="C38" s="8" t="n">
        <v>5.8</v>
      </c>
      <c r="D38" s="8" t="n">
        <v>8.4</v>
      </c>
      <c r="E38" s="8" t="n">
        <v>13.5</v>
      </c>
      <c r="F38" s="8" t="n">
        <v>16.6</v>
      </c>
      <c r="G38" s="8" t="n">
        <v>19.5</v>
      </c>
      <c r="H38" s="8" t="n">
        <v>22.2</v>
      </c>
      <c r="I38" s="8" t="n">
        <v>33.4</v>
      </c>
      <c r="J38" s="8" t="n">
        <v>47.8</v>
      </c>
      <c r="K38" s="8" t="n">
        <v>76.5</v>
      </c>
    </row>
    <row r="39">
      <c r="A39" s="6" t="n">
        <v>2006</v>
      </c>
      <c r="B39" s="8" t="n">
        <v>3.4</v>
      </c>
      <c r="C39" s="8" t="n">
        <v>6.4</v>
      </c>
      <c r="D39" s="8" t="n">
        <v>9.199999999999999</v>
      </c>
      <c r="E39" s="8" t="n">
        <v>14.2</v>
      </c>
      <c r="F39" s="8" t="n">
        <v>18.8</v>
      </c>
      <c r="G39" s="8" t="n">
        <v>30.3</v>
      </c>
      <c r="H39" s="8" t="n">
        <v>30.7</v>
      </c>
      <c r="I39" s="8" t="n">
        <v>39.4</v>
      </c>
      <c r="J39" s="8" t="n">
        <v>45.1</v>
      </c>
      <c r="K39" s="8" t="n">
        <v>59.2</v>
      </c>
    </row>
    <row r="40">
      <c r="A40" s="6" t="n">
        <v>2007</v>
      </c>
      <c r="B40" s="8" t="n">
        <v>2.3</v>
      </c>
      <c r="C40" s="8" t="n">
        <v>4.1</v>
      </c>
      <c r="D40" s="8" t="n">
        <v>5.8</v>
      </c>
      <c r="E40" s="8" t="n">
        <v>8.300000000000001</v>
      </c>
      <c r="F40" s="8" t="n">
        <v>14.2</v>
      </c>
      <c r="G40" s="8" t="n">
        <v>21.3</v>
      </c>
      <c r="H40" s="8" t="n">
        <v>25.5</v>
      </c>
      <c r="I40" s="8" t="n">
        <v>35.5</v>
      </c>
      <c r="J40" s="8" t="n">
        <v>45.8</v>
      </c>
      <c r="K40" s="8" t="n">
        <v>50.1</v>
      </c>
    </row>
    <row r="41">
      <c r="A41" s="6" t="n">
        <v>2008</v>
      </c>
      <c r="B41" s="8" t="n">
        <v>1</v>
      </c>
      <c r="C41" s="8" t="n">
        <v>1.6</v>
      </c>
      <c r="D41" s="8" t="n">
        <v>2.4</v>
      </c>
      <c r="E41" s="8" t="n">
        <v>3.5</v>
      </c>
      <c r="F41" s="8" t="n">
        <v>5</v>
      </c>
      <c r="G41" s="8" t="n">
        <v>5</v>
      </c>
      <c r="H41" s="8" t="n">
        <v>5</v>
      </c>
      <c r="I41" s="8" t="n">
        <v>5</v>
      </c>
      <c r="J41" s="8" t="n">
        <v>5.1</v>
      </c>
      <c r="K41" s="8" t="n">
        <v>5.2</v>
      </c>
    </row>
    <row r="42">
      <c r="A42" s="6" t="n">
        <v>2009</v>
      </c>
      <c r="B42" s="7" t="n">
        <v>5.4</v>
      </c>
      <c r="C42" s="7" t="n">
        <v>7.2</v>
      </c>
      <c r="D42" s="7" t="n">
        <v>7.6</v>
      </c>
      <c r="E42" s="7" t="n">
        <v>7.6</v>
      </c>
      <c r="F42" s="7" t="n">
        <v>7.6</v>
      </c>
      <c r="G42" s="7" t="n">
        <v>8</v>
      </c>
      <c r="H42" s="7" t="n">
        <v>10</v>
      </c>
      <c r="I42" s="7" t="n">
        <v>15.2</v>
      </c>
      <c r="J42" s="7" t="n">
        <v>15.3</v>
      </c>
      <c r="K42" s="7" t="n">
        <v>22.2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Y64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</cols>
  <sheetData>
    <row r="1">
      <c r="A1" s="1" t="inlineStr">
        <is>
          <t>Gauge 76  |  FL933320AF  |  SAMAIA NEAR SAMAIA</t>
        </is>
      </c>
    </row>
    <row r="3">
      <c r="A3" s="2" t="inlineStr">
        <is>
          <t>AMS BEFORE gap filling (observed only, mm)</t>
        </is>
      </c>
      <c r="M3" s="3" t="inlineStr">
        <is>
          <t>IDF - design rainfall DEPTH (mm)</t>
        </is>
      </c>
    </row>
    <row r="4">
      <c r="A4" s="4" t="inlineStr">
        <is>
          <t>Water year</t>
        </is>
      </c>
      <c r="B4" s="5" t="inlineStr">
        <is>
          <t>5min</t>
        </is>
      </c>
      <c r="C4" s="5" t="inlineStr">
        <is>
          <t>10min</t>
        </is>
      </c>
      <c r="D4" s="5" t="inlineStr">
        <is>
          <t>15min</t>
        </is>
      </c>
      <c r="E4" s="5" t="inlineStr">
        <is>
          <t>30min</t>
        </is>
      </c>
      <c r="F4" s="5" t="inlineStr">
        <is>
          <t>1h</t>
        </is>
      </c>
      <c r="G4" s="5" t="inlineStr">
        <is>
          <t>2h</t>
        </is>
      </c>
      <c r="H4" s="5" t="inlineStr">
        <is>
          <t>3h</t>
        </is>
      </c>
      <c r="I4" s="5" t="inlineStr">
        <is>
          <t>6h</t>
        </is>
      </c>
      <c r="J4" s="5" t="inlineStr">
        <is>
          <t>12h</t>
        </is>
      </c>
      <c r="K4" s="5" t="inlineStr">
        <is>
          <t>24h</t>
        </is>
      </c>
      <c r="M4" s="4" t="inlineStr">
        <is>
          <t>Duration \ RP</t>
        </is>
      </c>
      <c r="N4" s="4" t="n">
        <v>2</v>
      </c>
      <c r="O4" s="4" t="n">
        <v>5</v>
      </c>
      <c r="P4" s="4" t="n">
        <v>10</v>
      </c>
      <c r="Q4" s="4" t="n">
        <v>25</v>
      </c>
      <c r="R4" s="4" t="n">
        <v>50</v>
      </c>
      <c r="S4" s="4" t="n">
        <v>100</v>
      </c>
      <c r="T4" s="4" t="n">
        <v>200</v>
      </c>
      <c r="U4" s="4" t="n">
        <v>500</v>
      </c>
      <c r="V4" s="4" t="n">
        <v>1000</v>
      </c>
      <c r="W4" s="4" t="n">
        <v>2000</v>
      </c>
      <c r="X4" s="4" t="n">
        <v>5000</v>
      </c>
      <c r="Y4" s="4" t="n">
        <v>10000</v>
      </c>
    </row>
    <row r="5">
      <c r="A5" s="6" t="n">
        <v>1993</v>
      </c>
      <c r="B5" s="7" t="n">
        <v>3.2</v>
      </c>
      <c r="C5" s="7" t="n">
        <v>6</v>
      </c>
      <c r="D5" s="7" t="n">
        <v>7.6</v>
      </c>
      <c r="E5" s="7" t="n">
        <v>9.4</v>
      </c>
      <c r="F5" s="7" t="n">
        <v>10.8</v>
      </c>
      <c r="G5" s="7" t="n">
        <v>11</v>
      </c>
      <c r="H5" s="7" t="n">
        <v>11.1</v>
      </c>
      <c r="I5" s="7" t="n">
        <v>11.2</v>
      </c>
      <c r="J5" s="7" t="n">
        <v>11.3</v>
      </c>
      <c r="K5" s="7" t="n">
        <v>12.4</v>
      </c>
      <c r="M5" s="6" t="inlineStr">
        <is>
          <t>5min</t>
        </is>
      </c>
      <c r="N5" s="6" t="n">
        <v>5.6</v>
      </c>
      <c r="O5" s="6" t="n">
        <v>8.300000000000001</v>
      </c>
      <c r="P5" s="6" t="n">
        <v>9.9</v>
      </c>
      <c r="Q5" s="6" t="n">
        <v>11.8</v>
      </c>
      <c r="R5" s="6" t="n">
        <v>13.2</v>
      </c>
      <c r="S5" s="6" t="n">
        <v>14.4</v>
      </c>
      <c r="T5" s="6" t="n">
        <v>15.5</v>
      </c>
      <c r="U5" s="6" t="n">
        <v>16.9</v>
      </c>
      <c r="V5" s="6" t="n">
        <v>17.9</v>
      </c>
      <c r="W5" s="6" t="n">
        <v>18.8</v>
      </c>
      <c r="X5" s="6" t="n">
        <v>19.9</v>
      </c>
      <c r="Y5" s="6" t="n">
        <v>20.7</v>
      </c>
    </row>
    <row r="6">
      <c r="A6" s="6" t="n">
        <v>1994</v>
      </c>
      <c r="B6" s="7" t="n">
        <v>5.6</v>
      </c>
      <c r="C6" s="7" t="n">
        <v>10</v>
      </c>
      <c r="D6" s="7" t="n">
        <v>14.2</v>
      </c>
      <c r="E6" s="7" t="n">
        <v>25.2</v>
      </c>
      <c r="F6" s="7" t="n">
        <v>38.6</v>
      </c>
      <c r="G6" s="7" t="n">
        <v>62.7</v>
      </c>
      <c r="H6" s="7" t="n">
        <v>64.2</v>
      </c>
      <c r="I6" s="7" t="n">
        <v>64.3</v>
      </c>
      <c r="J6" s="7" t="n">
        <v>64.5</v>
      </c>
      <c r="K6" s="7" t="n">
        <v>64.90000000000001</v>
      </c>
      <c r="M6" s="6" t="inlineStr">
        <is>
          <t>10min</t>
        </is>
      </c>
      <c r="N6" s="6" t="n">
        <v>9.300000000000001</v>
      </c>
      <c r="O6" s="6" t="n">
        <v>13.7</v>
      </c>
      <c r="P6" s="6" t="n">
        <v>16.5</v>
      </c>
      <c r="Q6" s="6" t="n">
        <v>19.7</v>
      </c>
      <c r="R6" s="6" t="n">
        <v>21.9</v>
      </c>
      <c r="S6" s="6" t="n">
        <v>24</v>
      </c>
      <c r="T6" s="6" t="n">
        <v>26</v>
      </c>
      <c r="U6" s="6" t="n">
        <v>28.4</v>
      </c>
      <c r="V6" s="6" t="n">
        <v>30.1</v>
      </c>
      <c r="W6" s="6" t="n">
        <v>31.7</v>
      </c>
      <c r="X6" s="6" t="n">
        <v>33.7</v>
      </c>
      <c r="Y6" s="6" t="n">
        <v>35.1</v>
      </c>
    </row>
    <row r="7">
      <c r="A7" s="6" t="n">
        <v>1995</v>
      </c>
      <c r="B7" s="7" t="n">
        <v>8.199999999999999</v>
      </c>
      <c r="C7" s="7" t="n">
        <v>14</v>
      </c>
      <c r="D7" s="7" t="n">
        <v>20.2</v>
      </c>
      <c r="E7" s="7" t="n">
        <v>33.8</v>
      </c>
      <c r="F7" s="7" t="n">
        <v>41.6</v>
      </c>
      <c r="G7" s="7" t="n">
        <v>42.7</v>
      </c>
      <c r="H7" s="7" t="n">
        <v>43</v>
      </c>
      <c r="I7" s="7" t="n">
        <v>43.1</v>
      </c>
      <c r="J7" s="7" t="n">
        <v>43.2</v>
      </c>
      <c r="K7" s="7" t="n">
        <v>46.4</v>
      </c>
      <c r="M7" s="6" t="inlineStr">
        <is>
          <t>15min</t>
        </is>
      </c>
      <c r="N7" s="6" t="n">
        <v>11.6</v>
      </c>
      <c r="O7" s="6" t="n">
        <v>17.6</v>
      </c>
      <c r="P7" s="6" t="n">
        <v>21.4</v>
      </c>
      <c r="Q7" s="6" t="n">
        <v>26.1</v>
      </c>
      <c r="R7" s="6" t="n">
        <v>29.4</v>
      </c>
      <c r="S7" s="6" t="n">
        <v>32.7</v>
      </c>
      <c r="T7" s="6" t="n">
        <v>35.8</v>
      </c>
      <c r="U7" s="6" t="n">
        <v>39.9</v>
      </c>
      <c r="V7" s="6" t="n">
        <v>42.8</v>
      </c>
      <c r="W7" s="6" t="n">
        <v>45.7</v>
      </c>
      <c r="X7" s="6" t="n">
        <v>49.5</v>
      </c>
      <c r="Y7" s="6" t="n">
        <v>52.2</v>
      </c>
    </row>
    <row r="8">
      <c r="A8" s="6" t="n">
        <v>1996</v>
      </c>
      <c r="B8" s="7" t="n">
        <v>5.4</v>
      </c>
      <c r="C8" s="7" t="n">
        <v>9.6</v>
      </c>
      <c r="D8" s="7" t="n">
        <v>12.4</v>
      </c>
      <c r="E8" s="7" t="n">
        <v>15.2</v>
      </c>
      <c r="F8" s="7" t="n">
        <v>22.4</v>
      </c>
      <c r="G8" s="7" t="n">
        <v>30.4</v>
      </c>
      <c r="H8" s="7" t="n">
        <v>39.2</v>
      </c>
      <c r="I8" s="7" t="n">
        <v>58.3</v>
      </c>
      <c r="J8" s="7" t="n">
        <v>63.7</v>
      </c>
      <c r="K8" s="7" t="n">
        <v>72.7</v>
      </c>
      <c r="M8" s="6" t="inlineStr">
        <is>
          <t>30min</t>
        </is>
      </c>
      <c r="N8" s="6" t="n">
        <v>15.8</v>
      </c>
      <c r="O8" s="6" t="n">
        <v>24.5</v>
      </c>
      <c r="P8" s="6" t="n">
        <v>30.4</v>
      </c>
      <c r="Q8" s="6" t="n">
        <v>38</v>
      </c>
      <c r="R8" s="6" t="n">
        <v>43.7</v>
      </c>
      <c r="S8" s="6" t="n">
        <v>49.5</v>
      </c>
      <c r="T8" s="6" t="n">
        <v>55.4</v>
      </c>
      <c r="U8" s="6" t="n">
        <v>63.3</v>
      </c>
      <c r="V8" s="6" t="n">
        <v>69.40000000000001</v>
      </c>
      <c r="W8" s="6" t="n">
        <v>75.59999999999999</v>
      </c>
      <c r="X8" s="6" t="n">
        <v>83.90000000000001</v>
      </c>
      <c r="Y8" s="6" t="n">
        <v>90.40000000000001</v>
      </c>
    </row>
    <row r="9">
      <c r="A9" s="6" t="n">
        <v>1997</v>
      </c>
      <c r="B9" s="7" t="n">
        <v>7.2</v>
      </c>
      <c r="C9" s="7" t="n">
        <v>13.8</v>
      </c>
      <c r="D9" s="7" t="n">
        <v>19.8</v>
      </c>
      <c r="E9" s="7" t="n">
        <v>26.2</v>
      </c>
      <c r="F9" s="7" t="n">
        <v>29.6</v>
      </c>
      <c r="G9" s="7" t="n">
        <v>32.8</v>
      </c>
      <c r="H9" s="7" t="n">
        <v>35.8</v>
      </c>
      <c r="I9" s="7" t="n">
        <v>42.2</v>
      </c>
      <c r="J9" s="7" t="n">
        <v>53.4</v>
      </c>
      <c r="K9" s="7" t="n">
        <v>73.59999999999999</v>
      </c>
      <c r="M9" s="6" t="inlineStr">
        <is>
          <t>1h</t>
        </is>
      </c>
      <c r="N9" s="6" t="n">
        <v>19.5</v>
      </c>
      <c r="O9" s="6" t="n">
        <v>30.7</v>
      </c>
      <c r="P9" s="6" t="n">
        <v>38.6</v>
      </c>
      <c r="Q9" s="6" t="n">
        <v>49.2</v>
      </c>
      <c r="R9" s="6" t="n">
        <v>57.5</v>
      </c>
      <c r="S9" s="6" t="n">
        <v>66.2</v>
      </c>
      <c r="T9" s="6" t="n">
        <v>75.3</v>
      </c>
      <c r="U9" s="6" t="n">
        <v>88</v>
      </c>
      <c r="V9" s="6" t="n">
        <v>98.09999999999999</v>
      </c>
      <c r="W9" s="6" t="n">
        <v>108.7</v>
      </c>
      <c r="X9" s="6" t="n">
        <v>123.6</v>
      </c>
      <c r="Y9" s="6" t="n">
        <v>135.5</v>
      </c>
    </row>
    <row r="10">
      <c r="A10" s="6" t="n">
        <v>1998</v>
      </c>
      <c r="B10" s="7" t="n">
        <v>12.2</v>
      </c>
      <c r="C10" s="7" t="n">
        <v>22.6</v>
      </c>
      <c r="D10" s="7" t="n">
        <v>27</v>
      </c>
      <c r="E10" s="7" t="n">
        <v>30.2</v>
      </c>
      <c r="F10" s="7" t="n">
        <v>34.6</v>
      </c>
      <c r="G10" s="7" t="n">
        <v>34.6</v>
      </c>
      <c r="H10" s="7" t="n">
        <v>34.7</v>
      </c>
      <c r="I10" s="7" t="n">
        <v>36.6</v>
      </c>
      <c r="J10" s="7" t="n">
        <v>37</v>
      </c>
      <c r="K10" s="7" t="n">
        <v>37.2</v>
      </c>
      <c r="M10" s="6" t="inlineStr">
        <is>
          <t>2h</t>
        </is>
      </c>
      <c r="N10" s="6" t="n">
        <v>23</v>
      </c>
      <c r="O10" s="6" t="n">
        <v>36.6</v>
      </c>
      <c r="P10" s="6" t="n">
        <v>46.4</v>
      </c>
      <c r="Q10" s="6" t="n">
        <v>60</v>
      </c>
      <c r="R10" s="6" t="n">
        <v>71</v>
      </c>
      <c r="S10" s="6" t="n">
        <v>82.59999999999999</v>
      </c>
      <c r="T10" s="6" t="n">
        <v>95</v>
      </c>
      <c r="U10" s="6" t="n">
        <v>112.8</v>
      </c>
      <c r="V10" s="6" t="n">
        <v>127.3</v>
      </c>
      <c r="W10" s="6" t="n">
        <v>142.9</v>
      </c>
      <c r="X10" s="6" t="n">
        <v>165.1</v>
      </c>
      <c r="Y10" s="6" t="n">
        <v>183.4</v>
      </c>
    </row>
    <row r="11">
      <c r="A11" s="6" t="n">
        <v>1999</v>
      </c>
      <c r="B11" s="7" t="n">
        <v>8</v>
      </c>
      <c r="C11" s="7" t="n">
        <v>9.4</v>
      </c>
      <c r="D11" s="7" t="n">
        <v>11.8</v>
      </c>
      <c r="E11" s="7" t="n">
        <v>15</v>
      </c>
      <c r="F11" s="7" t="n">
        <v>19.6</v>
      </c>
      <c r="G11" s="7" t="n">
        <v>24.7</v>
      </c>
      <c r="H11" s="7" t="n">
        <v>26.8</v>
      </c>
      <c r="I11" s="7" t="n">
        <v>30.3</v>
      </c>
      <c r="J11" s="7" t="n">
        <v>48</v>
      </c>
      <c r="K11" s="7" t="n">
        <v>48.1</v>
      </c>
      <c r="M11" s="6" t="inlineStr">
        <is>
          <t>3h</t>
        </is>
      </c>
      <c r="N11" s="6" t="n">
        <v>24.8</v>
      </c>
      <c r="O11" s="6" t="n">
        <v>39.8</v>
      </c>
      <c r="P11" s="6" t="n">
        <v>50.9</v>
      </c>
      <c r="Q11" s="6" t="n">
        <v>66.2</v>
      </c>
      <c r="R11" s="6" t="n">
        <v>78.7</v>
      </c>
      <c r="S11" s="6" t="n">
        <v>92.09999999999999</v>
      </c>
      <c r="T11" s="6" t="n">
        <v>106.6</v>
      </c>
      <c r="U11" s="6" t="n">
        <v>127.4</v>
      </c>
      <c r="V11" s="6" t="n">
        <v>144.7</v>
      </c>
      <c r="W11" s="6" t="n">
        <v>163.3</v>
      </c>
      <c r="X11" s="6" t="n">
        <v>190.2</v>
      </c>
      <c r="Y11" s="6" t="n">
        <v>212.5</v>
      </c>
    </row>
    <row r="12">
      <c r="A12" s="6" t="n">
        <v>2000</v>
      </c>
      <c r="B12" s="7" t="n">
        <v>3.2</v>
      </c>
      <c r="C12" s="7" t="n">
        <v>5.8</v>
      </c>
      <c r="D12" s="7" t="n">
        <v>6.4</v>
      </c>
      <c r="E12" s="7" t="n">
        <v>9</v>
      </c>
      <c r="F12" s="7" t="n">
        <v>12.2</v>
      </c>
      <c r="G12" s="7" t="n">
        <v>13</v>
      </c>
      <c r="H12" s="7" t="n">
        <v>13.2</v>
      </c>
      <c r="I12" s="7" t="n">
        <v>13.3</v>
      </c>
      <c r="J12" s="7" t="n">
        <v>13.4</v>
      </c>
      <c r="K12" s="7" t="n">
        <v>21.1</v>
      </c>
      <c r="M12" s="6" t="inlineStr">
        <is>
          <t>6h</t>
        </is>
      </c>
      <c r="N12" s="6" t="n">
        <v>28</v>
      </c>
      <c r="O12" s="6" t="n">
        <v>46.3</v>
      </c>
      <c r="P12" s="6" t="n">
        <v>60.1</v>
      </c>
      <c r="Q12" s="6" t="n">
        <v>79.59999999999999</v>
      </c>
      <c r="R12" s="6" t="n">
        <v>95.90000000000001</v>
      </c>
      <c r="S12" s="6" t="n">
        <v>113.6</v>
      </c>
      <c r="T12" s="6" t="n">
        <v>133</v>
      </c>
      <c r="U12" s="6" t="n">
        <v>161.6</v>
      </c>
      <c r="V12" s="6" t="n">
        <v>185.7</v>
      </c>
      <c r="W12" s="6" t="n">
        <v>212.2</v>
      </c>
      <c r="X12" s="6" t="n">
        <v>251.3</v>
      </c>
      <c r="Y12" s="6" t="n">
        <v>284.3</v>
      </c>
    </row>
    <row r="13">
      <c r="A13" s="6" t="n">
        <v>2001</v>
      </c>
      <c r="B13" s="7" t="n">
        <v>7.2</v>
      </c>
      <c r="C13" s="7" t="n">
        <v>13.6</v>
      </c>
      <c r="D13" s="7" t="n">
        <v>19</v>
      </c>
      <c r="E13" s="7" t="n">
        <v>32.4</v>
      </c>
      <c r="F13" s="7" t="n">
        <v>35.8</v>
      </c>
      <c r="G13" s="7" t="n">
        <v>37.3</v>
      </c>
      <c r="H13" s="7" t="n">
        <v>38</v>
      </c>
      <c r="I13" s="7" t="n">
        <v>38.4</v>
      </c>
      <c r="J13" s="7" t="n">
        <v>38.5</v>
      </c>
      <c r="K13" s="7" t="n">
        <v>64.5</v>
      </c>
      <c r="M13" s="6" t="inlineStr">
        <is>
          <t>12h</t>
        </is>
      </c>
      <c r="N13" s="6" t="n">
        <v>30.9</v>
      </c>
      <c r="O13" s="6" t="n">
        <v>53.9</v>
      </c>
      <c r="P13" s="6" t="n">
        <v>72.5</v>
      </c>
      <c r="Q13" s="6" t="n">
        <v>100.5</v>
      </c>
      <c r="R13" s="6" t="n">
        <v>125.3</v>
      </c>
      <c r="S13" s="6" t="n">
        <v>153.7</v>
      </c>
      <c r="T13" s="6" t="n">
        <v>186.5</v>
      </c>
      <c r="U13" s="6" t="n">
        <v>237.8</v>
      </c>
      <c r="V13" s="6" t="n">
        <v>283.7</v>
      </c>
      <c r="W13" s="6" t="n">
        <v>336.8</v>
      </c>
      <c r="X13" s="6" t="n">
        <v>420</v>
      </c>
      <c r="Y13" s="6" t="n">
        <v>494.4</v>
      </c>
    </row>
    <row r="14">
      <c r="A14" s="6" t="n">
        <v>2002</v>
      </c>
      <c r="B14" s="7" t="n">
        <v>4.4</v>
      </c>
      <c r="C14" s="7" t="n">
        <v>7</v>
      </c>
      <c r="D14" s="7" t="n">
        <v>9.4</v>
      </c>
      <c r="E14" s="7" t="n">
        <v>14.9</v>
      </c>
      <c r="F14" s="7" t="n">
        <v>16.2</v>
      </c>
      <c r="G14" s="7" t="n">
        <v>16.2</v>
      </c>
      <c r="H14" s="7" t="n">
        <v>16.2</v>
      </c>
      <c r="I14" s="7" t="n">
        <v>16.3</v>
      </c>
      <c r="J14" s="7" t="n">
        <v>16.4</v>
      </c>
      <c r="K14" s="7" t="n">
        <v>16.6</v>
      </c>
      <c r="M14" s="6" t="inlineStr">
        <is>
          <t>24h</t>
        </is>
      </c>
      <c r="N14" s="6" t="n">
        <v>35.7</v>
      </c>
      <c r="O14" s="6" t="n">
        <v>63</v>
      </c>
      <c r="P14" s="6" t="n">
        <v>84.59999999999999</v>
      </c>
      <c r="Q14" s="6" t="n">
        <v>116.7</v>
      </c>
      <c r="R14" s="6" t="n">
        <v>144.5</v>
      </c>
      <c r="S14" s="6" t="n">
        <v>176.1</v>
      </c>
      <c r="T14" s="6" t="n">
        <v>211.9</v>
      </c>
      <c r="U14" s="6" t="n">
        <v>267.1</v>
      </c>
      <c r="V14" s="6" t="n">
        <v>315.6</v>
      </c>
      <c r="W14" s="6" t="n">
        <v>370.9</v>
      </c>
      <c r="X14" s="6" t="n">
        <v>456.1</v>
      </c>
      <c r="Y14" s="6" t="n">
        <v>531.1</v>
      </c>
    </row>
    <row r="15">
      <c r="A15" s="6" t="n">
        <v>2003</v>
      </c>
      <c r="B15" s="7" t="n">
        <v>4</v>
      </c>
      <c r="C15" s="7" t="n">
        <v>6.2</v>
      </c>
      <c r="D15" s="7" t="n">
        <v>8</v>
      </c>
      <c r="E15" s="7" t="n">
        <v>11</v>
      </c>
      <c r="F15" s="7" t="n">
        <v>11.2</v>
      </c>
      <c r="G15" s="7" t="n">
        <v>14.1</v>
      </c>
      <c r="H15" s="7" t="n">
        <v>15.2</v>
      </c>
      <c r="I15" s="7" t="n">
        <v>17</v>
      </c>
      <c r="J15" s="7" t="n">
        <v>17.1</v>
      </c>
      <c r="K15" s="7" t="n">
        <v>18.2</v>
      </c>
    </row>
    <row r="16">
      <c r="A16" s="6" t="n">
        <v>2004</v>
      </c>
      <c r="B16" s="7" t="n">
        <v>7</v>
      </c>
      <c r="C16" s="7" t="n">
        <v>12.8</v>
      </c>
      <c r="D16" s="7" t="n">
        <v>17</v>
      </c>
      <c r="E16" s="7" t="n">
        <v>18.7</v>
      </c>
      <c r="F16" s="7" t="n">
        <v>18.8</v>
      </c>
      <c r="G16" s="7" t="n">
        <v>18.8</v>
      </c>
      <c r="H16" s="7" t="n">
        <v>18.8</v>
      </c>
      <c r="I16" s="7" t="n">
        <v>18.8</v>
      </c>
      <c r="J16" s="7" t="n">
        <v>18.9</v>
      </c>
      <c r="K16" s="7" t="n">
        <v>19</v>
      </c>
      <c r="M16" s="3" t="inlineStr">
        <is>
          <t>IDF - intensity (mm/hr) [x=duration(min)]</t>
        </is>
      </c>
    </row>
    <row r="17">
      <c r="A17" s="6" t="n">
        <v>2005</v>
      </c>
      <c r="B17" s="7" t="n">
        <v>14.6</v>
      </c>
      <c r="C17" s="7" t="n">
        <v>29.3</v>
      </c>
      <c r="D17" s="7" t="n">
        <v>43.9</v>
      </c>
      <c r="E17" s="7" t="n">
        <v>58.8</v>
      </c>
      <c r="F17" s="7" t="n">
        <v>59.4</v>
      </c>
      <c r="G17" s="7" t="n">
        <v>59.5</v>
      </c>
      <c r="H17" s="7" t="n">
        <v>59.6</v>
      </c>
      <c r="I17" s="7" t="n">
        <v>60.3</v>
      </c>
      <c r="J17" s="7" t="n">
        <v>79.40000000000001</v>
      </c>
      <c r="K17" s="7" t="n">
        <v>79.5</v>
      </c>
      <c r="M17" t="inlineStr">
        <is>
          <t>Duration(min)</t>
        </is>
      </c>
      <c r="N17" t="inlineStr">
        <is>
          <t>2 yr</t>
        </is>
      </c>
      <c r="O17" t="inlineStr">
        <is>
          <t>5 yr</t>
        </is>
      </c>
      <c r="P17" t="inlineStr">
        <is>
          <t>10 yr</t>
        </is>
      </c>
      <c r="Q17" t="inlineStr">
        <is>
          <t>25 yr</t>
        </is>
      </c>
      <c r="R17" t="inlineStr">
        <is>
          <t>50 yr</t>
        </is>
      </c>
      <c r="S17" t="inlineStr">
        <is>
          <t>100 yr</t>
        </is>
      </c>
      <c r="T17" t="inlineStr">
        <is>
          <t>200 yr</t>
        </is>
      </c>
      <c r="U17" t="inlineStr">
        <is>
          <t>500 yr</t>
        </is>
      </c>
      <c r="V17" t="inlineStr">
        <is>
          <t>1000 yr</t>
        </is>
      </c>
      <c r="W17" t="inlineStr">
        <is>
          <t>2000 yr</t>
        </is>
      </c>
      <c r="X17" t="inlineStr">
        <is>
          <t>5000 yr</t>
        </is>
      </c>
      <c r="Y17" t="inlineStr">
        <is>
          <t>10000 yr</t>
        </is>
      </c>
    </row>
    <row r="18">
      <c r="A18" s="6" t="n">
        <v>2006</v>
      </c>
      <c r="B18" s="7" t="n"/>
      <c r="C18" s="7" t="n"/>
      <c r="D18" s="7" t="n"/>
      <c r="E18" s="7" t="n"/>
      <c r="F18" s="7" t="n">
        <v>0.6</v>
      </c>
      <c r="G18" s="7" t="n">
        <v>0.8</v>
      </c>
      <c r="H18" s="7" t="n">
        <v>0.8</v>
      </c>
      <c r="I18" s="7" t="n">
        <v>0.8</v>
      </c>
      <c r="J18" s="7" t="n">
        <v>0.9</v>
      </c>
      <c r="K18" s="7" t="n">
        <v>1</v>
      </c>
      <c r="M18" t="n">
        <v>5</v>
      </c>
      <c r="N18" t="n">
        <v>67.5</v>
      </c>
      <c r="O18" t="n">
        <v>99.8</v>
      </c>
      <c r="P18" t="n">
        <v>119.4</v>
      </c>
      <c r="Q18" t="n">
        <v>142.2</v>
      </c>
      <c r="R18" t="n">
        <v>157.9</v>
      </c>
      <c r="S18" t="n">
        <v>172.4</v>
      </c>
      <c r="T18" t="n">
        <v>186</v>
      </c>
      <c r="U18" t="n">
        <v>202.6</v>
      </c>
      <c r="V18" t="n">
        <v>214.3</v>
      </c>
      <c r="W18" t="n">
        <v>225.2</v>
      </c>
      <c r="X18" t="n">
        <v>238.5</v>
      </c>
      <c r="Y18" t="n">
        <v>247.9</v>
      </c>
    </row>
    <row r="19">
      <c r="A19" s="6" t="n">
        <v>2007</v>
      </c>
      <c r="B19" s="7" t="n">
        <v>0.6</v>
      </c>
      <c r="C19" s="7" t="n">
        <v>0.6</v>
      </c>
      <c r="D19" s="7" t="n">
        <v>0.6</v>
      </c>
      <c r="E19" s="7" t="n">
        <v>0.7</v>
      </c>
      <c r="F19" s="7" t="n">
        <v>0.7</v>
      </c>
      <c r="G19" s="7" t="n">
        <v>0.8</v>
      </c>
      <c r="H19" s="7" t="n">
        <v>0.9</v>
      </c>
      <c r="I19" s="7" t="n">
        <v>1.3</v>
      </c>
      <c r="J19" s="7" t="n">
        <v>2</v>
      </c>
      <c r="K19" s="7" t="n">
        <v>3.4</v>
      </c>
      <c r="M19" t="n">
        <v>10</v>
      </c>
      <c r="N19" t="n">
        <v>55.6</v>
      </c>
      <c r="O19" t="n">
        <v>82.40000000000001</v>
      </c>
      <c r="P19" t="n">
        <v>98.7</v>
      </c>
      <c r="Q19" t="n">
        <v>118</v>
      </c>
      <c r="R19" t="n">
        <v>131.4</v>
      </c>
      <c r="S19" t="n">
        <v>143.9</v>
      </c>
      <c r="T19" t="n">
        <v>155.7</v>
      </c>
      <c r="U19" t="n">
        <v>170.3</v>
      </c>
      <c r="V19" t="n">
        <v>180.6</v>
      </c>
      <c r="W19" t="n">
        <v>190.3</v>
      </c>
      <c r="X19" t="n">
        <v>202.3</v>
      </c>
      <c r="Y19" t="n">
        <v>210.7</v>
      </c>
    </row>
    <row r="20">
      <c r="A20" s="6" t="n">
        <v>2008</v>
      </c>
      <c r="B20" s="7" t="n">
        <v>4.2</v>
      </c>
      <c r="C20" s="7" t="n">
        <v>6</v>
      </c>
      <c r="D20" s="7" t="n">
        <v>7.6</v>
      </c>
      <c r="E20" s="7" t="n">
        <v>10.4</v>
      </c>
      <c r="F20" s="7" t="n">
        <v>10.4</v>
      </c>
      <c r="G20" s="7" t="n">
        <v>10.4</v>
      </c>
      <c r="H20" s="7" t="n">
        <v>10.4</v>
      </c>
      <c r="I20" s="7" t="n">
        <v>10.5</v>
      </c>
      <c r="J20" s="7" t="n">
        <v>10.6</v>
      </c>
      <c r="K20" s="7" t="n">
        <v>10.8</v>
      </c>
      <c r="M20" t="n">
        <v>15</v>
      </c>
      <c r="N20" t="n">
        <v>46.5</v>
      </c>
      <c r="O20" t="n">
        <v>70.3</v>
      </c>
      <c r="P20" t="n">
        <v>85.59999999999999</v>
      </c>
      <c r="Q20" t="n">
        <v>104.2</v>
      </c>
      <c r="R20" t="n">
        <v>117.7</v>
      </c>
      <c r="S20" t="n">
        <v>130.7</v>
      </c>
      <c r="T20" t="n">
        <v>143.3</v>
      </c>
      <c r="U20" t="n">
        <v>159.5</v>
      </c>
      <c r="V20" t="n">
        <v>171.4</v>
      </c>
      <c r="W20" t="n">
        <v>183</v>
      </c>
      <c r="X20" t="n">
        <v>197.8</v>
      </c>
      <c r="Y20" t="n">
        <v>208.8</v>
      </c>
    </row>
    <row r="21">
      <c r="A21" s="6" t="n">
        <v>2009</v>
      </c>
      <c r="B21" s="7" t="n">
        <v>3.8</v>
      </c>
      <c r="C21" s="7" t="n">
        <v>5.6</v>
      </c>
      <c r="D21" s="7" t="n">
        <v>6.2</v>
      </c>
      <c r="E21" s="7" t="n">
        <v>7.8</v>
      </c>
      <c r="F21" s="7" t="n">
        <v>9</v>
      </c>
      <c r="G21" s="7" t="n">
        <v>14.2</v>
      </c>
      <c r="H21" s="7" t="n">
        <v>14.3</v>
      </c>
      <c r="I21" s="7" t="n">
        <v>14.5</v>
      </c>
      <c r="J21" s="7" t="n">
        <v>18.8</v>
      </c>
      <c r="K21" s="7" t="n">
        <v>22.7</v>
      </c>
      <c r="M21" t="n">
        <v>30</v>
      </c>
      <c r="N21" t="n">
        <v>31.6</v>
      </c>
      <c r="O21" t="n">
        <v>49</v>
      </c>
      <c r="P21" t="n">
        <v>60.8</v>
      </c>
      <c r="Q21" t="n">
        <v>76</v>
      </c>
      <c r="R21" t="n">
        <v>87.5</v>
      </c>
      <c r="S21" t="n">
        <v>99.09999999999999</v>
      </c>
      <c r="T21" t="n">
        <v>110.8</v>
      </c>
      <c r="U21" t="n">
        <v>126.6</v>
      </c>
      <c r="V21" t="n">
        <v>138.8</v>
      </c>
      <c r="W21" t="n">
        <v>151.2</v>
      </c>
      <c r="X21" t="n">
        <v>167.9</v>
      </c>
      <c r="Y21" t="n">
        <v>180.8</v>
      </c>
    </row>
    <row r="22">
      <c r="A22" s="6" t="n">
        <v>2010</v>
      </c>
      <c r="B22" s="7" t="n">
        <v>9.800000000000001</v>
      </c>
      <c r="C22" s="7" t="n">
        <v>17.2</v>
      </c>
      <c r="D22" s="7" t="n">
        <v>23.8</v>
      </c>
      <c r="E22" s="7" t="n">
        <v>37.8</v>
      </c>
      <c r="F22" s="7" t="n">
        <v>65.40000000000001</v>
      </c>
      <c r="G22" s="7" t="n">
        <v>79.40000000000001</v>
      </c>
      <c r="H22" s="7" t="n">
        <v>79.8</v>
      </c>
      <c r="I22" s="7" t="n">
        <v>81.90000000000001</v>
      </c>
      <c r="J22" s="7" t="n">
        <v>86.2</v>
      </c>
      <c r="K22" s="7" t="n">
        <v>86.5</v>
      </c>
      <c r="M22" t="n">
        <v>60</v>
      </c>
      <c r="N22" t="n">
        <v>19.5</v>
      </c>
      <c r="O22" t="n">
        <v>30.7</v>
      </c>
      <c r="P22" t="n">
        <v>38.6</v>
      </c>
      <c r="Q22" t="n">
        <v>49.2</v>
      </c>
      <c r="R22" t="n">
        <v>57.5</v>
      </c>
      <c r="S22" t="n">
        <v>66.2</v>
      </c>
      <c r="T22" t="n">
        <v>75.3</v>
      </c>
      <c r="U22" t="n">
        <v>88</v>
      </c>
      <c r="V22" t="n">
        <v>98.09999999999999</v>
      </c>
      <c r="W22" t="n">
        <v>108.7</v>
      </c>
      <c r="X22" t="n">
        <v>123.6</v>
      </c>
      <c r="Y22" t="n">
        <v>135.5</v>
      </c>
    </row>
    <row r="23">
      <c r="A23" s="6" t="n">
        <v>2011</v>
      </c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  <c r="M23" t="n">
        <v>120</v>
      </c>
      <c r="N23" t="n">
        <v>11.5</v>
      </c>
      <c r="O23" t="n">
        <v>18.3</v>
      </c>
      <c r="P23" t="n">
        <v>23.2</v>
      </c>
      <c r="Q23" t="n">
        <v>30</v>
      </c>
      <c r="R23" t="n">
        <v>35.5</v>
      </c>
      <c r="S23" t="n">
        <v>41.3</v>
      </c>
      <c r="T23" t="n">
        <v>47.5</v>
      </c>
      <c r="U23" t="n">
        <v>56.4</v>
      </c>
      <c r="V23" t="n">
        <v>63.6</v>
      </c>
      <c r="W23" t="n">
        <v>71.40000000000001</v>
      </c>
      <c r="X23" t="n">
        <v>82.59999999999999</v>
      </c>
      <c r="Y23" t="n">
        <v>91.7</v>
      </c>
    </row>
    <row r="24">
      <c r="A24" s="6" t="n">
        <v>2012</v>
      </c>
      <c r="B24" s="7" t="n"/>
      <c r="C24" s="7" t="n"/>
      <c r="D24" s="7" t="n"/>
      <c r="E24" s="7" t="n"/>
      <c r="F24" s="7" t="n"/>
      <c r="G24" s="7" t="n"/>
      <c r="H24" s="7" t="n"/>
      <c r="I24" s="7" t="n"/>
      <c r="J24" s="7" t="n"/>
      <c r="K24" s="7" t="n"/>
      <c r="M24" t="n">
        <v>180</v>
      </c>
      <c r="N24" t="n">
        <v>8.300000000000001</v>
      </c>
      <c r="O24" t="n">
        <v>13.3</v>
      </c>
      <c r="P24" t="n">
        <v>17</v>
      </c>
      <c r="Q24" t="n">
        <v>22.1</v>
      </c>
      <c r="R24" t="n">
        <v>26.2</v>
      </c>
      <c r="S24" t="n">
        <v>30.7</v>
      </c>
      <c r="T24" t="n">
        <v>35.5</v>
      </c>
      <c r="U24" t="n">
        <v>42.5</v>
      </c>
      <c r="V24" t="n">
        <v>48.2</v>
      </c>
      <c r="W24" t="n">
        <v>54.4</v>
      </c>
      <c r="X24" t="n">
        <v>63.4</v>
      </c>
      <c r="Y24" t="n">
        <v>70.8</v>
      </c>
    </row>
    <row r="25">
      <c r="A25" s="6" t="n">
        <v>2013</v>
      </c>
      <c r="B25" s="7" t="n">
        <v>0.8</v>
      </c>
      <c r="C25" s="7" t="n">
        <v>1.2</v>
      </c>
      <c r="D25" s="7" t="n">
        <v>1.6</v>
      </c>
      <c r="E25" s="7" t="n">
        <v>2.3</v>
      </c>
      <c r="F25" s="7" t="n">
        <v>4</v>
      </c>
      <c r="G25" s="7" t="n">
        <v>7.5</v>
      </c>
      <c r="H25" s="7" t="n">
        <v>9.1</v>
      </c>
      <c r="I25" s="7" t="n">
        <v>9.5</v>
      </c>
      <c r="J25" s="7" t="n">
        <v>9.5</v>
      </c>
      <c r="K25" s="7" t="n">
        <v>9.6</v>
      </c>
      <c r="M25" t="n">
        <v>360</v>
      </c>
      <c r="N25" t="n">
        <v>4.7</v>
      </c>
      <c r="O25" t="n">
        <v>7.7</v>
      </c>
      <c r="P25" t="n">
        <v>10</v>
      </c>
      <c r="Q25" t="n">
        <v>13.3</v>
      </c>
      <c r="R25" t="n">
        <v>16</v>
      </c>
      <c r="S25" t="n">
        <v>18.9</v>
      </c>
      <c r="T25" t="n">
        <v>22.2</v>
      </c>
      <c r="U25" t="n">
        <v>26.9</v>
      </c>
      <c r="V25" t="n">
        <v>31</v>
      </c>
      <c r="W25" t="n">
        <v>35.4</v>
      </c>
      <c r="X25" t="n">
        <v>41.9</v>
      </c>
      <c r="Y25" t="n">
        <v>47.4</v>
      </c>
    </row>
    <row r="26">
      <c r="A26" s="6" t="n">
        <v>2014</v>
      </c>
      <c r="B26" s="7" t="n"/>
      <c r="C26" s="7" t="n"/>
      <c r="D26" s="7" t="n"/>
      <c r="E26" s="7" t="n"/>
      <c r="F26" s="7" t="n"/>
      <c r="G26" s="7" t="n"/>
      <c r="H26" s="7" t="n"/>
      <c r="I26" s="7" t="n"/>
      <c r="J26" s="7" t="n"/>
      <c r="K26" s="7" t="n"/>
      <c r="M26" t="n">
        <v>720</v>
      </c>
      <c r="N26" t="n">
        <v>2.6</v>
      </c>
      <c r="O26" t="n">
        <v>4.5</v>
      </c>
      <c r="P26" t="n">
        <v>6</v>
      </c>
      <c r="Q26" t="n">
        <v>8.4</v>
      </c>
      <c r="R26" t="n">
        <v>10.4</v>
      </c>
      <c r="S26" t="n">
        <v>12.8</v>
      </c>
      <c r="T26" t="n">
        <v>15.5</v>
      </c>
      <c r="U26" t="n">
        <v>19.8</v>
      </c>
      <c r="V26" t="n">
        <v>23.6</v>
      </c>
      <c r="W26" t="n">
        <v>28.1</v>
      </c>
      <c r="X26" t="n">
        <v>35</v>
      </c>
      <c r="Y26" t="n">
        <v>41.2</v>
      </c>
    </row>
    <row r="27">
      <c r="A27" s="6" t="n">
        <v>2015</v>
      </c>
      <c r="B27" s="7" t="n"/>
      <c r="C27" s="7" t="n"/>
      <c r="D27" s="7" t="n"/>
      <c r="E27" s="7" t="n"/>
      <c r="F27" s="7" t="n">
        <v>13.4</v>
      </c>
      <c r="G27" s="7" t="n">
        <v>16.1</v>
      </c>
      <c r="H27" s="7" t="n">
        <v>16.1</v>
      </c>
      <c r="I27" s="7" t="n">
        <v>17.8</v>
      </c>
      <c r="J27" s="7" t="n">
        <v>22.8</v>
      </c>
      <c r="K27" s="7" t="n">
        <v>26</v>
      </c>
      <c r="M27" t="n">
        <v>1440</v>
      </c>
      <c r="N27" t="n">
        <v>1.5</v>
      </c>
      <c r="O27" t="n">
        <v>2.6</v>
      </c>
      <c r="P27" t="n">
        <v>3.5</v>
      </c>
      <c r="Q27" t="n">
        <v>4.9</v>
      </c>
      <c r="R27" t="n">
        <v>6</v>
      </c>
      <c r="S27" t="n">
        <v>7.3</v>
      </c>
      <c r="T27" t="n">
        <v>8.800000000000001</v>
      </c>
      <c r="U27" t="n">
        <v>11.1</v>
      </c>
      <c r="V27" t="n">
        <v>13.1</v>
      </c>
      <c r="W27" t="n">
        <v>15.5</v>
      </c>
      <c r="X27" t="n">
        <v>19</v>
      </c>
      <c r="Y27" t="n">
        <v>22.1</v>
      </c>
    </row>
    <row r="28">
      <c r="A28" s="6" t="n">
        <v>2016</v>
      </c>
      <c r="B28" s="7" t="n"/>
      <c r="C28" s="7" t="n"/>
      <c r="D28" s="7" t="n"/>
      <c r="E28" s="7" t="n"/>
      <c r="F28" s="7" t="n">
        <v>25.6</v>
      </c>
      <c r="G28" s="7" t="n">
        <v>26.4</v>
      </c>
      <c r="H28" s="7" t="n">
        <v>29.9</v>
      </c>
      <c r="I28" s="7" t="n">
        <v>33</v>
      </c>
      <c r="J28" s="7" t="n">
        <v>38.9</v>
      </c>
      <c r="K28" s="7" t="n">
        <v>39.1</v>
      </c>
    </row>
    <row r="29">
      <c r="A29" s="6" t="n">
        <v>2017</v>
      </c>
      <c r="B29" s="7" t="n"/>
      <c r="C29" s="7" t="n"/>
      <c r="D29" s="7" t="n"/>
      <c r="E29" s="7" t="n"/>
      <c r="F29" s="7" t="n">
        <v>15.9</v>
      </c>
      <c r="G29" s="7" t="n">
        <v>18</v>
      </c>
      <c r="H29" s="7" t="n">
        <v>18</v>
      </c>
      <c r="I29" s="7" t="n">
        <v>18</v>
      </c>
      <c r="J29" s="7" t="n">
        <v>18</v>
      </c>
      <c r="K29" s="7" t="n">
        <v>18</v>
      </c>
    </row>
    <row r="30">
      <c r="A30" s="6" t="n">
        <v>2018</v>
      </c>
      <c r="B30" s="7" t="n"/>
      <c r="C30" s="7" t="n"/>
      <c r="D30" s="7" t="n"/>
      <c r="E30" s="7" t="n"/>
      <c r="F30" s="7" t="n">
        <v>6.7</v>
      </c>
      <c r="G30" s="7" t="n">
        <v>9.199999999999999</v>
      </c>
      <c r="H30" s="7" t="n">
        <v>10.5</v>
      </c>
      <c r="I30" s="7" t="n">
        <v>10.6</v>
      </c>
      <c r="J30" s="7" t="n">
        <v>10.6</v>
      </c>
      <c r="K30" s="7" t="n">
        <v>11.2</v>
      </c>
    </row>
    <row r="31">
      <c r="A31" s="6" t="n">
        <v>2019</v>
      </c>
      <c r="B31" s="7" t="n"/>
      <c r="C31" s="7" t="n"/>
      <c r="D31" s="7" t="n"/>
      <c r="E31" s="7" t="n"/>
      <c r="F31" s="7" t="n">
        <v>17.6</v>
      </c>
      <c r="G31" s="7" t="n">
        <v>19.3</v>
      </c>
      <c r="H31" s="7" t="n">
        <v>19.5</v>
      </c>
      <c r="I31" s="7" t="n">
        <v>24.1</v>
      </c>
      <c r="J31" s="7" t="n">
        <v>24.2</v>
      </c>
      <c r="K31" s="7" t="n">
        <v>32.9</v>
      </c>
    </row>
    <row r="32">
      <c r="A32" s="6" t="n">
        <v>2020</v>
      </c>
      <c r="B32" s="7" t="n"/>
      <c r="C32" s="7" t="n"/>
      <c r="D32" s="7" t="n"/>
      <c r="E32" s="7" t="n"/>
      <c r="F32" s="7" t="n">
        <v>32.2</v>
      </c>
      <c r="G32" s="7" t="n">
        <v>43.5</v>
      </c>
      <c r="H32" s="7" t="n">
        <v>43.5</v>
      </c>
      <c r="I32" s="7" t="n">
        <v>43.5</v>
      </c>
      <c r="J32" s="7" t="n">
        <v>43.5</v>
      </c>
      <c r="K32" s="7" t="n">
        <v>43.5</v>
      </c>
    </row>
    <row r="35">
      <c r="A35" s="2" t="inlineStr">
        <is>
          <t>AMS AFTER gap filling (mm)  -  yellow = added or changed by gap filling</t>
        </is>
      </c>
    </row>
    <row r="36">
      <c r="A36" s="4" t="inlineStr">
        <is>
          <t>Water year</t>
        </is>
      </c>
      <c r="B36" s="5" t="inlineStr">
        <is>
          <t>5min</t>
        </is>
      </c>
      <c r="C36" s="5" t="inlineStr">
        <is>
          <t>10min</t>
        </is>
      </c>
      <c r="D36" s="5" t="inlineStr">
        <is>
          <t>15min</t>
        </is>
      </c>
      <c r="E36" s="5" t="inlineStr">
        <is>
          <t>30min</t>
        </is>
      </c>
      <c r="F36" s="5" t="inlineStr">
        <is>
          <t>1h</t>
        </is>
      </c>
      <c r="G36" s="5" t="inlineStr">
        <is>
          <t>2h</t>
        </is>
      </c>
      <c r="H36" s="5" t="inlineStr">
        <is>
          <t>3h</t>
        </is>
      </c>
      <c r="I36" s="5" t="inlineStr">
        <is>
          <t>6h</t>
        </is>
      </c>
      <c r="J36" s="5" t="inlineStr">
        <is>
          <t>12h</t>
        </is>
      </c>
      <c r="K36" s="5" t="inlineStr">
        <is>
          <t>24h</t>
        </is>
      </c>
    </row>
    <row r="37">
      <c r="A37" s="6" t="n">
        <v>1993</v>
      </c>
      <c r="B37" s="7" t="n">
        <v>3.2</v>
      </c>
      <c r="C37" s="7" t="n">
        <v>6</v>
      </c>
      <c r="D37" s="7" t="n">
        <v>7.6</v>
      </c>
      <c r="E37" s="7" t="n">
        <v>9.4</v>
      </c>
      <c r="F37" s="7" t="n">
        <v>10.8</v>
      </c>
      <c r="G37" s="7" t="n">
        <v>11</v>
      </c>
      <c r="H37" s="7" t="n">
        <v>11.1</v>
      </c>
      <c r="I37" s="7" t="n">
        <v>11.2</v>
      </c>
      <c r="J37" s="7" t="n">
        <v>11.3</v>
      </c>
      <c r="K37" s="7" t="n">
        <v>12.4</v>
      </c>
    </row>
    <row r="38">
      <c r="A38" s="6" t="n">
        <v>1994</v>
      </c>
      <c r="B38" s="7" t="n">
        <v>5.6</v>
      </c>
      <c r="C38" s="7" t="n">
        <v>10</v>
      </c>
      <c r="D38" s="7" t="n">
        <v>14.2</v>
      </c>
      <c r="E38" s="7" t="n">
        <v>25.2</v>
      </c>
      <c r="F38" s="7" t="n">
        <v>38.6</v>
      </c>
      <c r="G38" s="7" t="n">
        <v>62.7</v>
      </c>
      <c r="H38" s="7" t="n">
        <v>64.2</v>
      </c>
      <c r="I38" s="7" t="n">
        <v>64.3</v>
      </c>
      <c r="J38" s="7" t="n">
        <v>64.5</v>
      </c>
      <c r="K38" s="7" t="n">
        <v>64.90000000000001</v>
      </c>
    </row>
    <row r="39">
      <c r="A39" s="6" t="n">
        <v>1995</v>
      </c>
      <c r="B39" s="7" t="n">
        <v>8.199999999999999</v>
      </c>
      <c r="C39" s="7" t="n">
        <v>14</v>
      </c>
      <c r="D39" s="7" t="n">
        <v>20.2</v>
      </c>
      <c r="E39" s="7" t="n">
        <v>33.8</v>
      </c>
      <c r="F39" s="7" t="n">
        <v>41.6</v>
      </c>
      <c r="G39" s="7" t="n">
        <v>42.7</v>
      </c>
      <c r="H39" s="7" t="n">
        <v>43</v>
      </c>
      <c r="I39" s="7" t="n">
        <v>43.1</v>
      </c>
      <c r="J39" s="7" t="n">
        <v>43.2</v>
      </c>
      <c r="K39" s="7" t="n">
        <v>46.4</v>
      </c>
    </row>
    <row r="40">
      <c r="A40" s="6" t="n">
        <v>1996</v>
      </c>
      <c r="B40" s="7" t="n">
        <v>5.4</v>
      </c>
      <c r="C40" s="7" t="n">
        <v>9.6</v>
      </c>
      <c r="D40" s="7" t="n">
        <v>12.4</v>
      </c>
      <c r="E40" s="7" t="n">
        <v>15.2</v>
      </c>
      <c r="F40" s="7" t="n">
        <v>22.4</v>
      </c>
      <c r="G40" s="7" t="n">
        <v>30.4</v>
      </c>
      <c r="H40" s="7" t="n">
        <v>39.2</v>
      </c>
      <c r="I40" s="7" t="n">
        <v>58.3</v>
      </c>
      <c r="J40" s="7" t="n">
        <v>63.7</v>
      </c>
      <c r="K40" s="7" t="n">
        <v>72.7</v>
      </c>
    </row>
    <row r="41">
      <c r="A41" s="6" t="n">
        <v>1997</v>
      </c>
      <c r="B41" s="7" t="n">
        <v>7.2</v>
      </c>
      <c r="C41" s="7" t="n">
        <v>13.8</v>
      </c>
      <c r="D41" s="7" t="n">
        <v>19.8</v>
      </c>
      <c r="E41" s="7" t="n">
        <v>26.2</v>
      </c>
      <c r="F41" s="7" t="n">
        <v>29.6</v>
      </c>
      <c r="G41" s="7" t="n">
        <v>32.8</v>
      </c>
      <c r="H41" s="7" t="n">
        <v>35.8</v>
      </c>
      <c r="I41" s="7" t="n">
        <v>42.2</v>
      </c>
      <c r="J41" s="7" t="n">
        <v>53.4</v>
      </c>
      <c r="K41" s="7" t="n">
        <v>73.59999999999999</v>
      </c>
    </row>
    <row r="42">
      <c r="A42" s="6" t="n">
        <v>1998</v>
      </c>
      <c r="B42" s="7" t="n">
        <v>12.2</v>
      </c>
      <c r="C42" s="7" t="n">
        <v>22.6</v>
      </c>
      <c r="D42" s="7" t="n">
        <v>27</v>
      </c>
      <c r="E42" s="7" t="n">
        <v>30.2</v>
      </c>
      <c r="F42" s="7" t="n">
        <v>34.6</v>
      </c>
      <c r="G42" s="7" t="n">
        <v>34.6</v>
      </c>
      <c r="H42" s="7" t="n">
        <v>34.7</v>
      </c>
      <c r="I42" s="7" t="n">
        <v>36.6</v>
      </c>
      <c r="J42" s="7" t="n">
        <v>37</v>
      </c>
      <c r="K42" s="8" t="n">
        <v>45</v>
      </c>
    </row>
    <row r="43">
      <c r="A43" s="6" t="n">
        <v>1999</v>
      </c>
      <c r="B43" s="7" t="n">
        <v>8</v>
      </c>
      <c r="C43" s="7" t="n">
        <v>9.4</v>
      </c>
      <c r="D43" s="7" t="n">
        <v>11.8</v>
      </c>
      <c r="E43" s="7" t="n">
        <v>15</v>
      </c>
      <c r="F43" s="7" t="n">
        <v>19.6</v>
      </c>
      <c r="G43" s="7" t="n">
        <v>24.7</v>
      </c>
      <c r="H43" s="7" t="n">
        <v>26.8</v>
      </c>
      <c r="I43" s="7" t="n">
        <v>30.3</v>
      </c>
      <c r="J43" s="7" t="n">
        <v>48</v>
      </c>
      <c r="K43" s="7" t="n">
        <v>48.1</v>
      </c>
    </row>
    <row r="44">
      <c r="A44" s="6" t="n">
        <v>2000</v>
      </c>
      <c r="B44" s="7" t="n">
        <v>3.2</v>
      </c>
      <c r="C44" s="7" t="n">
        <v>5.8</v>
      </c>
      <c r="D44" s="7" t="n">
        <v>6.4</v>
      </c>
      <c r="E44" s="7" t="n">
        <v>9</v>
      </c>
      <c r="F44" s="7" t="n">
        <v>12.2</v>
      </c>
      <c r="G44" s="7" t="n">
        <v>13</v>
      </c>
      <c r="H44" s="7" t="n">
        <v>13.2</v>
      </c>
      <c r="I44" s="7" t="n">
        <v>13.3</v>
      </c>
      <c r="J44" s="7" t="n">
        <v>13.4</v>
      </c>
      <c r="K44" s="7" t="n">
        <v>21.1</v>
      </c>
    </row>
    <row r="45">
      <c r="A45" s="6" t="n">
        <v>2001</v>
      </c>
      <c r="B45" s="7" t="n">
        <v>7.2</v>
      </c>
      <c r="C45" s="7" t="n">
        <v>13.6</v>
      </c>
      <c r="D45" s="7" t="n">
        <v>19</v>
      </c>
      <c r="E45" s="7" t="n">
        <v>32.4</v>
      </c>
      <c r="F45" s="7" t="n">
        <v>35.8</v>
      </c>
      <c r="G45" s="7" t="n">
        <v>37.3</v>
      </c>
      <c r="H45" s="7" t="n">
        <v>38</v>
      </c>
      <c r="I45" s="7" t="n">
        <v>38.4</v>
      </c>
      <c r="J45" s="7" t="n">
        <v>38.5</v>
      </c>
      <c r="K45" s="7" t="n">
        <v>64.5</v>
      </c>
    </row>
    <row r="46">
      <c r="A46" s="6" t="n">
        <v>2002</v>
      </c>
      <c r="B46" s="8" t="n">
        <v>7.1</v>
      </c>
      <c r="C46" s="8" t="n">
        <v>13.9</v>
      </c>
      <c r="D46" s="8" t="n">
        <v>20.6</v>
      </c>
      <c r="E46" s="8" t="n">
        <v>34.8</v>
      </c>
      <c r="F46" s="8" t="n">
        <v>49.1</v>
      </c>
      <c r="G46" s="8" t="n">
        <v>49.9</v>
      </c>
      <c r="H46" s="8" t="n">
        <v>50</v>
      </c>
      <c r="I46" s="8" t="n">
        <v>50.1</v>
      </c>
      <c r="J46" s="8" t="n">
        <v>50.1</v>
      </c>
      <c r="K46" s="8" t="n">
        <v>50.3</v>
      </c>
    </row>
    <row r="47">
      <c r="A47" s="6" t="n">
        <v>2003</v>
      </c>
      <c r="B47" s="8" t="n">
        <v>5.5</v>
      </c>
      <c r="C47" s="8" t="n">
        <v>9.199999999999999</v>
      </c>
      <c r="D47" s="8" t="n">
        <v>11.8</v>
      </c>
      <c r="E47" s="8" t="n">
        <v>14.5</v>
      </c>
      <c r="F47" s="8" t="n">
        <v>16.7</v>
      </c>
      <c r="G47" s="8" t="n">
        <v>16.7</v>
      </c>
      <c r="H47" s="8" t="n">
        <v>16.7</v>
      </c>
      <c r="I47" s="7" t="n">
        <v>17</v>
      </c>
      <c r="J47" s="7" t="n">
        <v>17.1</v>
      </c>
      <c r="K47" s="7" t="n">
        <v>18.2</v>
      </c>
    </row>
    <row r="48">
      <c r="A48" s="6" t="n">
        <v>2004</v>
      </c>
      <c r="B48" s="7" t="n">
        <v>7</v>
      </c>
      <c r="C48" s="7" t="n">
        <v>12.8</v>
      </c>
      <c r="D48" s="7" t="n">
        <v>17</v>
      </c>
      <c r="E48" s="7" t="n">
        <v>18.7</v>
      </c>
      <c r="F48" s="7" t="n">
        <v>18.8</v>
      </c>
      <c r="G48" s="7" t="n">
        <v>18.8</v>
      </c>
      <c r="H48" s="7" t="n">
        <v>18.8</v>
      </c>
      <c r="I48" s="7" t="n">
        <v>18.8</v>
      </c>
      <c r="J48" s="7" t="n">
        <v>18.9</v>
      </c>
      <c r="K48" s="7" t="n">
        <v>19</v>
      </c>
    </row>
    <row r="49">
      <c r="A49" s="6" t="n">
        <v>2005</v>
      </c>
      <c r="B49" s="7" t="n">
        <v>14.6</v>
      </c>
      <c r="C49" s="7" t="n">
        <v>29.3</v>
      </c>
      <c r="D49" s="7" t="n">
        <v>43.9</v>
      </c>
      <c r="E49" s="7" t="n">
        <v>58.8</v>
      </c>
      <c r="F49" s="7" t="n">
        <v>59.4</v>
      </c>
      <c r="G49" s="7" t="n">
        <v>59.5</v>
      </c>
      <c r="H49" s="7" t="n">
        <v>59.6</v>
      </c>
      <c r="I49" s="7" t="n">
        <v>60.3</v>
      </c>
      <c r="J49" s="7" t="n">
        <v>79.40000000000001</v>
      </c>
      <c r="K49" s="7" t="n">
        <v>79.5</v>
      </c>
    </row>
    <row r="50">
      <c r="A50" s="6" t="n">
        <v>2006</v>
      </c>
      <c r="B50" s="8" t="n">
        <v>4.8</v>
      </c>
      <c r="C50" s="8" t="n">
        <v>7.7</v>
      </c>
      <c r="D50" s="8" t="n">
        <v>9.300000000000001</v>
      </c>
      <c r="E50" s="8" t="n">
        <v>13.9</v>
      </c>
      <c r="F50" s="8" t="n">
        <v>24.9</v>
      </c>
      <c r="G50" s="8" t="n">
        <v>32.7</v>
      </c>
      <c r="H50" s="8" t="n">
        <v>33.8</v>
      </c>
      <c r="I50" s="8" t="n">
        <v>42.3</v>
      </c>
      <c r="J50" s="8" t="n">
        <v>46.7</v>
      </c>
      <c r="K50" s="8" t="n">
        <v>58.3</v>
      </c>
    </row>
    <row r="51">
      <c r="A51" s="6" t="n">
        <v>2007</v>
      </c>
      <c r="B51" s="8" t="n">
        <v>3.7</v>
      </c>
      <c r="C51" s="8" t="n">
        <v>6.8</v>
      </c>
      <c r="D51" s="8" t="n">
        <v>9.6</v>
      </c>
      <c r="E51" s="8" t="n">
        <v>16</v>
      </c>
      <c r="F51" s="8" t="n">
        <v>19.1</v>
      </c>
      <c r="G51" s="8" t="n">
        <v>24.1</v>
      </c>
      <c r="H51" s="8" t="n">
        <v>28.8</v>
      </c>
      <c r="I51" s="8" t="n">
        <v>46</v>
      </c>
      <c r="J51" s="8" t="n">
        <v>58.1</v>
      </c>
      <c r="K51" s="8" t="n">
        <v>59.6</v>
      </c>
    </row>
    <row r="52">
      <c r="A52" s="6" t="n">
        <v>2008</v>
      </c>
      <c r="B52" s="7" t="n">
        <v>4.2</v>
      </c>
      <c r="C52" s="7" t="n">
        <v>6</v>
      </c>
      <c r="D52" s="7" t="n">
        <v>7.6</v>
      </c>
      <c r="E52" s="7" t="n">
        <v>10.4</v>
      </c>
      <c r="F52" s="7" t="n">
        <v>10.4</v>
      </c>
      <c r="G52" s="8" t="n">
        <v>12.2</v>
      </c>
      <c r="H52" s="8" t="n">
        <v>14.5</v>
      </c>
      <c r="I52" s="8" t="n">
        <v>14.5</v>
      </c>
      <c r="J52" s="8" t="n">
        <v>14.6</v>
      </c>
      <c r="K52" s="8" t="n">
        <v>14.6</v>
      </c>
    </row>
    <row r="53">
      <c r="A53" s="6" t="n">
        <v>2009</v>
      </c>
      <c r="B53" s="8" t="n">
        <v>4.4</v>
      </c>
      <c r="C53" s="8" t="n">
        <v>8.199999999999999</v>
      </c>
      <c r="D53" s="8" t="n">
        <v>9.6</v>
      </c>
      <c r="E53" s="8" t="n">
        <v>10.1</v>
      </c>
      <c r="F53" s="8" t="n">
        <v>10.4</v>
      </c>
      <c r="G53" s="7" t="n">
        <v>14.2</v>
      </c>
      <c r="H53" s="7" t="n">
        <v>14.3</v>
      </c>
      <c r="I53" s="7" t="n">
        <v>14.5</v>
      </c>
      <c r="J53" s="7" t="n">
        <v>18.8</v>
      </c>
      <c r="K53" s="7" t="n">
        <v>22.7</v>
      </c>
    </row>
    <row r="54">
      <c r="A54" s="6" t="n">
        <v>2010</v>
      </c>
      <c r="B54" s="7" t="n">
        <v>9.800000000000001</v>
      </c>
      <c r="C54" s="7" t="n">
        <v>17.2</v>
      </c>
      <c r="D54" s="7" t="n">
        <v>23.8</v>
      </c>
      <c r="E54" s="7" t="n">
        <v>37.8</v>
      </c>
      <c r="F54" s="7" t="n">
        <v>65.40000000000001</v>
      </c>
      <c r="G54" s="7" t="n">
        <v>79.40000000000001</v>
      </c>
      <c r="H54" s="7" t="n">
        <v>79.8</v>
      </c>
      <c r="I54" s="7" t="n">
        <v>81.90000000000001</v>
      </c>
      <c r="J54" s="7" t="n">
        <v>86.2</v>
      </c>
      <c r="K54" s="7" t="n">
        <v>86.5</v>
      </c>
    </row>
    <row r="55">
      <c r="A55" s="6" t="n">
        <v>2011</v>
      </c>
      <c r="B55" s="8" t="n">
        <v>2</v>
      </c>
      <c r="C55" s="8" t="n">
        <v>3.6</v>
      </c>
      <c r="D55" s="8" t="n">
        <v>4.6</v>
      </c>
      <c r="E55" s="8" t="n">
        <v>6.8</v>
      </c>
      <c r="F55" s="8" t="n">
        <v>8.6</v>
      </c>
      <c r="G55" s="8" t="n">
        <v>8.6</v>
      </c>
      <c r="H55" s="8" t="n">
        <v>8.699999999999999</v>
      </c>
      <c r="I55" s="8" t="n">
        <v>9.9</v>
      </c>
      <c r="J55" s="8" t="n">
        <v>12.1</v>
      </c>
      <c r="K55" s="8" t="n">
        <v>12.5</v>
      </c>
    </row>
    <row r="56">
      <c r="A56" s="6" t="n">
        <v>2012</v>
      </c>
      <c r="B56" s="8" t="n">
        <v>6.6</v>
      </c>
      <c r="C56" s="8" t="n">
        <v>9.4</v>
      </c>
      <c r="D56" s="8" t="n">
        <v>12.9</v>
      </c>
      <c r="E56" s="8" t="n">
        <v>20.7</v>
      </c>
      <c r="F56" s="8" t="n">
        <v>31.7</v>
      </c>
      <c r="G56" s="8" t="n">
        <v>44.6</v>
      </c>
      <c r="H56" s="8" t="n">
        <v>49.7</v>
      </c>
      <c r="I56" s="8" t="n">
        <v>51.3</v>
      </c>
      <c r="J56" s="8" t="n">
        <v>53.3</v>
      </c>
      <c r="K56" s="8" t="n">
        <v>60.1</v>
      </c>
    </row>
    <row r="57">
      <c r="A57" s="6" t="n">
        <v>2013</v>
      </c>
      <c r="B57" s="8" t="n">
        <v>3.8</v>
      </c>
      <c r="C57" s="8" t="n">
        <v>6.4</v>
      </c>
      <c r="D57" s="8" t="n">
        <v>7.9</v>
      </c>
      <c r="E57" s="8" t="n">
        <v>12.1</v>
      </c>
      <c r="F57" s="8" t="n">
        <v>15.9</v>
      </c>
      <c r="G57" s="8" t="n">
        <v>20.9</v>
      </c>
      <c r="H57" s="8" t="n">
        <v>26.2</v>
      </c>
      <c r="I57" s="8" t="n">
        <v>27.5</v>
      </c>
      <c r="J57" s="8" t="n">
        <v>28.8</v>
      </c>
      <c r="K57" s="8" t="n">
        <v>48.7</v>
      </c>
    </row>
    <row r="58">
      <c r="A58" s="6" t="n">
        <v>2014</v>
      </c>
      <c r="B58" s="8" t="n">
        <v>7.2</v>
      </c>
      <c r="C58" s="8" t="n">
        <v>11.6</v>
      </c>
      <c r="D58" s="8" t="n">
        <v>13.6</v>
      </c>
      <c r="E58" s="8" t="n">
        <v>21.2</v>
      </c>
      <c r="F58" s="8" t="n">
        <v>25.5</v>
      </c>
      <c r="G58" s="8" t="n">
        <v>34.2</v>
      </c>
      <c r="H58" s="8" t="n">
        <v>50.5</v>
      </c>
      <c r="I58" s="8" t="n">
        <v>63.4</v>
      </c>
      <c r="J58" s="8" t="n">
        <v>96.3</v>
      </c>
      <c r="K58" s="8" t="n">
        <v>120.6</v>
      </c>
    </row>
    <row r="59">
      <c r="A59" s="6" t="n">
        <v>2015</v>
      </c>
      <c r="B59" s="7" t="n"/>
      <c r="C59" s="7" t="n"/>
      <c r="D59" s="7" t="n"/>
      <c r="E59" s="7" t="n"/>
      <c r="F59" s="7" t="n">
        <v>13.4</v>
      </c>
      <c r="G59" s="7" t="n">
        <v>16.1</v>
      </c>
      <c r="H59" s="7" t="n">
        <v>16.1</v>
      </c>
      <c r="I59" s="7" t="n">
        <v>17.8</v>
      </c>
      <c r="J59" s="7" t="n">
        <v>22.8</v>
      </c>
      <c r="K59" s="7" t="n">
        <v>26</v>
      </c>
    </row>
    <row r="60">
      <c r="A60" s="6" t="n">
        <v>2016</v>
      </c>
      <c r="B60" s="7" t="n"/>
      <c r="C60" s="7" t="n"/>
      <c r="D60" s="7" t="n"/>
      <c r="E60" s="7" t="n"/>
      <c r="F60" s="7" t="n">
        <v>25.6</v>
      </c>
      <c r="G60" s="7" t="n">
        <v>26.4</v>
      </c>
      <c r="H60" s="7" t="n">
        <v>29.9</v>
      </c>
      <c r="I60" s="7" t="n">
        <v>33</v>
      </c>
      <c r="J60" s="7" t="n">
        <v>38.9</v>
      </c>
      <c r="K60" s="7" t="n">
        <v>39.1</v>
      </c>
    </row>
    <row r="61">
      <c r="A61" s="6" t="n">
        <v>2017</v>
      </c>
      <c r="B61" s="7" t="n"/>
      <c r="C61" s="7" t="n"/>
      <c r="D61" s="7" t="n"/>
      <c r="E61" s="7" t="n"/>
      <c r="F61" s="7" t="n">
        <v>15.9</v>
      </c>
      <c r="G61" s="7" t="n">
        <v>18</v>
      </c>
      <c r="H61" s="7" t="n">
        <v>18</v>
      </c>
      <c r="I61" s="7" t="n">
        <v>18</v>
      </c>
      <c r="J61" s="7" t="n">
        <v>18</v>
      </c>
      <c r="K61" s="7" t="n">
        <v>18</v>
      </c>
    </row>
    <row r="62">
      <c r="A62" s="6" t="n">
        <v>2018</v>
      </c>
      <c r="B62" s="7" t="n"/>
      <c r="C62" s="7" t="n"/>
      <c r="D62" s="7" t="n"/>
      <c r="E62" s="7" t="n"/>
      <c r="F62" s="7" t="n">
        <v>6.7</v>
      </c>
      <c r="G62" s="7" t="n">
        <v>9.199999999999999</v>
      </c>
      <c r="H62" s="7" t="n">
        <v>10.5</v>
      </c>
      <c r="I62" s="7" t="n">
        <v>10.6</v>
      </c>
      <c r="J62" s="7" t="n">
        <v>10.6</v>
      </c>
      <c r="K62" s="7" t="n">
        <v>11.2</v>
      </c>
    </row>
    <row r="63">
      <c r="A63" s="6" t="n">
        <v>2019</v>
      </c>
      <c r="B63" s="7" t="n"/>
      <c r="C63" s="7" t="n"/>
      <c r="D63" s="7" t="n"/>
      <c r="E63" s="7" t="n"/>
      <c r="F63" s="7" t="n">
        <v>17.6</v>
      </c>
      <c r="G63" s="7" t="n">
        <v>19.3</v>
      </c>
      <c r="H63" s="7" t="n">
        <v>19.5</v>
      </c>
      <c r="I63" s="7" t="n">
        <v>24.1</v>
      </c>
      <c r="J63" s="7" t="n">
        <v>24.2</v>
      </c>
      <c r="K63" s="7" t="n">
        <v>32.9</v>
      </c>
    </row>
    <row r="64">
      <c r="A64" s="6" t="n">
        <v>2020</v>
      </c>
      <c r="B64" s="7" t="n"/>
      <c r="C64" s="7" t="n"/>
      <c r="D64" s="7" t="n"/>
      <c r="E64" s="7" t="n"/>
      <c r="F64" s="7" t="n">
        <v>32.2</v>
      </c>
      <c r="G64" s="7" t="n">
        <v>43.5</v>
      </c>
      <c r="H64" s="7" t="n">
        <v>43.5</v>
      </c>
      <c r="I64" s="7" t="n">
        <v>43.5</v>
      </c>
      <c r="J64" s="7" t="n">
        <v>43.5</v>
      </c>
      <c r="K64" s="7" t="n">
        <v>43.5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Y6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</cols>
  <sheetData>
    <row r="1">
      <c r="A1" s="1" t="inlineStr">
        <is>
          <t>Gauge 83  |  FL527473AF  |  AL MAR NEAR AL MAR</t>
        </is>
      </c>
    </row>
    <row r="3">
      <c r="A3" s="2" t="inlineStr">
        <is>
          <t>AMS BEFORE gap filling (observed only, mm)</t>
        </is>
      </c>
      <c r="M3" s="3" t="inlineStr">
        <is>
          <t>IDF - design rainfall DEPTH (mm)</t>
        </is>
      </c>
    </row>
    <row r="4">
      <c r="A4" s="4" t="inlineStr">
        <is>
          <t>Water year</t>
        </is>
      </c>
      <c r="B4" s="5" t="inlineStr">
        <is>
          <t>5min</t>
        </is>
      </c>
      <c r="C4" s="5" t="inlineStr">
        <is>
          <t>10min</t>
        </is>
      </c>
      <c r="D4" s="5" t="inlineStr">
        <is>
          <t>15min</t>
        </is>
      </c>
      <c r="E4" s="5" t="inlineStr">
        <is>
          <t>30min</t>
        </is>
      </c>
      <c r="F4" s="5" t="inlineStr">
        <is>
          <t>1h</t>
        </is>
      </c>
      <c r="G4" s="5" t="inlineStr">
        <is>
          <t>2h</t>
        </is>
      </c>
      <c r="H4" s="5" t="inlineStr">
        <is>
          <t>3h</t>
        </is>
      </c>
      <c r="I4" s="5" t="inlineStr">
        <is>
          <t>6h</t>
        </is>
      </c>
      <c r="J4" s="5" t="inlineStr">
        <is>
          <t>12h</t>
        </is>
      </c>
      <c r="K4" s="5" t="inlineStr">
        <is>
          <t>24h</t>
        </is>
      </c>
      <c r="M4" s="4" t="inlineStr">
        <is>
          <t>Duration \ RP</t>
        </is>
      </c>
      <c r="N4" s="4" t="n">
        <v>2</v>
      </c>
      <c r="O4" s="4" t="n">
        <v>5</v>
      </c>
      <c r="P4" s="4" t="n">
        <v>10</v>
      </c>
      <c r="Q4" s="4" t="n">
        <v>25</v>
      </c>
      <c r="R4" s="4" t="n">
        <v>50</v>
      </c>
      <c r="S4" s="4" t="n">
        <v>100</v>
      </c>
      <c r="T4" s="4" t="n">
        <v>200</v>
      </c>
      <c r="U4" s="4" t="n">
        <v>500</v>
      </c>
      <c r="V4" s="4" t="n">
        <v>1000</v>
      </c>
      <c r="W4" s="4" t="n">
        <v>2000</v>
      </c>
      <c r="X4" s="4" t="n">
        <v>5000</v>
      </c>
      <c r="Y4" s="4" t="n">
        <v>10000</v>
      </c>
    </row>
    <row r="5">
      <c r="A5" s="6" t="n">
        <v>1993</v>
      </c>
      <c r="B5" s="7" t="n">
        <v>3.6</v>
      </c>
      <c r="C5" s="7" t="n">
        <v>6.4</v>
      </c>
      <c r="D5" s="7" t="n">
        <v>7.4</v>
      </c>
      <c r="E5" s="7" t="n">
        <v>12.4</v>
      </c>
      <c r="F5" s="7" t="n">
        <v>14.8</v>
      </c>
      <c r="G5" s="7" t="n">
        <v>20.2</v>
      </c>
      <c r="H5" s="7" t="n">
        <v>20.4</v>
      </c>
      <c r="I5" s="7" t="n">
        <v>20.4</v>
      </c>
      <c r="J5" s="7" t="n">
        <v>20.5</v>
      </c>
      <c r="K5" s="7" t="n">
        <v>20.6</v>
      </c>
      <c r="M5" s="6" t="inlineStr">
        <is>
          <t>5min</t>
        </is>
      </c>
      <c r="N5" s="6" t="n">
        <v>5.5</v>
      </c>
      <c r="O5" s="6" t="n">
        <v>8.300000000000001</v>
      </c>
      <c r="P5" s="6" t="n">
        <v>10.3</v>
      </c>
      <c r="Q5" s="6" t="n">
        <v>12.9</v>
      </c>
      <c r="R5" s="6" t="n">
        <v>14.9</v>
      </c>
      <c r="S5" s="6" t="n">
        <v>17</v>
      </c>
      <c r="T5" s="6" t="n">
        <v>19.2</v>
      </c>
      <c r="U5" s="6" t="n">
        <v>22.2</v>
      </c>
      <c r="V5" s="6" t="n">
        <v>24.6</v>
      </c>
      <c r="W5" s="6" t="n">
        <v>27</v>
      </c>
      <c r="X5" s="6" t="n">
        <v>30.5</v>
      </c>
      <c r="Y5" s="6" t="n">
        <v>33.2</v>
      </c>
    </row>
    <row r="6">
      <c r="A6" s="6" t="n">
        <v>1994</v>
      </c>
      <c r="B6" s="7" t="n">
        <v>6.6</v>
      </c>
      <c r="C6" s="7" t="n">
        <v>12.8</v>
      </c>
      <c r="D6" s="7" t="n">
        <v>18.2</v>
      </c>
      <c r="E6" s="7" t="n">
        <v>26</v>
      </c>
      <c r="F6" s="7" t="n">
        <v>36.4</v>
      </c>
      <c r="G6" s="7" t="n">
        <v>41.6</v>
      </c>
      <c r="H6" s="7" t="n">
        <v>41.6</v>
      </c>
      <c r="I6" s="7" t="n">
        <v>41.6</v>
      </c>
      <c r="J6" s="7" t="n">
        <v>41.7</v>
      </c>
      <c r="K6" s="7" t="n">
        <v>49</v>
      </c>
      <c r="M6" s="6" t="inlineStr">
        <is>
          <t>10min</t>
        </is>
      </c>
      <c r="N6" s="6" t="n">
        <v>9</v>
      </c>
      <c r="O6" s="6" t="n">
        <v>13.7</v>
      </c>
      <c r="P6" s="6" t="n">
        <v>17</v>
      </c>
      <c r="Q6" s="6" t="n">
        <v>21.3</v>
      </c>
      <c r="R6" s="6" t="n">
        <v>24.6</v>
      </c>
      <c r="S6" s="6" t="n">
        <v>28</v>
      </c>
      <c r="T6" s="6" t="n">
        <v>31.6</v>
      </c>
      <c r="U6" s="6" t="n">
        <v>36.4</v>
      </c>
      <c r="V6" s="6" t="n">
        <v>40.3</v>
      </c>
      <c r="W6" s="6" t="n">
        <v>44.3</v>
      </c>
      <c r="X6" s="6" t="n">
        <v>49.8</v>
      </c>
      <c r="Y6" s="6" t="n">
        <v>54.1</v>
      </c>
    </row>
    <row r="7">
      <c r="A7" s="6" t="n">
        <v>1995</v>
      </c>
      <c r="B7" s="7" t="n">
        <v>10</v>
      </c>
      <c r="C7" s="7" t="n">
        <v>14</v>
      </c>
      <c r="D7" s="7" t="n">
        <v>17.8</v>
      </c>
      <c r="E7" s="7" t="n">
        <v>30.2</v>
      </c>
      <c r="F7" s="7" t="n">
        <v>39.6</v>
      </c>
      <c r="G7" s="7" t="n">
        <v>44.4</v>
      </c>
      <c r="H7" s="7" t="n">
        <v>49.6</v>
      </c>
      <c r="I7" s="7" t="n">
        <v>53.2</v>
      </c>
      <c r="J7" s="7" t="n">
        <v>53.3</v>
      </c>
      <c r="K7" s="7" t="n">
        <v>53.4</v>
      </c>
      <c r="M7" s="6" t="inlineStr">
        <is>
          <t>15min</t>
        </is>
      </c>
      <c r="N7" s="6" t="n">
        <v>11.5</v>
      </c>
      <c r="O7" s="6" t="n">
        <v>17.6</v>
      </c>
      <c r="P7" s="6" t="n">
        <v>21.8</v>
      </c>
      <c r="Q7" s="6" t="n">
        <v>27.4</v>
      </c>
      <c r="R7" s="6" t="n">
        <v>31.8</v>
      </c>
      <c r="S7" s="6" t="n">
        <v>36.3</v>
      </c>
      <c r="T7" s="6" t="n">
        <v>40.9</v>
      </c>
      <c r="U7" s="6" t="n">
        <v>47.3</v>
      </c>
      <c r="V7" s="6" t="n">
        <v>52.3</v>
      </c>
      <c r="W7" s="6" t="n">
        <v>57.6</v>
      </c>
      <c r="X7" s="6" t="n">
        <v>64.8</v>
      </c>
      <c r="Y7" s="6" t="n">
        <v>70.5</v>
      </c>
    </row>
    <row r="8">
      <c r="A8" s="6" t="n">
        <v>1996</v>
      </c>
      <c r="B8" s="7" t="n">
        <v>8.6</v>
      </c>
      <c r="C8" s="7" t="n">
        <v>16</v>
      </c>
      <c r="D8" s="7" t="n">
        <v>22.6</v>
      </c>
      <c r="E8" s="7" t="n">
        <v>40.8</v>
      </c>
      <c r="F8" s="7" t="n">
        <v>45</v>
      </c>
      <c r="G8" s="7" t="n">
        <v>49.2</v>
      </c>
      <c r="H8" s="7" t="n">
        <v>52.8</v>
      </c>
      <c r="I8" s="7" t="n">
        <v>56.6</v>
      </c>
      <c r="J8" s="7" t="n">
        <v>56.9</v>
      </c>
      <c r="K8" s="7" t="n">
        <v>57.9</v>
      </c>
      <c r="M8" s="6" t="inlineStr">
        <is>
          <t>30min</t>
        </is>
      </c>
      <c r="N8" s="6" t="n">
        <v>15.8</v>
      </c>
      <c r="O8" s="6" t="n">
        <v>24.6</v>
      </c>
      <c r="P8" s="6" t="n">
        <v>30.7</v>
      </c>
      <c r="Q8" s="6" t="n">
        <v>38.7</v>
      </c>
      <c r="R8" s="6" t="n">
        <v>45</v>
      </c>
      <c r="S8" s="6" t="n">
        <v>51.5</v>
      </c>
      <c r="T8" s="6" t="n">
        <v>58.1</v>
      </c>
      <c r="U8" s="6" t="n">
        <v>67.40000000000001</v>
      </c>
      <c r="V8" s="6" t="n">
        <v>74.59999999999999</v>
      </c>
      <c r="W8" s="6" t="n">
        <v>82.2</v>
      </c>
      <c r="X8" s="6" t="n">
        <v>92.59999999999999</v>
      </c>
      <c r="Y8" s="6" t="n">
        <v>100.8</v>
      </c>
    </row>
    <row r="9">
      <c r="A9" s="6" t="n">
        <v>1997</v>
      </c>
      <c r="B9" s="7" t="n">
        <v>13.4</v>
      </c>
      <c r="C9" s="7" t="n">
        <v>16</v>
      </c>
      <c r="D9" s="7" t="n">
        <v>17.4</v>
      </c>
      <c r="E9" s="7" t="n">
        <v>25.4</v>
      </c>
      <c r="F9" s="7" t="n">
        <v>30.2</v>
      </c>
      <c r="G9" s="7" t="n">
        <v>31.2</v>
      </c>
      <c r="H9" s="7" t="n">
        <v>34.4</v>
      </c>
      <c r="I9" s="7" t="n">
        <v>48.4</v>
      </c>
      <c r="J9" s="7" t="n">
        <v>62.6</v>
      </c>
      <c r="K9" s="7" t="n">
        <v>84.8</v>
      </c>
      <c r="M9" s="6" t="inlineStr">
        <is>
          <t>1h</t>
        </is>
      </c>
      <c r="N9" s="6" t="n">
        <v>19.6</v>
      </c>
      <c r="O9" s="6" t="n">
        <v>30.5</v>
      </c>
      <c r="P9" s="6" t="n">
        <v>38.2</v>
      </c>
      <c r="Q9" s="6" t="n">
        <v>48.2</v>
      </c>
      <c r="R9" s="6" t="n">
        <v>56</v>
      </c>
      <c r="S9" s="6" t="n">
        <v>64.09999999999999</v>
      </c>
      <c r="T9" s="6" t="n">
        <v>72.40000000000001</v>
      </c>
      <c r="U9" s="6" t="n">
        <v>83.8</v>
      </c>
      <c r="V9" s="6" t="n">
        <v>92.90000000000001</v>
      </c>
      <c r="W9" s="6" t="n">
        <v>102.3</v>
      </c>
      <c r="X9" s="6" t="n">
        <v>115.3</v>
      </c>
      <c r="Y9" s="6" t="n">
        <v>125.5</v>
      </c>
    </row>
    <row r="10">
      <c r="A10" s="6" t="n">
        <v>1998</v>
      </c>
      <c r="B10" s="7" t="n">
        <v>7.4</v>
      </c>
      <c r="C10" s="7" t="n">
        <v>12.6</v>
      </c>
      <c r="D10" s="7" t="n">
        <v>17</v>
      </c>
      <c r="E10" s="7" t="n">
        <v>25.6</v>
      </c>
      <c r="F10" s="7" t="n">
        <v>28</v>
      </c>
      <c r="G10" s="7" t="n">
        <v>28.2</v>
      </c>
      <c r="H10" s="7" t="n">
        <v>28.3</v>
      </c>
      <c r="I10" s="7" t="n">
        <v>39.8</v>
      </c>
      <c r="J10" s="7" t="n">
        <v>40.4</v>
      </c>
      <c r="K10" s="7" t="n">
        <v>41.6</v>
      </c>
      <c r="M10" s="6" t="inlineStr">
        <is>
          <t>2h</t>
        </is>
      </c>
      <c r="N10" s="6" t="n">
        <v>22.9</v>
      </c>
      <c r="O10" s="6" t="n">
        <v>36.3</v>
      </c>
      <c r="P10" s="6" t="n">
        <v>45.7</v>
      </c>
      <c r="Q10" s="6" t="n">
        <v>58.4</v>
      </c>
      <c r="R10" s="6" t="n">
        <v>68.40000000000001</v>
      </c>
      <c r="S10" s="6" t="n">
        <v>78.7</v>
      </c>
      <c r="T10" s="6" t="n">
        <v>89.59999999999999</v>
      </c>
      <c r="U10" s="6" t="n">
        <v>104.7</v>
      </c>
      <c r="V10" s="6" t="n">
        <v>116.8</v>
      </c>
      <c r="W10" s="6" t="n">
        <v>129.4</v>
      </c>
      <c r="X10" s="6" t="n">
        <v>147.1</v>
      </c>
      <c r="Y10" s="6" t="n">
        <v>161.3</v>
      </c>
    </row>
    <row r="11">
      <c r="A11" s="6" t="n">
        <v>1999</v>
      </c>
      <c r="B11" s="7" t="n">
        <v>6.4</v>
      </c>
      <c r="C11" s="7" t="n">
        <v>7.8</v>
      </c>
      <c r="D11" s="7" t="n">
        <v>8.199999999999999</v>
      </c>
      <c r="E11" s="7" t="n">
        <v>8.4</v>
      </c>
      <c r="F11" s="7" t="n">
        <v>8.800000000000001</v>
      </c>
      <c r="G11" s="7" t="n">
        <v>8.800000000000001</v>
      </c>
      <c r="H11" s="7" t="n">
        <v>13.8</v>
      </c>
      <c r="I11" s="7" t="n">
        <v>19.4</v>
      </c>
      <c r="J11" s="7" t="n">
        <v>30.6</v>
      </c>
      <c r="K11" s="7" t="n">
        <v>30.9</v>
      </c>
      <c r="M11" s="6" t="inlineStr">
        <is>
          <t>3h</t>
        </is>
      </c>
      <c r="N11" s="6" t="n">
        <v>24.4</v>
      </c>
      <c r="O11" s="6" t="n">
        <v>39.4</v>
      </c>
      <c r="P11" s="6" t="n">
        <v>50.4</v>
      </c>
      <c r="Q11" s="6" t="n">
        <v>65.5</v>
      </c>
      <c r="R11" s="6" t="n">
        <v>77.7</v>
      </c>
      <c r="S11" s="6" t="n">
        <v>90.7</v>
      </c>
      <c r="T11" s="6" t="n">
        <v>104.6</v>
      </c>
      <c r="U11" s="6" t="n">
        <v>124.5</v>
      </c>
      <c r="V11" s="6" t="n">
        <v>140.8</v>
      </c>
      <c r="W11" s="6" t="n">
        <v>158.4</v>
      </c>
      <c r="X11" s="6" t="n">
        <v>183.6</v>
      </c>
      <c r="Y11" s="6" t="n">
        <v>204.3</v>
      </c>
    </row>
    <row r="12">
      <c r="A12" s="6" t="n">
        <v>2000</v>
      </c>
      <c r="B12" s="7" t="n">
        <v>6</v>
      </c>
      <c r="C12" s="7" t="n">
        <v>10</v>
      </c>
      <c r="D12" s="7" t="n">
        <v>14.8</v>
      </c>
      <c r="E12" s="7" t="n">
        <v>23.6</v>
      </c>
      <c r="F12" s="7" t="n">
        <v>36.8</v>
      </c>
      <c r="G12" s="7" t="n">
        <v>40.7</v>
      </c>
      <c r="H12" s="7" t="n">
        <v>41</v>
      </c>
      <c r="I12" s="7" t="n">
        <v>41.1</v>
      </c>
      <c r="J12" s="7" t="n">
        <v>41.2</v>
      </c>
      <c r="K12" s="7" t="n">
        <v>41.6</v>
      </c>
      <c r="M12" s="6" t="inlineStr">
        <is>
          <t>6h</t>
        </is>
      </c>
      <c r="N12" s="6" t="n">
        <v>27.1</v>
      </c>
      <c r="O12" s="6" t="n">
        <v>45.2</v>
      </c>
      <c r="P12" s="6" t="n">
        <v>58.6</v>
      </c>
      <c r="Q12" s="6" t="n">
        <v>77.40000000000001</v>
      </c>
      <c r="R12" s="6" t="n">
        <v>92.90000000000001</v>
      </c>
      <c r="S12" s="6" t="n">
        <v>109.6</v>
      </c>
      <c r="T12" s="6" t="n">
        <v>127.7</v>
      </c>
      <c r="U12" s="6" t="n">
        <v>154.2</v>
      </c>
      <c r="V12" s="6" t="n">
        <v>176.3</v>
      </c>
      <c r="W12" s="6" t="n">
        <v>200.4</v>
      </c>
      <c r="X12" s="6" t="n">
        <v>235.5</v>
      </c>
      <c r="Y12" s="6" t="n">
        <v>264.8</v>
      </c>
    </row>
    <row r="13">
      <c r="A13" s="6" t="n">
        <v>2001</v>
      </c>
      <c r="B13" s="7" t="n">
        <v>3.4</v>
      </c>
      <c r="C13" s="7" t="n">
        <v>4.8</v>
      </c>
      <c r="D13" s="7" t="n">
        <v>5.8</v>
      </c>
      <c r="E13" s="7" t="n">
        <v>8</v>
      </c>
      <c r="F13" s="7" t="n">
        <v>9.800000000000001</v>
      </c>
      <c r="G13" s="7" t="n">
        <v>9.800000000000001</v>
      </c>
      <c r="H13" s="7" t="n">
        <v>10.2</v>
      </c>
      <c r="I13" s="7" t="n">
        <v>16.2</v>
      </c>
      <c r="J13" s="7" t="n">
        <v>20.7</v>
      </c>
      <c r="K13" s="7" t="n">
        <v>20.9</v>
      </c>
      <c r="M13" s="6" t="inlineStr">
        <is>
          <t>12h</t>
        </is>
      </c>
      <c r="N13" s="6" t="n">
        <v>29.8</v>
      </c>
      <c r="O13" s="6" t="n">
        <v>51.3</v>
      </c>
      <c r="P13" s="6" t="n">
        <v>67.8</v>
      </c>
      <c r="Q13" s="6" t="n">
        <v>91.59999999999999</v>
      </c>
      <c r="R13" s="6" t="n">
        <v>111.7</v>
      </c>
      <c r="S13" s="6" t="n">
        <v>133.9</v>
      </c>
      <c r="T13" s="6" t="n">
        <v>158.7</v>
      </c>
      <c r="U13" s="6" t="n">
        <v>195.8</v>
      </c>
      <c r="V13" s="6" t="n">
        <v>227.6</v>
      </c>
      <c r="W13" s="6" t="n">
        <v>263</v>
      </c>
      <c r="X13" s="6" t="n">
        <v>316.2</v>
      </c>
      <c r="Y13" s="6" t="n">
        <v>361.8</v>
      </c>
    </row>
    <row r="14">
      <c r="A14" s="6" t="n">
        <v>2002</v>
      </c>
      <c r="B14" s="7" t="n">
        <v>1.5</v>
      </c>
      <c r="C14" s="7" t="n">
        <v>2.6</v>
      </c>
      <c r="D14" s="7" t="n">
        <v>3.2</v>
      </c>
      <c r="E14" s="7" t="n">
        <v>4.1</v>
      </c>
      <c r="F14" s="7" t="n">
        <v>4.2</v>
      </c>
      <c r="G14" s="7" t="n">
        <v>4.2</v>
      </c>
      <c r="H14" s="7" t="n">
        <v>4.2</v>
      </c>
      <c r="I14" s="7" t="n">
        <v>4.3</v>
      </c>
      <c r="J14" s="7" t="n">
        <v>4.4</v>
      </c>
      <c r="K14" s="7" t="n">
        <v>4.6</v>
      </c>
      <c r="M14" s="6" t="inlineStr">
        <is>
          <t>24h</t>
        </is>
      </c>
      <c r="N14" s="6" t="n">
        <v>33.8</v>
      </c>
      <c r="O14" s="6" t="n">
        <v>58.6</v>
      </c>
      <c r="P14" s="6" t="n">
        <v>77.5</v>
      </c>
      <c r="Q14" s="6" t="n">
        <v>104.4</v>
      </c>
      <c r="R14" s="6" t="n">
        <v>126.8</v>
      </c>
      <c r="S14" s="6" t="n">
        <v>151.4</v>
      </c>
      <c r="T14" s="6" t="n">
        <v>178.5</v>
      </c>
      <c r="U14" s="6" t="n">
        <v>218.6</v>
      </c>
      <c r="V14" s="6" t="n">
        <v>252.6</v>
      </c>
      <c r="W14" s="6" t="n">
        <v>290.1</v>
      </c>
      <c r="X14" s="6" t="n">
        <v>345.7</v>
      </c>
      <c r="Y14" s="6" t="n">
        <v>392.9</v>
      </c>
    </row>
    <row r="15">
      <c r="A15" s="6" t="n">
        <v>2003</v>
      </c>
      <c r="B15" s="7" t="n">
        <v>9</v>
      </c>
      <c r="C15" s="7" t="n">
        <v>16.2</v>
      </c>
      <c r="D15" s="7" t="n">
        <v>22.6</v>
      </c>
      <c r="E15" s="7" t="n">
        <v>28</v>
      </c>
      <c r="F15" s="7" t="n">
        <v>36.4</v>
      </c>
      <c r="G15" s="7" t="n">
        <v>47.4</v>
      </c>
      <c r="H15" s="7" t="n">
        <v>48.8</v>
      </c>
      <c r="I15" s="7" t="n">
        <v>54.4</v>
      </c>
      <c r="J15" s="7" t="n">
        <v>56</v>
      </c>
      <c r="K15" s="7" t="n">
        <v>56.1</v>
      </c>
    </row>
    <row r="16">
      <c r="A16" s="6" t="n">
        <v>2004</v>
      </c>
      <c r="B16" s="7" t="n">
        <v>1</v>
      </c>
      <c r="C16" s="7" t="n">
        <v>1.4</v>
      </c>
      <c r="D16" s="7" t="n">
        <v>1.4</v>
      </c>
      <c r="E16" s="7" t="n">
        <v>1.6</v>
      </c>
      <c r="F16" s="7" t="n">
        <v>2</v>
      </c>
      <c r="G16" s="7" t="n">
        <v>2.5</v>
      </c>
      <c r="H16" s="7" t="n">
        <v>2.7</v>
      </c>
      <c r="I16" s="7" t="n">
        <v>2.8</v>
      </c>
      <c r="J16" s="7" t="n">
        <v>2.9</v>
      </c>
      <c r="K16" s="7" t="n">
        <v>3</v>
      </c>
      <c r="M16" s="3" t="inlineStr">
        <is>
          <t>IDF - intensity (mm/hr) [x=duration(min)]</t>
        </is>
      </c>
    </row>
    <row r="17">
      <c r="A17" s="6" t="n">
        <v>2005</v>
      </c>
      <c r="B17" s="7" t="n">
        <v>2.4</v>
      </c>
      <c r="C17" s="7" t="n">
        <v>3.2</v>
      </c>
      <c r="D17" s="7" t="n">
        <v>3.6</v>
      </c>
      <c r="E17" s="7" t="n">
        <v>4.4</v>
      </c>
      <c r="F17" s="7" t="n">
        <v>5.5</v>
      </c>
      <c r="G17" s="7" t="n">
        <v>6.4</v>
      </c>
      <c r="H17" s="7" t="n">
        <v>9.5</v>
      </c>
      <c r="I17" s="7" t="n">
        <v>19</v>
      </c>
      <c r="J17" s="7" t="n">
        <v>38</v>
      </c>
      <c r="K17" s="7" t="n">
        <v>76</v>
      </c>
      <c r="M17" t="inlineStr">
        <is>
          <t>Duration(min)</t>
        </is>
      </c>
      <c r="N17" t="inlineStr">
        <is>
          <t>2 yr</t>
        </is>
      </c>
      <c r="O17" t="inlineStr">
        <is>
          <t>5 yr</t>
        </is>
      </c>
      <c r="P17" t="inlineStr">
        <is>
          <t>10 yr</t>
        </is>
      </c>
      <c r="Q17" t="inlineStr">
        <is>
          <t>25 yr</t>
        </is>
      </c>
      <c r="R17" t="inlineStr">
        <is>
          <t>50 yr</t>
        </is>
      </c>
      <c r="S17" t="inlineStr">
        <is>
          <t>100 yr</t>
        </is>
      </c>
      <c r="T17" t="inlineStr">
        <is>
          <t>200 yr</t>
        </is>
      </c>
      <c r="U17" t="inlineStr">
        <is>
          <t>500 yr</t>
        </is>
      </c>
      <c r="V17" t="inlineStr">
        <is>
          <t>1000 yr</t>
        </is>
      </c>
      <c r="W17" t="inlineStr">
        <is>
          <t>2000 yr</t>
        </is>
      </c>
      <c r="X17" t="inlineStr">
        <is>
          <t>5000 yr</t>
        </is>
      </c>
      <c r="Y17" t="inlineStr">
        <is>
          <t>10000 yr</t>
        </is>
      </c>
    </row>
    <row r="18">
      <c r="A18" s="6" t="n">
        <v>2006</v>
      </c>
      <c r="B18" s="7" t="n">
        <v>6.6</v>
      </c>
      <c r="C18" s="7" t="n">
        <v>12.6</v>
      </c>
      <c r="D18" s="7" t="n">
        <v>16</v>
      </c>
      <c r="E18" s="7" t="n">
        <v>18.4</v>
      </c>
      <c r="F18" s="7" t="n">
        <v>18.4</v>
      </c>
      <c r="G18" s="7" t="n">
        <v>18.4</v>
      </c>
      <c r="H18" s="7" t="n">
        <v>18.4</v>
      </c>
      <c r="I18" s="7" t="n">
        <v>18.6</v>
      </c>
      <c r="J18" s="7" t="n">
        <v>18.8</v>
      </c>
      <c r="K18" s="7" t="n">
        <v>27.8</v>
      </c>
      <c r="M18" t="n">
        <v>5</v>
      </c>
      <c r="N18" t="n">
        <v>66</v>
      </c>
      <c r="O18" t="n">
        <v>99.7</v>
      </c>
      <c r="P18" t="n">
        <v>123.3</v>
      </c>
      <c r="Q18" t="n">
        <v>154.6</v>
      </c>
      <c r="R18" t="n">
        <v>178.9</v>
      </c>
      <c r="S18" t="n">
        <v>204.1</v>
      </c>
      <c r="T18" t="n">
        <v>230.2</v>
      </c>
      <c r="U18" t="n">
        <v>266.2</v>
      </c>
      <c r="V18" t="n">
        <v>294.8</v>
      </c>
      <c r="W18" t="n">
        <v>324.5</v>
      </c>
      <c r="X18" t="n">
        <v>365.7</v>
      </c>
      <c r="Y18" t="n">
        <v>398.3</v>
      </c>
    </row>
    <row r="19">
      <c r="A19" s="6" t="n">
        <v>2007</v>
      </c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M19" t="n">
        <v>10</v>
      </c>
      <c r="N19" t="n">
        <v>54.1</v>
      </c>
      <c r="O19" t="n">
        <v>82.3</v>
      </c>
      <c r="P19" t="n">
        <v>101.8</v>
      </c>
      <c r="Q19" t="n">
        <v>127.6</v>
      </c>
      <c r="R19" t="n">
        <v>147.6</v>
      </c>
      <c r="S19" t="n">
        <v>168.2</v>
      </c>
      <c r="T19" t="n">
        <v>189.4</v>
      </c>
      <c r="U19" t="n">
        <v>218.7</v>
      </c>
      <c r="V19" t="n">
        <v>241.7</v>
      </c>
      <c r="W19" t="n">
        <v>265.6</v>
      </c>
      <c r="X19" t="n">
        <v>298.5</v>
      </c>
      <c r="Y19" t="n">
        <v>324.5</v>
      </c>
    </row>
    <row r="20">
      <c r="A20" s="6" t="n">
        <v>2008</v>
      </c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M20" t="n">
        <v>15</v>
      </c>
      <c r="N20" t="n">
        <v>46</v>
      </c>
      <c r="O20" t="n">
        <v>70.3</v>
      </c>
      <c r="P20" t="n">
        <v>87.3</v>
      </c>
      <c r="Q20" t="n">
        <v>109.7</v>
      </c>
      <c r="R20" t="n">
        <v>127.1</v>
      </c>
      <c r="S20" t="n">
        <v>145.1</v>
      </c>
      <c r="T20" t="n">
        <v>163.6</v>
      </c>
      <c r="U20" t="n">
        <v>189.1</v>
      </c>
      <c r="V20" t="n">
        <v>209.3</v>
      </c>
      <c r="W20" t="n">
        <v>230.2</v>
      </c>
      <c r="X20" t="n">
        <v>259.1</v>
      </c>
      <c r="Y20" t="n">
        <v>281.9</v>
      </c>
    </row>
    <row r="21">
      <c r="A21" s="6" t="n">
        <v>2009</v>
      </c>
      <c r="B21" s="7" t="n">
        <v>2.6</v>
      </c>
      <c r="C21" s="7" t="n">
        <v>4.8</v>
      </c>
      <c r="D21" s="7" t="n">
        <v>7</v>
      </c>
      <c r="E21" s="7" t="n">
        <v>10.2</v>
      </c>
      <c r="F21" s="7" t="n">
        <v>11.8</v>
      </c>
      <c r="G21" s="7" t="n">
        <v>11.8</v>
      </c>
      <c r="H21" s="7" t="n">
        <v>11.8</v>
      </c>
      <c r="I21" s="7" t="n">
        <v>11.8</v>
      </c>
      <c r="J21" s="7" t="n">
        <v>11.9</v>
      </c>
      <c r="K21" s="7" t="n">
        <v>12</v>
      </c>
      <c r="M21" t="n">
        <v>30</v>
      </c>
      <c r="N21" t="n">
        <v>31.6</v>
      </c>
      <c r="O21" t="n">
        <v>49.1</v>
      </c>
      <c r="P21" t="n">
        <v>61.3</v>
      </c>
      <c r="Q21" t="n">
        <v>77.5</v>
      </c>
      <c r="R21" t="n">
        <v>90</v>
      </c>
      <c r="S21" t="n">
        <v>102.9</v>
      </c>
      <c r="T21" t="n">
        <v>116.3</v>
      </c>
      <c r="U21" t="n">
        <v>134.7</v>
      </c>
      <c r="V21" t="n">
        <v>149.2</v>
      </c>
      <c r="W21" t="n">
        <v>164.4</v>
      </c>
      <c r="X21" t="n">
        <v>185.2</v>
      </c>
      <c r="Y21" t="n">
        <v>201.7</v>
      </c>
    </row>
    <row r="22">
      <c r="A22" s="6" t="n">
        <v>2010</v>
      </c>
      <c r="B22" s="7" t="n">
        <v>7</v>
      </c>
      <c r="C22" s="7" t="n">
        <v>11</v>
      </c>
      <c r="D22" s="7" t="n">
        <v>13</v>
      </c>
      <c r="E22" s="7" t="n">
        <v>22.6</v>
      </c>
      <c r="F22" s="7" t="n">
        <v>35.8</v>
      </c>
      <c r="G22" s="7" t="n">
        <v>45.7</v>
      </c>
      <c r="H22" s="7" t="n">
        <v>45.8</v>
      </c>
      <c r="I22" s="7" t="n">
        <v>45.9</v>
      </c>
      <c r="J22" s="7" t="n">
        <v>46.1</v>
      </c>
      <c r="K22" s="7" t="n">
        <v>48.2</v>
      </c>
      <c r="M22" t="n">
        <v>60</v>
      </c>
      <c r="N22" t="n">
        <v>19.6</v>
      </c>
      <c r="O22" t="n">
        <v>30.5</v>
      </c>
      <c r="P22" t="n">
        <v>38.2</v>
      </c>
      <c r="Q22" t="n">
        <v>48.2</v>
      </c>
      <c r="R22" t="n">
        <v>56</v>
      </c>
      <c r="S22" t="n">
        <v>64.09999999999999</v>
      </c>
      <c r="T22" t="n">
        <v>72.40000000000001</v>
      </c>
      <c r="U22" t="n">
        <v>83.8</v>
      </c>
      <c r="V22" t="n">
        <v>92.90000000000001</v>
      </c>
      <c r="W22" t="n">
        <v>102.3</v>
      </c>
      <c r="X22" t="n">
        <v>115.3</v>
      </c>
      <c r="Y22" t="n">
        <v>125.5</v>
      </c>
    </row>
    <row r="23">
      <c r="A23" s="6" t="n">
        <v>2011</v>
      </c>
      <c r="B23" s="7" t="n">
        <v>5.2</v>
      </c>
      <c r="C23" s="7" t="n">
        <v>8.6</v>
      </c>
      <c r="D23" s="7" t="n">
        <v>11.3</v>
      </c>
      <c r="E23" s="7" t="n">
        <v>17.7</v>
      </c>
      <c r="F23" s="7" t="n">
        <v>25</v>
      </c>
      <c r="G23" s="7" t="n">
        <v>31.2</v>
      </c>
      <c r="H23" s="7" t="n">
        <v>32</v>
      </c>
      <c r="I23" s="7" t="n">
        <v>32.2</v>
      </c>
      <c r="J23" s="7" t="n">
        <v>33.3</v>
      </c>
      <c r="K23" s="7" t="n">
        <v>33.5</v>
      </c>
      <c r="M23" t="n">
        <v>120</v>
      </c>
      <c r="N23" t="n">
        <v>11.4</v>
      </c>
      <c r="O23" t="n">
        <v>18.1</v>
      </c>
      <c r="P23" t="n">
        <v>22.9</v>
      </c>
      <c r="Q23" t="n">
        <v>29.2</v>
      </c>
      <c r="R23" t="n">
        <v>34.2</v>
      </c>
      <c r="S23" t="n">
        <v>39.4</v>
      </c>
      <c r="T23" t="n">
        <v>44.8</v>
      </c>
      <c r="U23" t="n">
        <v>52.4</v>
      </c>
      <c r="V23" t="n">
        <v>58.4</v>
      </c>
      <c r="W23" t="n">
        <v>64.7</v>
      </c>
      <c r="X23" t="n">
        <v>73.59999999999999</v>
      </c>
      <c r="Y23" t="n">
        <v>80.59999999999999</v>
      </c>
    </row>
    <row r="24">
      <c r="A24" s="6" t="n">
        <v>2012</v>
      </c>
      <c r="B24" s="7" t="n">
        <v>9.800000000000001</v>
      </c>
      <c r="C24" s="7" t="n">
        <v>17</v>
      </c>
      <c r="D24" s="7" t="n">
        <v>20</v>
      </c>
      <c r="E24" s="7" t="n">
        <v>26</v>
      </c>
      <c r="F24" s="7" t="n">
        <v>30.6</v>
      </c>
      <c r="G24" s="7" t="n">
        <v>36.9</v>
      </c>
      <c r="H24" s="7" t="n">
        <v>38.4</v>
      </c>
      <c r="I24" s="7" t="n">
        <v>38.6</v>
      </c>
      <c r="J24" s="7" t="n">
        <v>38.7</v>
      </c>
      <c r="K24" s="7" t="n">
        <v>38.8</v>
      </c>
      <c r="M24" t="n">
        <v>180</v>
      </c>
      <c r="N24" t="n">
        <v>8.1</v>
      </c>
      <c r="O24" t="n">
        <v>13.1</v>
      </c>
      <c r="P24" t="n">
        <v>16.8</v>
      </c>
      <c r="Q24" t="n">
        <v>21.8</v>
      </c>
      <c r="R24" t="n">
        <v>25.9</v>
      </c>
      <c r="S24" t="n">
        <v>30.2</v>
      </c>
      <c r="T24" t="n">
        <v>34.9</v>
      </c>
      <c r="U24" t="n">
        <v>41.5</v>
      </c>
      <c r="V24" t="n">
        <v>46.9</v>
      </c>
      <c r="W24" t="n">
        <v>52.8</v>
      </c>
      <c r="X24" t="n">
        <v>61.2</v>
      </c>
      <c r="Y24" t="n">
        <v>68.09999999999999</v>
      </c>
    </row>
    <row r="25">
      <c r="A25" s="6" t="n">
        <v>2013</v>
      </c>
      <c r="B25" s="7" t="n">
        <v>5.4</v>
      </c>
      <c r="C25" s="7" t="n">
        <v>9.199999999999999</v>
      </c>
      <c r="D25" s="7" t="n">
        <v>12</v>
      </c>
      <c r="E25" s="7" t="n">
        <v>13</v>
      </c>
      <c r="F25" s="7" t="n">
        <v>14</v>
      </c>
      <c r="G25" s="7" t="n">
        <v>15.2</v>
      </c>
      <c r="H25" s="7" t="n">
        <v>16.1</v>
      </c>
      <c r="I25" s="7" t="n">
        <v>19.4</v>
      </c>
      <c r="J25" s="7" t="n">
        <v>19.5</v>
      </c>
      <c r="K25" s="7" t="n">
        <v>21.1</v>
      </c>
      <c r="M25" t="n">
        <v>360</v>
      </c>
      <c r="N25" t="n">
        <v>4.5</v>
      </c>
      <c r="O25" t="n">
        <v>7.5</v>
      </c>
      <c r="P25" t="n">
        <v>9.800000000000001</v>
      </c>
      <c r="Q25" t="n">
        <v>12.9</v>
      </c>
      <c r="R25" t="n">
        <v>15.5</v>
      </c>
      <c r="S25" t="n">
        <v>18.3</v>
      </c>
      <c r="T25" t="n">
        <v>21.3</v>
      </c>
      <c r="U25" t="n">
        <v>25.7</v>
      </c>
      <c r="V25" t="n">
        <v>29.4</v>
      </c>
      <c r="W25" t="n">
        <v>33.4</v>
      </c>
      <c r="X25" t="n">
        <v>39.2</v>
      </c>
      <c r="Y25" t="n">
        <v>44.1</v>
      </c>
    </row>
    <row r="26">
      <c r="A26" s="6" t="n">
        <v>2014</v>
      </c>
      <c r="B26" s="7" t="n">
        <v>10.8</v>
      </c>
      <c r="C26" s="7" t="n">
        <v>18.6</v>
      </c>
      <c r="D26" s="7" t="n">
        <v>22.6</v>
      </c>
      <c r="E26" s="7" t="n">
        <v>27.2</v>
      </c>
      <c r="F26" s="7" t="n">
        <v>30.6</v>
      </c>
      <c r="G26" s="7" t="n">
        <v>50.8</v>
      </c>
      <c r="H26" s="7" t="n">
        <v>73.2</v>
      </c>
      <c r="I26" s="7" t="n">
        <v>101.1</v>
      </c>
      <c r="J26" s="7" t="n">
        <v>120.2</v>
      </c>
      <c r="K26" s="7" t="n">
        <v>135.5</v>
      </c>
      <c r="M26" t="n">
        <v>720</v>
      </c>
      <c r="N26" t="n">
        <v>2.5</v>
      </c>
      <c r="O26" t="n">
        <v>4.3</v>
      </c>
      <c r="P26" t="n">
        <v>5.6</v>
      </c>
      <c r="Q26" t="n">
        <v>7.6</v>
      </c>
      <c r="R26" t="n">
        <v>9.300000000000001</v>
      </c>
      <c r="S26" t="n">
        <v>11.2</v>
      </c>
      <c r="T26" t="n">
        <v>13.2</v>
      </c>
      <c r="U26" t="n">
        <v>16.3</v>
      </c>
      <c r="V26" t="n">
        <v>19</v>
      </c>
      <c r="W26" t="n">
        <v>21.9</v>
      </c>
      <c r="X26" t="n">
        <v>26.3</v>
      </c>
      <c r="Y26" t="n">
        <v>30.1</v>
      </c>
    </row>
    <row r="27">
      <c r="A27" s="6" t="n">
        <v>2016</v>
      </c>
      <c r="B27" s="7" t="n"/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  <c r="M27" t="n">
        <v>1440</v>
      </c>
      <c r="N27" t="n">
        <v>1.4</v>
      </c>
      <c r="O27" t="n">
        <v>2.4</v>
      </c>
      <c r="P27" t="n">
        <v>3.2</v>
      </c>
      <c r="Q27" t="n">
        <v>4.3</v>
      </c>
      <c r="R27" t="n">
        <v>5.3</v>
      </c>
      <c r="S27" t="n">
        <v>6.3</v>
      </c>
      <c r="T27" t="n">
        <v>7.4</v>
      </c>
      <c r="U27" t="n">
        <v>9.1</v>
      </c>
      <c r="V27" t="n">
        <v>10.5</v>
      </c>
      <c r="W27" t="n">
        <v>12.1</v>
      </c>
      <c r="X27" t="n">
        <v>14.4</v>
      </c>
      <c r="Y27" t="n">
        <v>16.4</v>
      </c>
    </row>
    <row r="28">
      <c r="A28" s="6" t="n">
        <v>2017</v>
      </c>
      <c r="B28" s="7" t="n">
        <v>3.6</v>
      </c>
      <c r="C28" s="7" t="n">
        <v>7</v>
      </c>
      <c r="D28" s="7" t="n">
        <v>8.800000000000001</v>
      </c>
      <c r="E28" s="7" t="n">
        <v>13.4</v>
      </c>
      <c r="F28" s="7" t="n">
        <v>19.8</v>
      </c>
      <c r="G28" s="7" t="n">
        <v>23.3</v>
      </c>
      <c r="H28" s="7" t="n">
        <v>25.4</v>
      </c>
      <c r="I28" s="7" t="n">
        <v>25.6</v>
      </c>
      <c r="J28" s="7" t="n">
        <v>25.7</v>
      </c>
      <c r="K28" s="7" t="n">
        <v>26</v>
      </c>
    </row>
    <row r="29">
      <c r="A29" s="6" t="n">
        <v>2018</v>
      </c>
      <c r="B29" s="7" t="n">
        <v>7</v>
      </c>
      <c r="C29" s="7" t="n">
        <v>11.2</v>
      </c>
      <c r="D29" s="7" t="n">
        <v>14.2</v>
      </c>
      <c r="E29" s="7" t="n">
        <v>17.6</v>
      </c>
      <c r="F29" s="7" t="n">
        <v>17.9</v>
      </c>
      <c r="G29" s="7" t="n">
        <v>18</v>
      </c>
      <c r="H29" s="7" t="n">
        <v>18</v>
      </c>
      <c r="I29" s="7" t="n">
        <v>18.1</v>
      </c>
      <c r="J29" s="7" t="n">
        <v>18.1</v>
      </c>
      <c r="K29" s="7" t="n">
        <v>18.2</v>
      </c>
    </row>
    <row r="30">
      <c r="A30" s="6" t="n">
        <v>2019</v>
      </c>
      <c r="B30" s="7" t="n">
        <v>6.4</v>
      </c>
      <c r="C30" s="7" t="n">
        <v>10</v>
      </c>
      <c r="D30" s="7" t="n">
        <v>12.8</v>
      </c>
      <c r="E30" s="7" t="n">
        <v>18.2</v>
      </c>
      <c r="F30" s="7" t="n">
        <v>22.4</v>
      </c>
      <c r="G30" s="7" t="n">
        <v>24.8</v>
      </c>
      <c r="H30" s="7" t="n">
        <v>26</v>
      </c>
      <c r="I30" s="7" t="n">
        <v>35.2</v>
      </c>
      <c r="J30" s="7" t="n">
        <v>40.2</v>
      </c>
      <c r="K30" s="7" t="n">
        <v>57.7</v>
      </c>
    </row>
    <row r="31">
      <c r="A31" s="6" t="n">
        <v>2020</v>
      </c>
      <c r="B31" s="7" t="n">
        <v>4.4</v>
      </c>
      <c r="C31" s="7" t="n">
        <v>8.199999999999999</v>
      </c>
      <c r="D31" s="7" t="n">
        <v>10</v>
      </c>
      <c r="E31" s="7" t="n">
        <v>13.6</v>
      </c>
      <c r="F31" s="7" t="n">
        <v>14.2</v>
      </c>
      <c r="G31" s="7" t="n">
        <v>15.2</v>
      </c>
      <c r="H31" s="7" t="n">
        <v>15.2</v>
      </c>
      <c r="I31" s="7" t="n">
        <v>15.3</v>
      </c>
      <c r="J31" s="7" t="n">
        <v>15.3</v>
      </c>
      <c r="K31" s="7" t="n">
        <v>18.4</v>
      </c>
    </row>
    <row r="32">
      <c r="A32" s="6" t="n">
        <v>2021</v>
      </c>
      <c r="B32" s="7" t="n">
        <v>4.4</v>
      </c>
      <c r="C32" s="7" t="n">
        <v>8.4</v>
      </c>
      <c r="D32" s="7" t="n">
        <v>11.4</v>
      </c>
      <c r="E32" s="7" t="n">
        <v>15.6</v>
      </c>
      <c r="F32" s="7" t="n">
        <v>24</v>
      </c>
      <c r="G32" s="7" t="n">
        <v>28.7</v>
      </c>
      <c r="H32" s="7" t="n">
        <v>28.8</v>
      </c>
      <c r="I32" s="7" t="n">
        <v>28.8</v>
      </c>
      <c r="J32" s="7" t="n">
        <v>28.8</v>
      </c>
      <c r="K32" s="7" t="n">
        <v>28.8</v>
      </c>
    </row>
    <row r="33">
      <c r="A33" s="6" t="n">
        <v>2022</v>
      </c>
      <c r="B33" s="7" t="n">
        <v>8.6</v>
      </c>
      <c r="C33" s="7" t="n">
        <v>16.2</v>
      </c>
      <c r="D33" s="7" t="n">
        <v>22.4</v>
      </c>
      <c r="E33" s="7" t="n">
        <v>34.2</v>
      </c>
      <c r="F33" s="7" t="n">
        <v>36.2</v>
      </c>
      <c r="G33" s="7" t="n">
        <v>48.9</v>
      </c>
      <c r="H33" s="7" t="n">
        <v>49</v>
      </c>
      <c r="I33" s="7" t="n">
        <v>49</v>
      </c>
      <c r="J33" s="7" t="n">
        <v>49</v>
      </c>
      <c r="K33" s="7" t="n">
        <v>52.9</v>
      </c>
    </row>
    <row r="36">
      <c r="A36" s="2" t="inlineStr">
        <is>
          <t>AMS AFTER gap filling (mm)  -  yellow = added or changed by gap filling</t>
        </is>
      </c>
    </row>
    <row r="37">
      <c r="A37" s="4" t="inlineStr">
        <is>
          <t>Water year</t>
        </is>
      </c>
      <c r="B37" s="5" t="inlineStr">
        <is>
          <t>5min</t>
        </is>
      </c>
      <c r="C37" s="5" t="inlineStr">
        <is>
          <t>10min</t>
        </is>
      </c>
      <c r="D37" s="5" t="inlineStr">
        <is>
          <t>15min</t>
        </is>
      </c>
      <c r="E37" s="5" t="inlineStr">
        <is>
          <t>30min</t>
        </is>
      </c>
      <c r="F37" s="5" t="inlineStr">
        <is>
          <t>1h</t>
        </is>
      </c>
      <c r="G37" s="5" t="inlineStr">
        <is>
          <t>2h</t>
        </is>
      </c>
      <c r="H37" s="5" t="inlineStr">
        <is>
          <t>3h</t>
        </is>
      </c>
      <c r="I37" s="5" t="inlineStr">
        <is>
          <t>6h</t>
        </is>
      </c>
      <c r="J37" s="5" t="inlineStr">
        <is>
          <t>12h</t>
        </is>
      </c>
      <c r="K37" s="5" t="inlineStr">
        <is>
          <t>24h</t>
        </is>
      </c>
    </row>
    <row r="38">
      <c r="A38" s="6" t="n">
        <v>1993</v>
      </c>
      <c r="B38" s="7" t="n">
        <v>3.6</v>
      </c>
      <c r="C38" s="7" t="n">
        <v>6.4</v>
      </c>
      <c r="D38" s="7" t="n">
        <v>7.4</v>
      </c>
      <c r="E38" s="7" t="n">
        <v>12.4</v>
      </c>
      <c r="F38" s="7" t="n">
        <v>14.8</v>
      </c>
      <c r="G38" s="7" t="n">
        <v>20.2</v>
      </c>
      <c r="H38" s="7" t="n">
        <v>20.4</v>
      </c>
      <c r="I38" s="7" t="n">
        <v>20.4</v>
      </c>
      <c r="J38" s="7" t="n">
        <v>20.5</v>
      </c>
      <c r="K38" s="8" t="n">
        <v>25.4</v>
      </c>
    </row>
    <row r="39">
      <c r="A39" s="6" t="n">
        <v>1994</v>
      </c>
      <c r="B39" s="7" t="n">
        <v>6.6</v>
      </c>
      <c r="C39" s="7" t="n">
        <v>12.8</v>
      </c>
      <c r="D39" s="7" t="n">
        <v>18.2</v>
      </c>
      <c r="E39" s="7" t="n">
        <v>26</v>
      </c>
      <c r="F39" s="7" t="n">
        <v>36.4</v>
      </c>
      <c r="G39" s="7" t="n">
        <v>41.6</v>
      </c>
      <c r="H39" s="7" t="n">
        <v>41.6</v>
      </c>
      <c r="I39" s="7" t="n">
        <v>41.6</v>
      </c>
      <c r="J39" s="7" t="n">
        <v>41.7</v>
      </c>
      <c r="K39" s="7" t="n">
        <v>49</v>
      </c>
    </row>
    <row r="40">
      <c r="A40" s="6" t="n">
        <v>1995</v>
      </c>
      <c r="B40" s="7" t="n">
        <v>10</v>
      </c>
      <c r="C40" s="7" t="n">
        <v>14</v>
      </c>
      <c r="D40" s="7" t="n">
        <v>17.8</v>
      </c>
      <c r="E40" s="7" t="n">
        <v>30.2</v>
      </c>
      <c r="F40" s="7" t="n">
        <v>39.6</v>
      </c>
      <c r="G40" s="7" t="n">
        <v>44.4</v>
      </c>
      <c r="H40" s="7" t="n">
        <v>49.6</v>
      </c>
      <c r="I40" s="7" t="n">
        <v>53.2</v>
      </c>
      <c r="J40" s="7" t="n">
        <v>53.3</v>
      </c>
      <c r="K40" s="7" t="n">
        <v>53.4</v>
      </c>
    </row>
    <row r="41">
      <c r="A41" s="6" t="n">
        <v>1996</v>
      </c>
      <c r="B41" s="7" t="n">
        <v>8.6</v>
      </c>
      <c r="C41" s="7" t="n">
        <v>16</v>
      </c>
      <c r="D41" s="7" t="n">
        <v>22.6</v>
      </c>
      <c r="E41" s="7" t="n">
        <v>40.8</v>
      </c>
      <c r="F41" s="7" t="n">
        <v>45</v>
      </c>
      <c r="G41" s="7" t="n">
        <v>49.2</v>
      </c>
      <c r="H41" s="7" t="n">
        <v>52.8</v>
      </c>
      <c r="I41" s="7" t="n">
        <v>56.6</v>
      </c>
      <c r="J41" s="7" t="n">
        <v>56.9</v>
      </c>
      <c r="K41" s="7" t="n">
        <v>57.9</v>
      </c>
    </row>
    <row r="42">
      <c r="A42" s="6" t="n">
        <v>1997</v>
      </c>
      <c r="B42" s="7" t="n">
        <v>13.4</v>
      </c>
      <c r="C42" s="7" t="n">
        <v>16</v>
      </c>
      <c r="D42" s="7" t="n">
        <v>17.4</v>
      </c>
      <c r="E42" s="7" t="n">
        <v>25.4</v>
      </c>
      <c r="F42" s="7" t="n">
        <v>30.2</v>
      </c>
      <c r="G42" s="7" t="n">
        <v>31.2</v>
      </c>
      <c r="H42" s="7" t="n">
        <v>34.4</v>
      </c>
      <c r="I42" s="7" t="n">
        <v>48.4</v>
      </c>
      <c r="J42" s="7" t="n">
        <v>62.6</v>
      </c>
      <c r="K42" s="7" t="n">
        <v>84.8</v>
      </c>
    </row>
    <row r="43">
      <c r="A43" s="6" t="n">
        <v>1998</v>
      </c>
      <c r="B43" s="7" t="n">
        <v>7.4</v>
      </c>
      <c r="C43" s="7" t="n">
        <v>12.6</v>
      </c>
      <c r="D43" s="7" t="n">
        <v>17</v>
      </c>
      <c r="E43" s="7" t="n">
        <v>25.6</v>
      </c>
      <c r="F43" s="7" t="n">
        <v>28</v>
      </c>
      <c r="G43" s="7" t="n">
        <v>28.2</v>
      </c>
      <c r="H43" s="7" t="n">
        <v>28.3</v>
      </c>
      <c r="I43" s="7" t="n">
        <v>39.8</v>
      </c>
      <c r="J43" s="7" t="n">
        <v>40.4</v>
      </c>
      <c r="K43" s="7" t="n">
        <v>41.6</v>
      </c>
    </row>
    <row r="44">
      <c r="A44" s="6" t="n">
        <v>1999</v>
      </c>
      <c r="B44" s="7" t="n">
        <v>6.4</v>
      </c>
      <c r="C44" s="7" t="n">
        <v>7.8</v>
      </c>
      <c r="D44" s="7" t="n">
        <v>8.199999999999999</v>
      </c>
      <c r="E44" s="8" t="n">
        <v>9.199999999999999</v>
      </c>
      <c r="F44" s="8" t="n">
        <v>13.3</v>
      </c>
      <c r="G44" s="8" t="n">
        <v>14.4</v>
      </c>
      <c r="H44" s="8" t="n">
        <v>14.6</v>
      </c>
      <c r="I44" s="7" t="n">
        <v>19.4</v>
      </c>
      <c r="J44" s="7" t="n">
        <v>30.6</v>
      </c>
      <c r="K44" s="7" t="n">
        <v>30.9</v>
      </c>
    </row>
    <row r="45">
      <c r="A45" s="6" t="n">
        <v>2000</v>
      </c>
      <c r="B45" s="7" t="n">
        <v>6</v>
      </c>
      <c r="C45" s="7" t="n">
        <v>10</v>
      </c>
      <c r="D45" s="7" t="n">
        <v>14.8</v>
      </c>
      <c r="E45" s="7" t="n">
        <v>23.6</v>
      </c>
      <c r="F45" s="7" t="n">
        <v>36.8</v>
      </c>
      <c r="G45" s="7" t="n">
        <v>40.7</v>
      </c>
      <c r="H45" s="7" t="n">
        <v>41</v>
      </c>
      <c r="I45" s="7" t="n">
        <v>41.1</v>
      </c>
      <c r="J45" s="7" t="n">
        <v>41.2</v>
      </c>
      <c r="K45" s="7" t="n">
        <v>41.6</v>
      </c>
    </row>
    <row r="46">
      <c r="A46" s="6" t="n">
        <v>2001</v>
      </c>
      <c r="B46" s="7" t="n">
        <v>3.4</v>
      </c>
      <c r="C46" s="8" t="n">
        <v>5.2</v>
      </c>
      <c r="D46" s="8" t="n">
        <v>6.8</v>
      </c>
      <c r="E46" s="8" t="n">
        <v>10.5</v>
      </c>
      <c r="F46" s="8" t="n">
        <v>16.9</v>
      </c>
      <c r="G46" s="8" t="n">
        <v>19.9</v>
      </c>
      <c r="H46" s="8" t="n">
        <v>19.9</v>
      </c>
      <c r="I46" s="8" t="n">
        <v>19.9</v>
      </c>
      <c r="J46" s="7" t="n">
        <v>20.7</v>
      </c>
      <c r="K46" s="7" t="n">
        <v>20.9</v>
      </c>
    </row>
    <row r="47">
      <c r="A47" s="6" t="n">
        <v>2002</v>
      </c>
      <c r="B47" s="7" t="n">
        <v>1.5</v>
      </c>
      <c r="C47" s="7" t="n">
        <v>2.6</v>
      </c>
      <c r="D47" s="7" t="n">
        <v>3.2</v>
      </c>
      <c r="E47" s="7" t="n">
        <v>4.1</v>
      </c>
      <c r="F47" s="8" t="n">
        <v>4.6</v>
      </c>
      <c r="G47" s="8" t="n">
        <v>4.9</v>
      </c>
      <c r="H47" s="8" t="n">
        <v>5.8</v>
      </c>
      <c r="I47" s="8" t="n">
        <v>5.9</v>
      </c>
      <c r="J47" s="8" t="n">
        <v>6</v>
      </c>
      <c r="K47" s="8" t="n">
        <v>6.3</v>
      </c>
    </row>
    <row r="48">
      <c r="A48" s="6" t="n">
        <v>2003</v>
      </c>
      <c r="B48" s="7" t="n">
        <v>9</v>
      </c>
      <c r="C48" s="7" t="n">
        <v>16.2</v>
      </c>
      <c r="D48" s="7" t="n">
        <v>22.6</v>
      </c>
      <c r="E48" s="7" t="n">
        <v>28</v>
      </c>
      <c r="F48" s="7" t="n">
        <v>36.4</v>
      </c>
      <c r="G48" s="7" t="n">
        <v>47.4</v>
      </c>
      <c r="H48" s="7" t="n">
        <v>48.8</v>
      </c>
      <c r="I48" s="7" t="n">
        <v>54.4</v>
      </c>
      <c r="J48" s="7" t="n">
        <v>56</v>
      </c>
      <c r="K48" s="7" t="n">
        <v>56.1</v>
      </c>
    </row>
    <row r="49">
      <c r="A49" s="6" t="n">
        <v>2004</v>
      </c>
      <c r="B49" s="8" t="n">
        <v>3.9</v>
      </c>
      <c r="C49" s="8" t="n">
        <v>6.4</v>
      </c>
      <c r="D49" s="8" t="n">
        <v>8.6</v>
      </c>
      <c r="E49" s="8" t="n">
        <v>10.7</v>
      </c>
      <c r="F49" s="8" t="n">
        <v>10.8</v>
      </c>
      <c r="G49" s="8" t="n">
        <v>15.9</v>
      </c>
      <c r="H49" s="8" t="n">
        <v>16.4</v>
      </c>
      <c r="I49" s="8" t="n">
        <v>16.6</v>
      </c>
      <c r="J49" s="8" t="n">
        <v>16.6</v>
      </c>
      <c r="K49" s="8" t="n">
        <v>16.7</v>
      </c>
    </row>
    <row r="50">
      <c r="A50" s="6" t="n">
        <v>2005</v>
      </c>
      <c r="B50" s="8" t="n">
        <v>3.5</v>
      </c>
      <c r="C50" s="8" t="n">
        <v>6.1</v>
      </c>
      <c r="D50" s="8" t="n">
        <v>7.8</v>
      </c>
      <c r="E50" s="8" t="n">
        <v>8.4</v>
      </c>
      <c r="F50" s="8" t="n">
        <v>8.6</v>
      </c>
      <c r="G50" s="8" t="n">
        <v>8.6</v>
      </c>
      <c r="H50" s="7" t="n">
        <v>9.5</v>
      </c>
      <c r="I50" s="7" t="n">
        <v>19</v>
      </c>
      <c r="J50" s="7" t="n">
        <v>38</v>
      </c>
      <c r="K50" s="7" t="n">
        <v>76</v>
      </c>
    </row>
    <row r="51">
      <c r="A51" s="6" t="n">
        <v>2006</v>
      </c>
      <c r="B51" s="7" t="n">
        <v>6.6</v>
      </c>
      <c r="C51" s="7" t="n">
        <v>12.6</v>
      </c>
      <c r="D51" s="7" t="n">
        <v>16</v>
      </c>
      <c r="E51" s="7" t="n">
        <v>18.4</v>
      </c>
      <c r="F51" s="7" t="n">
        <v>18.4</v>
      </c>
      <c r="G51" s="7" t="n">
        <v>18.4</v>
      </c>
      <c r="H51" s="7" t="n">
        <v>18.4</v>
      </c>
      <c r="I51" s="7" t="n">
        <v>18.6</v>
      </c>
      <c r="J51" s="7" t="n">
        <v>18.8</v>
      </c>
      <c r="K51" s="7" t="n">
        <v>27.8</v>
      </c>
    </row>
    <row r="52">
      <c r="A52" s="6" t="n">
        <v>2007</v>
      </c>
      <c r="B52" s="8" t="n">
        <v>5.3</v>
      </c>
      <c r="C52" s="8" t="n">
        <v>8.6</v>
      </c>
      <c r="D52" s="8" t="n">
        <v>9.9</v>
      </c>
      <c r="E52" s="8" t="n">
        <v>9.9</v>
      </c>
      <c r="F52" s="8" t="n">
        <v>10.4</v>
      </c>
      <c r="G52" s="8" t="n">
        <v>14.2</v>
      </c>
      <c r="H52" s="8" t="n">
        <v>17.4</v>
      </c>
      <c r="I52" s="8" t="n">
        <v>19.2</v>
      </c>
      <c r="J52" s="8" t="n">
        <v>26.6</v>
      </c>
      <c r="K52" s="8" t="n">
        <v>29.1</v>
      </c>
    </row>
    <row r="53">
      <c r="A53" s="6" t="n">
        <v>2008</v>
      </c>
      <c r="B53" s="8" t="n">
        <v>2.5</v>
      </c>
      <c r="C53" s="8" t="n">
        <v>4.8</v>
      </c>
      <c r="D53" s="8" t="n">
        <v>6</v>
      </c>
      <c r="E53" s="8" t="n">
        <v>8.199999999999999</v>
      </c>
      <c r="F53" s="8" t="n">
        <v>11.4</v>
      </c>
      <c r="G53" s="8" t="n">
        <v>11.4</v>
      </c>
      <c r="H53" s="8" t="n">
        <v>11.4</v>
      </c>
      <c r="I53" s="8" t="n">
        <v>11.4</v>
      </c>
      <c r="J53" s="8" t="n">
        <v>11.5</v>
      </c>
      <c r="K53" s="8" t="n">
        <v>11.5</v>
      </c>
    </row>
    <row r="54">
      <c r="A54" s="6" t="n">
        <v>2009</v>
      </c>
      <c r="B54" s="8" t="n">
        <v>3.1</v>
      </c>
      <c r="C54" s="8" t="n">
        <v>5.1</v>
      </c>
      <c r="D54" s="7" t="n">
        <v>7</v>
      </c>
      <c r="E54" s="7" t="n">
        <v>10.2</v>
      </c>
      <c r="F54" s="7" t="n">
        <v>11.8</v>
      </c>
      <c r="G54" s="7" t="n">
        <v>11.8</v>
      </c>
      <c r="H54" s="7" t="n">
        <v>11.8</v>
      </c>
      <c r="I54" s="8" t="n">
        <v>12.8</v>
      </c>
      <c r="J54" s="8" t="n">
        <v>13</v>
      </c>
      <c r="K54" s="8" t="n">
        <v>14.2</v>
      </c>
    </row>
    <row r="55">
      <c r="A55" s="6" t="n">
        <v>2010</v>
      </c>
      <c r="B55" s="7" t="n">
        <v>7</v>
      </c>
      <c r="C55" s="7" t="n">
        <v>11</v>
      </c>
      <c r="D55" s="7" t="n">
        <v>13</v>
      </c>
      <c r="E55" s="7" t="n">
        <v>22.6</v>
      </c>
      <c r="F55" s="7" t="n">
        <v>35.8</v>
      </c>
      <c r="G55" s="7" t="n">
        <v>45.7</v>
      </c>
      <c r="H55" s="7" t="n">
        <v>45.8</v>
      </c>
      <c r="I55" s="7" t="n">
        <v>45.9</v>
      </c>
      <c r="J55" s="7" t="n">
        <v>46.1</v>
      </c>
      <c r="K55" s="7" t="n">
        <v>48.2</v>
      </c>
    </row>
    <row r="56">
      <c r="A56" s="6" t="n">
        <v>2011</v>
      </c>
      <c r="B56" s="7" t="n">
        <v>5.2</v>
      </c>
      <c r="C56" s="7" t="n">
        <v>8.6</v>
      </c>
      <c r="D56" s="7" t="n">
        <v>11.3</v>
      </c>
      <c r="E56" s="7" t="n">
        <v>17.7</v>
      </c>
      <c r="F56" s="7" t="n">
        <v>25</v>
      </c>
      <c r="G56" s="7" t="n">
        <v>31.2</v>
      </c>
      <c r="H56" s="7" t="n">
        <v>32</v>
      </c>
      <c r="I56" s="7" t="n">
        <v>32.2</v>
      </c>
      <c r="J56" s="7" t="n">
        <v>33.3</v>
      </c>
      <c r="K56" s="7" t="n">
        <v>33.5</v>
      </c>
    </row>
    <row r="57">
      <c r="A57" s="6" t="n">
        <v>2012</v>
      </c>
      <c r="B57" s="7" t="n">
        <v>9.800000000000001</v>
      </c>
      <c r="C57" s="7" t="n">
        <v>17</v>
      </c>
      <c r="D57" s="7" t="n">
        <v>20</v>
      </c>
      <c r="E57" s="7" t="n">
        <v>26</v>
      </c>
      <c r="F57" s="7" t="n">
        <v>30.6</v>
      </c>
      <c r="G57" s="7" t="n">
        <v>36.9</v>
      </c>
      <c r="H57" s="7" t="n">
        <v>38.4</v>
      </c>
      <c r="I57" s="8" t="n">
        <v>40.1</v>
      </c>
      <c r="J57" s="8" t="n">
        <v>40.5</v>
      </c>
      <c r="K57" s="8" t="n">
        <v>42.7</v>
      </c>
    </row>
    <row r="58">
      <c r="A58" s="6" t="n">
        <v>2013</v>
      </c>
      <c r="B58" s="7" t="n">
        <v>5.4</v>
      </c>
      <c r="C58" s="7" t="n">
        <v>9.199999999999999</v>
      </c>
      <c r="D58" s="7" t="n">
        <v>12</v>
      </c>
      <c r="E58" s="7" t="n">
        <v>13</v>
      </c>
      <c r="F58" s="7" t="n">
        <v>14</v>
      </c>
      <c r="G58" s="7" t="n">
        <v>15.2</v>
      </c>
      <c r="H58" s="7" t="n">
        <v>16.1</v>
      </c>
      <c r="I58" s="7" t="n">
        <v>19.4</v>
      </c>
      <c r="J58" s="7" t="n">
        <v>19.5</v>
      </c>
      <c r="K58" s="8" t="n">
        <v>24.5</v>
      </c>
    </row>
    <row r="59">
      <c r="A59" s="6" t="n">
        <v>2014</v>
      </c>
      <c r="B59" s="7" t="n">
        <v>10.8</v>
      </c>
      <c r="C59" s="7" t="n">
        <v>18.6</v>
      </c>
      <c r="D59" s="7" t="n">
        <v>22.6</v>
      </c>
      <c r="E59" s="7" t="n">
        <v>27.2</v>
      </c>
      <c r="F59" s="7" t="n">
        <v>30.6</v>
      </c>
      <c r="G59" s="7" t="n">
        <v>50.8</v>
      </c>
      <c r="H59" s="7" t="n">
        <v>73.2</v>
      </c>
      <c r="I59" s="7" t="n">
        <v>101.1</v>
      </c>
      <c r="J59" s="7" t="n">
        <v>120.2</v>
      </c>
      <c r="K59" s="7" t="n">
        <v>135.5</v>
      </c>
    </row>
    <row r="60">
      <c r="A60" s="6" t="n">
        <v>2016</v>
      </c>
      <c r="B60" s="8" t="n">
        <v>0.5</v>
      </c>
      <c r="C60" s="8" t="n">
        <v>0.9</v>
      </c>
      <c r="D60" s="8" t="n">
        <v>1.1</v>
      </c>
      <c r="E60" s="8" t="n">
        <v>1.4</v>
      </c>
      <c r="F60" s="8" t="n">
        <v>1.5</v>
      </c>
      <c r="G60" s="8" t="n">
        <v>1.5</v>
      </c>
      <c r="H60" s="8" t="n">
        <v>1.5</v>
      </c>
      <c r="I60" s="8" t="n">
        <v>1.5</v>
      </c>
      <c r="J60" s="8" t="n">
        <v>1.5</v>
      </c>
      <c r="K60" s="8" t="n">
        <v>1.5</v>
      </c>
    </row>
    <row r="61">
      <c r="A61" s="6" t="n">
        <v>2017</v>
      </c>
      <c r="B61" s="7" t="n">
        <v>3.6</v>
      </c>
      <c r="C61" s="7" t="n">
        <v>7</v>
      </c>
      <c r="D61" s="7" t="n">
        <v>8.800000000000001</v>
      </c>
      <c r="E61" s="7" t="n">
        <v>13.4</v>
      </c>
      <c r="F61" s="7" t="n">
        <v>19.8</v>
      </c>
      <c r="G61" s="7" t="n">
        <v>23.3</v>
      </c>
      <c r="H61" s="7" t="n">
        <v>25.4</v>
      </c>
      <c r="I61" s="7" t="n">
        <v>25.6</v>
      </c>
      <c r="J61" s="7" t="n">
        <v>25.7</v>
      </c>
      <c r="K61" s="7" t="n">
        <v>26</v>
      </c>
    </row>
    <row r="62">
      <c r="A62" s="6" t="n">
        <v>2018</v>
      </c>
      <c r="B62" s="7" t="n">
        <v>7</v>
      </c>
      <c r="C62" s="7" t="n">
        <v>11.2</v>
      </c>
      <c r="D62" s="7" t="n">
        <v>14.2</v>
      </c>
      <c r="E62" s="7" t="n">
        <v>17.6</v>
      </c>
      <c r="F62" s="7" t="n">
        <v>17.9</v>
      </c>
      <c r="G62" s="7" t="n">
        <v>18</v>
      </c>
      <c r="H62" s="7" t="n">
        <v>18</v>
      </c>
      <c r="I62" s="7" t="n">
        <v>18.1</v>
      </c>
      <c r="J62" s="7" t="n">
        <v>18.1</v>
      </c>
      <c r="K62" s="7" t="n">
        <v>18.2</v>
      </c>
    </row>
    <row r="63">
      <c r="A63" s="6" t="n">
        <v>2019</v>
      </c>
      <c r="B63" s="7" t="n">
        <v>6.4</v>
      </c>
      <c r="C63" s="7" t="n">
        <v>10</v>
      </c>
      <c r="D63" s="7" t="n">
        <v>12.8</v>
      </c>
      <c r="E63" s="7" t="n">
        <v>18.2</v>
      </c>
      <c r="F63" s="7" t="n">
        <v>22.4</v>
      </c>
      <c r="G63" s="7" t="n">
        <v>24.8</v>
      </c>
      <c r="H63" s="7" t="n">
        <v>26</v>
      </c>
      <c r="I63" s="7" t="n">
        <v>35.2</v>
      </c>
      <c r="J63" s="7" t="n">
        <v>40.2</v>
      </c>
      <c r="K63" s="7" t="n">
        <v>57.7</v>
      </c>
    </row>
    <row r="64">
      <c r="A64" s="6" t="n">
        <v>2020</v>
      </c>
      <c r="B64" s="8" t="n">
        <v>8.9</v>
      </c>
      <c r="C64" s="8" t="n">
        <v>14.7</v>
      </c>
      <c r="D64" s="8" t="n">
        <v>19.2</v>
      </c>
      <c r="E64" s="8" t="n">
        <v>27.7</v>
      </c>
      <c r="F64" s="8" t="n">
        <v>31.4</v>
      </c>
      <c r="G64" s="8" t="n">
        <v>45.2</v>
      </c>
      <c r="H64" s="8" t="n">
        <v>62.1</v>
      </c>
      <c r="I64" s="8" t="n">
        <v>73.59999999999999</v>
      </c>
      <c r="J64" s="8" t="n">
        <v>73.7</v>
      </c>
      <c r="K64" s="8" t="n">
        <v>73.8</v>
      </c>
    </row>
    <row r="65">
      <c r="A65" s="6" t="n">
        <v>2021</v>
      </c>
      <c r="B65" s="7" t="n">
        <v>4.4</v>
      </c>
      <c r="C65" s="7" t="n">
        <v>8.4</v>
      </c>
      <c r="D65" s="7" t="n">
        <v>11.4</v>
      </c>
      <c r="E65" s="7" t="n">
        <v>15.6</v>
      </c>
      <c r="F65" s="7" t="n">
        <v>24</v>
      </c>
      <c r="G65" s="7" t="n">
        <v>28.7</v>
      </c>
      <c r="H65" s="7" t="n">
        <v>28.8</v>
      </c>
      <c r="I65" s="7" t="n">
        <v>28.8</v>
      </c>
      <c r="J65" s="7" t="n">
        <v>28.8</v>
      </c>
      <c r="K65" s="7" t="n">
        <v>28.8</v>
      </c>
    </row>
    <row r="66">
      <c r="A66" s="6" t="n">
        <v>2022</v>
      </c>
      <c r="B66" s="7" t="n">
        <v>8.6</v>
      </c>
      <c r="C66" s="7" t="n">
        <v>16.2</v>
      </c>
      <c r="D66" s="7" t="n">
        <v>22.4</v>
      </c>
      <c r="E66" s="7" t="n">
        <v>34.2</v>
      </c>
      <c r="F66" s="7" t="n">
        <v>36.2</v>
      </c>
      <c r="G66" s="7" t="n">
        <v>48.9</v>
      </c>
      <c r="H66" s="7" t="n">
        <v>49</v>
      </c>
      <c r="I66" s="7" t="n">
        <v>49</v>
      </c>
      <c r="J66" s="7" t="n">
        <v>49</v>
      </c>
      <c r="K66" s="7" t="n">
        <v>52.9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Y54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</cols>
  <sheetData>
    <row r="1">
      <c r="A1" s="1" t="inlineStr">
        <is>
          <t>Gauge 85  |  FL921766AF  |  Souqah near Souqah</t>
        </is>
      </c>
    </row>
    <row r="3">
      <c r="A3" s="2" t="inlineStr">
        <is>
          <t>AMS BEFORE gap filling (observed only, mm)</t>
        </is>
      </c>
      <c r="M3" s="3" t="inlineStr">
        <is>
          <t>IDF - design rainfall DEPTH (mm)</t>
        </is>
      </c>
    </row>
    <row r="4">
      <c r="A4" s="4" t="inlineStr">
        <is>
          <t>Water year</t>
        </is>
      </c>
      <c r="B4" s="5" t="inlineStr">
        <is>
          <t>5min</t>
        </is>
      </c>
      <c r="C4" s="5" t="inlineStr">
        <is>
          <t>10min</t>
        </is>
      </c>
      <c r="D4" s="5" t="inlineStr">
        <is>
          <t>15min</t>
        </is>
      </c>
      <c r="E4" s="5" t="inlineStr">
        <is>
          <t>30min</t>
        </is>
      </c>
      <c r="F4" s="5" t="inlineStr">
        <is>
          <t>1h</t>
        </is>
      </c>
      <c r="G4" s="5" t="inlineStr">
        <is>
          <t>2h</t>
        </is>
      </c>
      <c r="H4" s="5" t="inlineStr">
        <is>
          <t>3h</t>
        </is>
      </c>
      <c r="I4" s="5" t="inlineStr">
        <is>
          <t>6h</t>
        </is>
      </c>
      <c r="J4" s="5" t="inlineStr">
        <is>
          <t>12h</t>
        </is>
      </c>
      <c r="K4" s="5" t="inlineStr">
        <is>
          <t>24h</t>
        </is>
      </c>
      <c r="M4" s="4" t="inlineStr">
        <is>
          <t>Duration \ RP</t>
        </is>
      </c>
      <c r="N4" s="4" t="n">
        <v>2</v>
      </c>
      <c r="O4" s="4" t="n">
        <v>5</v>
      </c>
      <c r="P4" s="4" t="n">
        <v>10</v>
      </c>
      <c r="Q4" s="4" t="n">
        <v>25</v>
      </c>
      <c r="R4" s="4" t="n">
        <v>50</v>
      </c>
      <c r="S4" s="4" t="n">
        <v>100</v>
      </c>
      <c r="T4" s="4" t="n">
        <v>200</v>
      </c>
      <c r="U4" s="4" t="n">
        <v>500</v>
      </c>
      <c r="V4" s="4" t="n">
        <v>1000</v>
      </c>
      <c r="W4" s="4" t="n">
        <v>2000</v>
      </c>
      <c r="X4" s="4" t="n">
        <v>5000</v>
      </c>
      <c r="Y4" s="4" t="n">
        <v>10000</v>
      </c>
    </row>
    <row r="5">
      <c r="A5" s="6" t="n">
        <v>1997</v>
      </c>
      <c r="B5" s="7" t="n">
        <v>12</v>
      </c>
      <c r="C5" s="7" t="n">
        <v>18.4</v>
      </c>
      <c r="D5" s="7" t="n">
        <v>21</v>
      </c>
      <c r="E5" s="7" t="n">
        <v>24.4</v>
      </c>
      <c r="F5" s="7" t="n">
        <v>28</v>
      </c>
      <c r="G5" s="7" t="n">
        <v>33.7</v>
      </c>
      <c r="H5" s="7" t="n">
        <v>34.6</v>
      </c>
      <c r="I5" s="7" t="n">
        <v>41.6</v>
      </c>
      <c r="J5" s="7" t="n">
        <v>59.2</v>
      </c>
      <c r="K5" s="7" t="n">
        <v>73.59999999999999</v>
      </c>
      <c r="M5" s="6" t="inlineStr">
        <is>
          <t>5min</t>
        </is>
      </c>
      <c r="N5" s="6" t="n">
        <v>5.6</v>
      </c>
      <c r="O5" s="6" t="n">
        <v>8.300000000000001</v>
      </c>
      <c r="P5" s="6" t="n">
        <v>10</v>
      </c>
      <c r="Q5" s="6" t="n">
        <v>12.1</v>
      </c>
      <c r="R5" s="6" t="n">
        <v>13.6</v>
      </c>
      <c r="S5" s="6" t="n">
        <v>15</v>
      </c>
      <c r="T5" s="6" t="n">
        <v>16.3</v>
      </c>
      <c r="U5" s="6" t="n">
        <v>18.1</v>
      </c>
      <c r="V5" s="6" t="n">
        <v>19.3</v>
      </c>
      <c r="W5" s="6" t="n">
        <v>20.5</v>
      </c>
      <c r="X5" s="6" t="n">
        <v>22.1</v>
      </c>
      <c r="Y5" s="6" t="n">
        <v>23.2</v>
      </c>
    </row>
    <row r="6">
      <c r="A6" s="6" t="n">
        <v>1998</v>
      </c>
      <c r="B6" s="7" t="n">
        <v>6.6</v>
      </c>
      <c r="C6" s="7" t="n">
        <v>12.4</v>
      </c>
      <c r="D6" s="7" t="n">
        <v>16.4</v>
      </c>
      <c r="E6" s="7" t="n">
        <v>18</v>
      </c>
      <c r="F6" s="7" t="n">
        <v>23</v>
      </c>
      <c r="G6" s="7" t="n">
        <v>26.4</v>
      </c>
      <c r="H6" s="7" t="n">
        <v>28.6</v>
      </c>
      <c r="I6" s="7" t="n">
        <v>39.8</v>
      </c>
      <c r="J6" s="7" t="n">
        <v>40.6</v>
      </c>
      <c r="K6" s="7" t="n">
        <v>49.2</v>
      </c>
      <c r="M6" s="6" t="inlineStr">
        <is>
          <t>10min</t>
        </is>
      </c>
      <c r="N6" s="6" t="n">
        <v>9.1</v>
      </c>
      <c r="O6" s="6" t="n">
        <v>13.7</v>
      </c>
      <c r="P6" s="6" t="n">
        <v>16.5</v>
      </c>
      <c r="Q6" s="6" t="n">
        <v>19.9</v>
      </c>
      <c r="R6" s="6" t="n">
        <v>22.4</v>
      </c>
      <c r="S6" s="6" t="n">
        <v>24.8</v>
      </c>
      <c r="T6" s="6" t="n">
        <v>27</v>
      </c>
      <c r="U6" s="6" t="n">
        <v>29.9</v>
      </c>
      <c r="V6" s="6" t="n">
        <v>32</v>
      </c>
      <c r="W6" s="6" t="n">
        <v>34</v>
      </c>
      <c r="X6" s="6" t="n">
        <v>36.6</v>
      </c>
      <c r="Y6" s="6" t="n">
        <v>38.5</v>
      </c>
    </row>
    <row r="7">
      <c r="A7" s="6" t="n">
        <v>1999</v>
      </c>
      <c r="B7" s="7" t="n">
        <v>4</v>
      </c>
      <c r="C7" s="7" t="n">
        <v>7.6</v>
      </c>
      <c r="D7" s="7" t="n">
        <v>10.2</v>
      </c>
      <c r="E7" s="7" t="n">
        <v>11.4</v>
      </c>
      <c r="F7" s="7" t="n">
        <v>19</v>
      </c>
      <c r="G7" s="7" t="n">
        <v>25.2</v>
      </c>
      <c r="H7" s="7" t="n">
        <v>28.4</v>
      </c>
      <c r="I7" s="7" t="n">
        <v>30.9</v>
      </c>
      <c r="J7" s="7" t="n">
        <v>53.4</v>
      </c>
      <c r="K7" s="7" t="n">
        <v>53.9</v>
      </c>
      <c r="M7" s="6" t="inlineStr">
        <is>
          <t>15min</t>
        </is>
      </c>
      <c r="N7" s="6" t="n">
        <v>11.5</v>
      </c>
      <c r="O7" s="6" t="n">
        <v>17.5</v>
      </c>
      <c r="P7" s="6" t="n">
        <v>21.4</v>
      </c>
      <c r="Q7" s="6" t="n">
        <v>26.3</v>
      </c>
      <c r="R7" s="6" t="n">
        <v>30</v>
      </c>
      <c r="S7" s="6" t="n">
        <v>33.6</v>
      </c>
      <c r="T7" s="6" t="n">
        <v>37.1</v>
      </c>
      <c r="U7" s="6" t="n">
        <v>41.8</v>
      </c>
      <c r="V7" s="6" t="n">
        <v>45.3</v>
      </c>
      <c r="W7" s="6" t="n">
        <v>48.7</v>
      </c>
      <c r="X7" s="6" t="n">
        <v>53.3</v>
      </c>
      <c r="Y7" s="6" t="n">
        <v>56.7</v>
      </c>
    </row>
    <row r="8">
      <c r="A8" s="6" t="n">
        <v>2000</v>
      </c>
      <c r="B8" s="7" t="n">
        <v>4.8</v>
      </c>
      <c r="C8" s="7" t="n">
        <v>7.2</v>
      </c>
      <c r="D8" s="7" t="n">
        <v>8</v>
      </c>
      <c r="E8" s="7" t="n">
        <v>11.2</v>
      </c>
      <c r="F8" s="7" t="n">
        <v>13</v>
      </c>
      <c r="G8" s="7" t="n">
        <v>13.7</v>
      </c>
      <c r="H8" s="7" t="n">
        <v>13.8</v>
      </c>
      <c r="I8" s="7" t="n">
        <v>13.8</v>
      </c>
      <c r="J8" s="7" t="n">
        <v>13.9</v>
      </c>
      <c r="K8" s="7" t="n">
        <v>14</v>
      </c>
      <c r="M8" s="6" t="inlineStr">
        <is>
          <t>30min</t>
        </is>
      </c>
      <c r="N8" s="6" t="n">
        <v>15.5</v>
      </c>
      <c r="O8" s="6" t="n">
        <v>24.2</v>
      </c>
      <c r="P8" s="6" t="n">
        <v>30.2</v>
      </c>
      <c r="Q8" s="6" t="n">
        <v>38.1</v>
      </c>
      <c r="R8" s="6" t="n">
        <v>44.1</v>
      </c>
      <c r="S8" s="6" t="n">
        <v>50.4</v>
      </c>
      <c r="T8" s="6" t="n">
        <v>56.8</v>
      </c>
      <c r="U8" s="6" t="n">
        <v>65.59999999999999</v>
      </c>
      <c r="V8" s="6" t="n">
        <v>72.40000000000001</v>
      </c>
      <c r="W8" s="6" t="n">
        <v>79.5</v>
      </c>
      <c r="X8" s="6" t="n">
        <v>89.3</v>
      </c>
      <c r="Y8" s="6" t="n">
        <v>97</v>
      </c>
    </row>
    <row r="9">
      <c r="A9" s="6" t="n">
        <v>2001</v>
      </c>
      <c r="B9" s="7" t="n">
        <v>3.6</v>
      </c>
      <c r="C9" s="7" t="n">
        <v>5.4</v>
      </c>
      <c r="D9" s="7" t="n">
        <v>6.8</v>
      </c>
      <c r="E9" s="7" t="n">
        <v>8</v>
      </c>
      <c r="F9" s="7" t="n">
        <v>10.8</v>
      </c>
      <c r="G9" s="7" t="n">
        <v>15.4</v>
      </c>
      <c r="H9" s="7" t="n">
        <v>16.8</v>
      </c>
      <c r="I9" s="7" t="n">
        <v>23.6</v>
      </c>
      <c r="J9" s="7" t="n">
        <v>24</v>
      </c>
      <c r="K9" s="7" t="n">
        <v>24.1</v>
      </c>
      <c r="M9" s="6" t="inlineStr">
        <is>
          <t>1h</t>
        </is>
      </c>
      <c r="N9" s="6" t="n">
        <v>19.3</v>
      </c>
      <c r="O9" s="6" t="n">
        <v>30.3</v>
      </c>
      <c r="P9" s="6" t="n">
        <v>38.2</v>
      </c>
      <c r="Q9" s="6" t="n">
        <v>48.8</v>
      </c>
      <c r="R9" s="6" t="n">
        <v>57.2</v>
      </c>
      <c r="S9" s="6" t="n">
        <v>66</v>
      </c>
      <c r="T9" s="6" t="n">
        <v>75.3</v>
      </c>
      <c r="U9" s="6" t="n">
        <v>88.3</v>
      </c>
      <c r="V9" s="6" t="n">
        <v>98.8</v>
      </c>
      <c r="W9" s="6" t="n">
        <v>109.8</v>
      </c>
      <c r="X9" s="6" t="n">
        <v>125.3</v>
      </c>
      <c r="Y9" s="6" t="n">
        <v>137.8</v>
      </c>
    </row>
    <row r="10">
      <c r="A10" s="6" t="n">
        <v>2002</v>
      </c>
      <c r="B10" s="7" t="n">
        <v>1.8</v>
      </c>
      <c r="C10" s="7" t="n">
        <v>3.6</v>
      </c>
      <c r="D10" s="7" t="n">
        <v>5.2</v>
      </c>
      <c r="E10" s="7" t="n">
        <v>5.8</v>
      </c>
      <c r="F10" s="7" t="n">
        <v>5.8</v>
      </c>
      <c r="G10" s="7" t="n">
        <v>5.8</v>
      </c>
      <c r="H10" s="7" t="n">
        <v>5.8</v>
      </c>
      <c r="I10" s="7" t="n">
        <v>5.8</v>
      </c>
      <c r="J10" s="7" t="n">
        <v>5.9</v>
      </c>
      <c r="K10" s="7" t="n">
        <v>6</v>
      </c>
      <c r="M10" s="6" t="inlineStr">
        <is>
          <t>2h</t>
        </is>
      </c>
      <c r="N10" s="6" t="n">
        <v>22.8</v>
      </c>
      <c r="O10" s="6" t="n">
        <v>36.2</v>
      </c>
      <c r="P10" s="6" t="n">
        <v>45.8</v>
      </c>
      <c r="Q10" s="6" t="n">
        <v>58.8</v>
      </c>
      <c r="R10" s="6" t="n">
        <v>69.2</v>
      </c>
      <c r="S10" s="6" t="n">
        <v>80.2</v>
      </c>
      <c r="T10" s="6" t="n">
        <v>91.8</v>
      </c>
      <c r="U10" s="6" t="n">
        <v>108.3</v>
      </c>
      <c r="V10" s="6" t="n">
        <v>121.6</v>
      </c>
      <c r="W10" s="6" t="n">
        <v>135.7</v>
      </c>
      <c r="X10" s="6" t="n">
        <v>155.7</v>
      </c>
      <c r="Y10" s="6" t="n">
        <v>172</v>
      </c>
    </row>
    <row r="11">
      <c r="A11" s="6" t="n">
        <v>2003</v>
      </c>
      <c r="B11" s="7" t="n">
        <v>7.4</v>
      </c>
      <c r="C11" s="7" t="n">
        <v>12</v>
      </c>
      <c r="D11" s="7" t="n">
        <v>14.4</v>
      </c>
      <c r="E11" s="7" t="n">
        <v>17.4</v>
      </c>
      <c r="F11" s="7" t="n">
        <v>17.4</v>
      </c>
      <c r="G11" s="7" t="n">
        <v>17.4</v>
      </c>
      <c r="H11" s="7" t="n">
        <v>17.4</v>
      </c>
      <c r="I11" s="7" t="n">
        <v>17.5</v>
      </c>
      <c r="J11" s="7" t="n">
        <v>22.2</v>
      </c>
      <c r="K11" s="7" t="n">
        <v>22.3</v>
      </c>
      <c r="M11" s="6" t="inlineStr">
        <is>
          <t>3h</t>
        </is>
      </c>
      <c r="N11" s="6" t="n">
        <v>24.6</v>
      </c>
      <c r="O11" s="6" t="n">
        <v>39.5</v>
      </c>
      <c r="P11" s="6" t="n">
        <v>50.3</v>
      </c>
      <c r="Q11" s="6" t="n">
        <v>65.2</v>
      </c>
      <c r="R11" s="6" t="n">
        <v>77.3</v>
      </c>
      <c r="S11" s="6" t="n">
        <v>90.2</v>
      </c>
      <c r="T11" s="6" t="n">
        <v>104</v>
      </c>
      <c r="U11" s="6" t="n">
        <v>123.8</v>
      </c>
      <c r="V11" s="6" t="n">
        <v>140</v>
      </c>
      <c r="W11" s="6" t="n">
        <v>157.5</v>
      </c>
      <c r="X11" s="6" t="n">
        <v>182.6</v>
      </c>
      <c r="Y11" s="6" t="n">
        <v>203.2</v>
      </c>
    </row>
    <row r="12">
      <c r="A12" s="6" t="n">
        <v>2004</v>
      </c>
      <c r="B12" s="7" t="n">
        <v>4</v>
      </c>
      <c r="C12" s="7" t="n">
        <v>7.2</v>
      </c>
      <c r="D12" s="7" t="n">
        <v>9.4</v>
      </c>
      <c r="E12" s="7" t="n">
        <v>13.8</v>
      </c>
      <c r="F12" s="7" t="n">
        <v>20.2</v>
      </c>
      <c r="G12" s="7" t="n">
        <v>20.2</v>
      </c>
      <c r="H12" s="7" t="n">
        <v>20.2</v>
      </c>
      <c r="I12" s="7" t="n">
        <v>20.2</v>
      </c>
      <c r="J12" s="7" t="n">
        <v>20.3</v>
      </c>
      <c r="K12" s="7" t="n">
        <v>20.4</v>
      </c>
      <c r="M12" s="6" t="inlineStr">
        <is>
          <t>6h</t>
        </is>
      </c>
      <c r="N12" s="6" t="n">
        <v>27.8</v>
      </c>
      <c r="O12" s="6" t="n">
        <v>45.9</v>
      </c>
      <c r="P12" s="6" t="n">
        <v>59.2</v>
      </c>
      <c r="Q12" s="6" t="n">
        <v>77.90000000000001</v>
      </c>
      <c r="R12" s="6" t="n">
        <v>93.2</v>
      </c>
      <c r="S12" s="6" t="n">
        <v>109.6</v>
      </c>
      <c r="T12" s="6" t="n">
        <v>127.5</v>
      </c>
      <c r="U12" s="6" t="n">
        <v>153.3</v>
      </c>
      <c r="V12" s="6" t="n">
        <v>174.8</v>
      </c>
      <c r="W12" s="6" t="n">
        <v>198.2</v>
      </c>
      <c r="X12" s="6" t="n">
        <v>232.1</v>
      </c>
      <c r="Y12" s="6" t="n">
        <v>260.4</v>
      </c>
    </row>
    <row r="13">
      <c r="A13" s="6" t="n">
        <v>2005</v>
      </c>
      <c r="B13" s="7" t="n">
        <v>4</v>
      </c>
      <c r="C13" s="7" t="n">
        <v>7.2</v>
      </c>
      <c r="D13" s="7" t="n">
        <v>7.4</v>
      </c>
      <c r="E13" s="7" t="n">
        <v>7.4</v>
      </c>
      <c r="F13" s="7" t="n">
        <v>7.5</v>
      </c>
      <c r="G13" s="7" t="n">
        <v>7.6</v>
      </c>
      <c r="H13" s="7" t="n">
        <v>11</v>
      </c>
      <c r="I13" s="7" t="n">
        <v>11.2</v>
      </c>
      <c r="J13" s="7" t="n">
        <v>11.3</v>
      </c>
      <c r="K13" s="7" t="n">
        <v>11.5</v>
      </c>
      <c r="M13" s="6" t="inlineStr">
        <is>
          <t>12h</t>
        </is>
      </c>
      <c r="N13" s="6" t="n">
        <v>30.8</v>
      </c>
      <c r="O13" s="6" t="n">
        <v>53.4</v>
      </c>
      <c r="P13" s="6" t="n">
        <v>71.3</v>
      </c>
      <c r="Q13" s="6" t="n">
        <v>97.7</v>
      </c>
      <c r="R13" s="6" t="n">
        <v>120.5</v>
      </c>
      <c r="S13" s="6" t="n">
        <v>146.3</v>
      </c>
      <c r="T13" s="6" t="n">
        <v>175.6</v>
      </c>
      <c r="U13" s="6" t="n">
        <v>220.5</v>
      </c>
      <c r="V13" s="6" t="n">
        <v>259.9</v>
      </c>
      <c r="W13" s="6" t="n">
        <v>304.6</v>
      </c>
      <c r="X13" s="6" t="n">
        <v>373.4</v>
      </c>
      <c r="Y13" s="6" t="n">
        <v>433.8</v>
      </c>
    </row>
    <row r="14">
      <c r="A14" s="6" t="n">
        <v>2006</v>
      </c>
      <c r="B14" s="7" t="n">
        <v>6</v>
      </c>
      <c r="C14" s="7" t="n">
        <v>8.6</v>
      </c>
      <c r="D14" s="7" t="n">
        <v>10</v>
      </c>
      <c r="E14" s="7" t="n">
        <v>15.4</v>
      </c>
      <c r="F14" s="7" t="n">
        <v>26.4</v>
      </c>
      <c r="G14" s="7" t="n">
        <v>32.6</v>
      </c>
      <c r="H14" s="7" t="n">
        <v>32.9</v>
      </c>
      <c r="I14" s="7" t="n">
        <v>43.1</v>
      </c>
      <c r="J14" s="7" t="n">
        <v>47.9</v>
      </c>
      <c r="K14" s="7" t="n">
        <v>60.6</v>
      </c>
      <c r="M14" s="6" t="inlineStr">
        <is>
          <t>24h</t>
        </is>
      </c>
      <c r="N14" s="6" t="n">
        <v>35</v>
      </c>
      <c r="O14" s="6" t="n">
        <v>61.7</v>
      </c>
      <c r="P14" s="6" t="n">
        <v>82.5</v>
      </c>
      <c r="Q14" s="6" t="n">
        <v>113.2</v>
      </c>
      <c r="R14" s="6" t="n">
        <v>139.5</v>
      </c>
      <c r="S14" s="6" t="n">
        <v>169.2</v>
      </c>
      <c r="T14" s="6" t="n">
        <v>202.6</v>
      </c>
      <c r="U14" s="6" t="n">
        <v>253.5</v>
      </c>
      <c r="V14" s="6" t="n">
        <v>297.9</v>
      </c>
      <c r="W14" s="6" t="n">
        <v>348.2</v>
      </c>
      <c r="X14" s="6" t="n">
        <v>424.8</v>
      </c>
      <c r="Y14" s="6" t="n">
        <v>491.8</v>
      </c>
    </row>
    <row r="15">
      <c r="A15" s="6" t="n">
        <v>2007</v>
      </c>
      <c r="B15" s="7" t="n">
        <v>9</v>
      </c>
      <c r="C15" s="7" t="n">
        <v>13</v>
      </c>
      <c r="D15" s="7" t="n">
        <v>15.2</v>
      </c>
      <c r="E15" s="7" t="n">
        <v>23.4</v>
      </c>
      <c r="F15" s="7" t="n">
        <v>37.8</v>
      </c>
      <c r="G15" s="7" t="n">
        <v>52</v>
      </c>
      <c r="H15" s="7" t="n">
        <v>69</v>
      </c>
      <c r="I15" s="7" t="n">
        <v>114.6</v>
      </c>
      <c r="J15" s="7" t="n">
        <v>191</v>
      </c>
      <c r="K15" s="7" t="n">
        <v>290.4</v>
      </c>
    </row>
    <row r="16">
      <c r="A16" s="6" t="n">
        <v>2008</v>
      </c>
      <c r="B16" s="7" t="n"/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  <c r="M16" s="3" t="inlineStr">
        <is>
          <t>IDF - intensity (mm/hr) [x=duration(min)]</t>
        </is>
      </c>
    </row>
    <row r="17">
      <c r="A17" s="6" t="n">
        <v>2009</v>
      </c>
      <c r="B17" s="7" t="n">
        <v>4</v>
      </c>
      <c r="C17" s="7" t="n">
        <v>7.6</v>
      </c>
      <c r="D17" s="7" t="n">
        <v>7.9</v>
      </c>
      <c r="E17" s="7" t="n">
        <v>10.4</v>
      </c>
      <c r="F17" s="7" t="n">
        <v>12</v>
      </c>
      <c r="G17" s="7" t="n">
        <v>16</v>
      </c>
      <c r="H17" s="7" t="n">
        <v>18</v>
      </c>
      <c r="I17" s="7" t="n">
        <v>18.3</v>
      </c>
      <c r="J17" s="7" t="n">
        <v>18.5</v>
      </c>
      <c r="K17" s="7" t="n">
        <v>18.9</v>
      </c>
      <c r="M17" t="inlineStr">
        <is>
          <t>Duration(min)</t>
        </is>
      </c>
      <c r="N17" t="inlineStr">
        <is>
          <t>2 yr</t>
        </is>
      </c>
      <c r="O17" t="inlineStr">
        <is>
          <t>5 yr</t>
        </is>
      </c>
      <c r="P17" t="inlineStr">
        <is>
          <t>10 yr</t>
        </is>
      </c>
      <c r="Q17" t="inlineStr">
        <is>
          <t>25 yr</t>
        </is>
      </c>
      <c r="R17" t="inlineStr">
        <is>
          <t>50 yr</t>
        </is>
      </c>
      <c r="S17" t="inlineStr">
        <is>
          <t>100 yr</t>
        </is>
      </c>
      <c r="T17" t="inlineStr">
        <is>
          <t>200 yr</t>
        </is>
      </c>
      <c r="U17" t="inlineStr">
        <is>
          <t>500 yr</t>
        </is>
      </c>
      <c r="V17" t="inlineStr">
        <is>
          <t>1000 yr</t>
        </is>
      </c>
      <c r="W17" t="inlineStr">
        <is>
          <t>2000 yr</t>
        </is>
      </c>
      <c r="X17" t="inlineStr">
        <is>
          <t>5000 yr</t>
        </is>
      </c>
      <c r="Y17" t="inlineStr">
        <is>
          <t>10000 yr</t>
        </is>
      </c>
    </row>
    <row r="18">
      <c r="A18" s="6" t="n">
        <v>2010</v>
      </c>
      <c r="B18" s="7" t="n">
        <v>9.4</v>
      </c>
      <c r="C18" s="7" t="n">
        <v>16.8</v>
      </c>
      <c r="D18" s="7" t="n">
        <v>22.8</v>
      </c>
      <c r="E18" s="7" t="n">
        <v>37.2</v>
      </c>
      <c r="F18" s="7" t="n">
        <v>51</v>
      </c>
      <c r="G18" s="7" t="n">
        <v>54.2</v>
      </c>
      <c r="H18" s="7" t="n">
        <v>54.3</v>
      </c>
      <c r="I18" s="7" t="n">
        <v>57.9</v>
      </c>
      <c r="J18" s="7" t="n">
        <v>59</v>
      </c>
      <c r="K18" s="7" t="n">
        <v>96.40000000000001</v>
      </c>
      <c r="M18" t="n">
        <v>5</v>
      </c>
      <c r="N18" t="n">
        <v>66.7</v>
      </c>
      <c r="O18" t="n">
        <v>99.40000000000001</v>
      </c>
      <c r="P18" t="n">
        <v>120</v>
      </c>
      <c r="Q18" t="n">
        <v>144.9</v>
      </c>
      <c r="R18" t="n">
        <v>162.7</v>
      </c>
      <c r="S18" t="n">
        <v>179.7</v>
      </c>
      <c r="T18" t="n">
        <v>196</v>
      </c>
      <c r="U18" t="n">
        <v>216.7</v>
      </c>
      <c r="V18" t="n">
        <v>231.8</v>
      </c>
      <c r="W18" t="n">
        <v>246.3</v>
      </c>
      <c r="X18" t="n">
        <v>264.7</v>
      </c>
      <c r="Y18" t="n">
        <v>278.1</v>
      </c>
    </row>
    <row r="19">
      <c r="A19" s="6" t="n">
        <v>2011</v>
      </c>
      <c r="B19" s="7" t="n">
        <v>2.6</v>
      </c>
      <c r="C19" s="7" t="n">
        <v>4.6</v>
      </c>
      <c r="D19" s="7" t="n">
        <v>5.8</v>
      </c>
      <c r="E19" s="7" t="n">
        <v>6.4</v>
      </c>
      <c r="F19" s="7" t="n">
        <v>6.4</v>
      </c>
      <c r="G19" s="7" t="n">
        <v>7.9</v>
      </c>
      <c r="H19" s="7" t="n">
        <v>10</v>
      </c>
      <c r="I19" s="7" t="n">
        <v>10.3</v>
      </c>
      <c r="J19" s="7" t="n">
        <v>13.2</v>
      </c>
      <c r="K19" s="7" t="n">
        <v>13.7</v>
      </c>
      <c r="M19" t="n">
        <v>10</v>
      </c>
      <c r="N19" t="n">
        <v>54.9</v>
      </c>
      <c r="O19" t="n">
        <v>81.90000000000001</v>
      </c>
      <c r="P19" t="n">
        <v>99</v>
      </c>
      <c r="Q19" t="n">
        <v>119.7</v>
      </c>
      <c r="R19" t="n">
        <v>134.4</v>
      </c>
      <c r="S19" t="n">
        <v>148.6</v>
      </c>
      <c r="T19" t="n">
        <v>162.2</v>
      </c>
      <c r="U19" t="n">
        <v>179.5</v>
      </c>
      <c r="V19" t="n">
        <v>192.1</v>
      </c>
      <c r="W19" t="n">
        <v>204.2</v>
      </c>
      <c r="X19" t="n">
        <v>219.6</v>
      </c>
      <c r="Y19" t="n">
        <v>230.8</v>
      </c>
    </row>
    <row r="20">
      <c r="A20" s="6" t="n">
        <v>2012</v>
      </c>
      <c r="B20" s="7" t="n">
        <v>10.2</v>
      </c>
      <c r="C20" s="7" t="n">
        <v>14.6</v>
      </c>
      <c r="D20" s="7" t="n">
        <v>20</v>
      </c>
      <c r="E20" s="7" t="n">
        <v>32</v>
      </c>
      <c r="F20" s="7" t="n">
        <v>49</v>
      </c>
      <c r="G20" s="7" t="n">
        <v>65.2</v>
      </c>
      <c r="H20" s="7" t="n">
        <v>69.40000000000001</v>
      </c>
      <c r="I20" s="7" t="n">
        <v>70</v>
      </c>
      <c r="J20" s="7" t="n">
        <v>70.09999999999999</v>
      </c>
      <c r="K20" s="7" t="n">
        <v>79.8</v>
      </c>
      <c r="M20" t="n">
        <v>15</v>
      </c>
      <c r="N20" t="n">
        <v>45.9</v>
      </c>
      <c r="O20" t="n">
        <v>69.90000000000001</v>
      </c>
      <c r="P20" t="n">
        <v>85.59999999999999</v>
      </c>
      <c r="Q20" t="n">
        <v>105.3</v>
      </c>
      <c r="R20" t="n">
        <v>119.9</v>
      </c>
      <c r="S20" t="n">
        <v>134.2</v>
      </c>
      <c r="T20" t="n">
        <v>148.4</v>
      </c>
      <c r="U20" t="n">
        <v>167</v>
      </c>
      <c r="V20" t="n">
        <v>181</v>
      </c>
      <c r="W20" t="n">
        <v>194.9</v>
      </c>
      <c r="X20" t="n">
        <v>213.2</v>
      </c>
      <c r="Y20" t="n">
        <v>226.9</v>
      </c>
    </row>
    <row r="21">
      <c r="A21" s="6" t="n">
        <v>2013</v>
      </c>
      <c r="B21" s="7" t="n">
        <v>5.6</v>
      </c>
      <c r="C21" s="7" t="n">
        <v>7.4</v>
      </c>
      <c r="D21" s="7" t="n">
        <v>9.199999999999999</v>
      </c>
      <c r="E21" s="7" t="n">
        <v>16.6</v>
      </c>
      <c r="F21" s="7" t="n">
        <v>19.4</v>
      </c>
      <c r="G21" s="7" t="n">
        <v>25.2</v>
      </c>
      <c r="H21" s="7" t="n">
        <v>30.2</v>
      </c>
      <c r="I21" s="7" t="n">
        <v>35.6</v>
      </c>
      <c r="J21" s="7" t="n">
        <v>35.7</v>
      </c>
      <c r="K21" s="7" t="n">
        <v>60.4</v>
      </c>
      <c r="M21" t="n">
        <v>30</v>
      </c>
      <c r="N21" t="n">
        <v>31.1</v>
      </c>
      <c r="O21" t="n">
        <v>48.4</v>
      </c>
      <c r="P21" t="n">
        <v>60.4</v>
      </c>
      <c r="Q21" t="n">
        <v>76.2</v>
      </c>
      <c r="R21" t="n">
        <v>88.3</v>
      </c>
      <c r="S21" t="n">
        <v>100.7</v>
      </c>
      <c r="T21" t="n">
        <v>113.6</v>
      </c>
      <c r="U21" t="n">
        <v>131.1</v>
      </c>
      <c r="V21" t="n">
        <v>144.9</v>
      </c>
      <c r="W21" t="n">
        <v>159.1</v>
      </c>
      <c r="X21" t="n">
        <v>178.6</v>
      </c>
      <c r="Y21" t="n">
        <v>193.9</v>
      </c>
    </row>
    <row r="22">
      <c r="A22" s="6" t="n">
        <v>2014</v>
      </c>
      <c r="B22" s="7" t="n">
        <v>10.6</v>
      </c>
      <c r="C22" s="7" t="n">
        <v>16</v>
      </c>
      <c r="D22" s="7" t="n">
        <v>20.2</v>
      </c>
      <c r="E22" s="7" t="n">
        <v>32.8</v>
      </c>
      <c r="F22" s="7" t="n">
        <v>36.9</v>
      </c>
      <c r="G22" s="7" t="n">
        <v>37.3</v>
      </c>
      <c r="H22" s="7" t="n">
        <v>62.2</v>
      </c>
      <c r="I22" s="7" t="n">
        <v>66.8</v>
      </c>
      <c r="J22" s="7" t="n">
        <v>109</v>
      </c>
      <c r="K22" s="7" t="n">
        <v>136.4</v>
      </c>
      <c r="M22" t="n">
        <v>60</v>
      </c>
      <c r="N22" t="n">
        <v>19.3</v>
      </c>
      <c r="O22" t="n">
        <v>30.3</v>
      </c>
      <c r="P22" t="n">
        <v>38.2</v>
      </c>
      <c r="Q22" t="n">
        <v>48.8</v>
      </c>
      <c r="R22" t="n">
        <v>57.2</v>
      </c>
      <c r="S22" t="n">
        <v>66</v>
      </c>
      <c r="T22" t="n">
        <v>75.3</v>
      </c>
      <c r="U22" t="n">
        <v>88.3</v>
      </c>
      <c r="V22" t="n">
        <v>98.8</v>
      </c>
      <c r="W22" t="n">
        <v>109.8</v>
      </c>
      <c r="X22" t="n">
        <v>125.3</v>
      </c>
      <c r="Y22" t="n">
        <v>137.8</v>
      </c>
    </row>
    <row r="23">
      <c r="A23" s="6" t="n">
        <v>2015</v>
      </c>
      <c r="B23" s="7" t="n">
        <v>3.3</v>
      </c>
      <c r="C23" s="7" t="n">
        <v>5.3</v>
      </c>
      <c r="D23" s="7" t="n">
        <v>6</v>
      </c>
      <c r="E23" s="7" t="n">
        <v>6.8</v>
      </c>
      <c r="F23" s="7" t="n">
        <v>9.4</v>
      </c>
      <c r="G23" s="7" t="n">
        <v>12.4</v>
      </c>
      <c r="H23" s="7" t="n">
        <v>15.5</v>
      </c>
      <c r="I23" s="7" t="n">
        <v>21</v>
      </c>
      <c r="J23" s="7" t="n">
        <v>21.1</v>
      </c>
      <c r="K23" s="7" t="n">
        <v>21.2</v>
      </c>
      <c r="M23" t="n">
        <v>120</v>
      </c>
      <c r="N23" t="n">
        <v>11.4</v>
      </c>
      <c r="O23" t="n">
        <v>18.1</v>
      </c>
      <c r="P23" t="n">
        <v>22.9</v>
      </c>
      <c r="Q23" t="n">
        <v>29.4</v>
      </c>
      <c r="R23" t="n">
        <v>34.6</v>
      </c>
      <c r="S23" t="n">
        <v>40.1</v>
      </c>
      <c r="T23" t="n">
        <v>45.9</v>
      </c>
      <c r="U23" t="n">
        <v>54.1</v>
      </c>
      <c r="V23" t="n">
        <v>60.8</v>
      </c>
      <c r="W23" t="n">
        <v>67.90000000000001</v>
      </c>
      <c r="X23" t="n">
        <v>77.90000000000001</v>
      </c>
      <c r="Y23" t="n">
        <v>86</v>
      </c>
    </row>
    <row r="24">
      <c r="A24" s="6" t="n">
        <v>2016</v>
      </c>
      <c r="B24" s="7" t="n">
        <v>10.8</v>
      </c>
      <c r="C24" s="7" t="n">
        <v>19</v>
      </c>
      <c r="D24" s="7" t="n">
        <v>26.6</v>
      </c>
      <c r="E24" s="7" t="n">
        <v>29.5</v>
      </c>
      <c r="F24" s="7" t="n">
        <v>33.2</v>
      </c>
      <c r="G24" s="7" t="n">
        <v>34.1</v>
      </c>
      <c r="H24" s="7" t="n">
        <v>37.1</v>
      </c>
      <c r="I24" s="7" t="n">
        <v>40.9</v>
      </c>
      <c r="J24" s="7" t="n">
        <v>45.7</v>
      </c>
      <c r="K24" s="7" t="n">
        <v>50.8</v>
      </c>
      <c r="M24" t="n">
        <v>180</v>
      </c>
      <c r="N24" t="n">
        <v>8.199999999999999</v>
      </c>
      <c r="O24" t="n">
        <v>13.2</v>
      </c>
      <c r="P24" t="n">
        <v>16.8</v>
      </c>
      <c r="Q24" t="n">
        <v>21.7</v>
      </c>
      <c r="R24" t="n">
        <v>25.8</v>
      </c>
      <c r="S24" t="n">
        <v>30.1</v>
      </c>
      <c r="T24" t="n">
        <v>34.7</v>
      </c>
      <c r="U24" t="n">
        <v>41.3</v>
      </c>
      <c r="V24" t="n">
        <v>46.7</v>
      </c>
      <c r="W24" t="n">
        <v>52.5</v>
      </c>
      <c r="X24" t="n">
        <v>60.9</v>
      </c>
      <c r="Y24" t="n">
        <v>67.7</v>
      </c>
    </row>
    <row r="25">
      <c r="A25" s="6" t="n">
        <v>2017</v>
      </c>
      <c r="B25" s="7" t="n">
        <v>8</v>
      </c>
      <c r="C25" s="7" t="n">
        <v>12.6</v>
      </c>
      <c r="D25" s="7" t="n">
        <v>14.4</v>
      </c>
      <c r="E25" s="7" t="n">
        <v>15.8</v>
      </c>
      <c r="F25" s="7" t="n">
        <v>17.2</v>
      </c>
      <c r="G25" s="7" t="n">
        <v>17.8</v>
      </c>
      <c r="H25" s="7" t="n">
        <v>17.8</v>
      </c>
      <c r="I25" s="7" t="n">
        <v>17.8</v>
      </c>
      <c r="J25" s="7" t="n">
        <v>17.9</v>
      </c>
      <c r="K25" s="7" t="n">
        <v>18</v>
      </c>
      <c r="M25" t="n">
        <v>360</v>
      </c>
      <c r="N25" t="n">
        <v>4.6</v>
      </c>
      <c r="O25" t="n">
        <v>7.6</v>
      </c>
      <c r="P25" t="n">
        <v>9.9</v>
      </c>
      <c r="Q25" t="n">
        <v>13</v>
      </c>
      <c r="R25" t="n">
        <v>15.5</v>
      </c>
      <c r="S25" t="n">
        <v>18.3</v>
      </c>
      <c r="T25" t="n">
        <v>21.2</v>
      </c>
      <c r="U25" t="n">
        <v>25.6</v>
      </c>
      <c r="V25" t="n">
        <v>29.1</v>
      </c>
      <c r="W25" t="n">
        <v>33</v>
      </c>
      <c r="X25" t="n">
        <v>38.7</v>
      </c>
      <c r="Y25" t="n">
        <v>43.4</v>
      </c>
    </row>
    <row r="26">
      <c r="A26" s="6" t="n">
        <v>2019</v>
      </c>
      <c r="B26" s="7" t="n">
        <v>10</v>
      </c>
      <c r="C26" s="7" t="n">
        <v>15.2</v>
      </c>
      <c r="D26" s="7" t="n">
        <v>18.2</v>
      </c>
      <c r="E26" s="7" t="n">
        <v>25.4</v>
      </c>
      <c r="F26" s="7" t="n">
        <v>28.4</v>
      </c>
      <c r="G26" s="7" t="n">
        <v>28.7</v>
      </c>
      <c r="H26" s="7" t="n">
        <v>29.5</v>
      </c>
      <c r="I26" s="7" t="n">
        <v>34.3</v>
      </c>
      <c r="J26" s="7" t="n">
        <v>34.7</v>
      </c>
      <c r="K26" s="7" t="n">
        <v>35.5</v>
      </c>
      <c r="M26" t="n">
        <v>720</v>
      </c>
      <c r="N26" t="n">
        <v>2.6</v>
      </c>
      <c r="O26" t="n">
        <v>4.5</v>
      </c>
      <c r="P26" t="n">
        <v>5.9</v>
      </c>
      <c r="Q26" t="n">
        <v>8.1</v>
      </c>
      <c r="R26" t="n">
        <v>10</v>
      </c>
      <c r="S26" t="n">
        <v>12.2</v>
      </c>
      <c r="T26" t="n">
        <v>14.6</v>
      </c>
      <c r="U26" t="n">
        <v>18.4</v>
      </c>
      <c r="V26" t="n">
        <v>21.7</v>
      </c>
      <c r="W26" t="n">
        <v>25.4</v>
      </c>
      <c r="X26" t="n">
        <v>31.1</v>
      </c>
      <c r="Y26" t="n">
        <v>36.1</v>
      </c>
    </row>
    <row r="27">
      <c r="A27" s="6" t="n">
        <v>2020</v>
      </c>
      <c r="B27" s="7" t="n">
        <v>6</v>
      </c>
      <c r="C27" s="7" t="n">
        <v>11.8</v>
      </c>
      <c r="D27" s="7" t="n">
        <v>15.8</v>
      </c>
      <c r="E27" s="7" t="n">
        <v>19.8</v>
      </c>
      <c r="F27" s="7" t="n">
        <v>20</v>
      </c>
      <c r="G27" s="7" t="n">
        <v>20</v>
      </c>
      <c r="H27" s="7" t="n">
        <v>20</v>
      </c>
      <c r="I27" s="7" t="n">
        <v>20.1</v>
      </c>
      <c r="J27" s="7" t="n">
        <v>20.1</v>
      </c>
      <c r="K27" s="7" t="n">
        <v>20.2</v>
      </c>
      <c r="M27" t="n">
        <v>1440</v>
      </c>
      <c r="N27" t="n">
        <v>1.5</v>
      </c>
      <c r="O27" t="n">
        <v>2.6</v>
      </c>
      <c r="P27" t="n">
        <v>3.4</v>
      </c>
      <c r="Q27" t="n">
        <v>4.7</v>
      </c>
      <c r="R27" t="n">
        <v>5.8</v>
      </c>
      <c r="S27" t="n">
        <v>7</v>
      </c>
      <c r="T27" t="n">
        <v>8.4</v>
      </c>
      <c r="U27" t="n">
        <v>10.6</v>
      </c>
      <c r="V27" t="n">
        <v>12.4</v>
      </c>
      <c r="W27" t="n">
        <v>14.5</v>
      </c>
      <c r="X27" t="n">
        <v>17.7</v>
      </c>
      <c r="Y27" t="n">
        <v>20.5</v>
      </c>
    </row>
    <row r="30">
      <c r="A30" s="2" t="inlineStr">
        <is>
          <t>AMS AFTER gap filling (mm)  -  yellow = added or changed by gap filling</t>
        </is>
      </c>
    </row>
    <row r="31">
      <c r="A31" s="4" t="inlineStr">
        <is>
          <t>Water year</t>
        </is>
      </c>
      <c r="B31" s="5" t="inlineStr">
        <is>
          <t>5min</t>
        </is>
      </c>
      <c r="C31" s="5" t="inlineStr">
        <is>
          <t>10min</t>
        </is>
      </c>
      <c r="D31" s="5" t="inlineStr">
        <is>
          <t>15min</t>
        </is>
      </c>
      <c r="E31" s="5" t="inlineStr">
        <is>
          <t>30min</t>
        </is>
      </c>
      <c r="F31" s="5" t="inlineStr">
        <is>
          <t>1h</t>
        </is>
      </c>
      <c r="G31" s="5" t="inlineStr">
        <is>
          <t>2h</t>
        </is>
      </c>
      <c r="H31" s="5" t="inlineStr">
        <is>
          <t>3h</t>
        </is>
      </c>
      <c r="I31" s="5" t="inlineStr">
        <is>
          <t>6h</t>
        </is>
      </c>
      <c r="J31" s="5" t="inlineStr">
        <is>
          <t>12h</t>
        </is>
      </c>
      <c r="K31" s="5" t="inlineStr">
        <is>
          <t>24h</t>
        </is>
      </c>
    </row>
    <row r="32">
      <c r="A32" s="6" t="n">
        <v>1997</v>
      </c>
      <c r="B32" s="7" t="n">
        <v>12</v>
      </c>
      <c r="C32" s="7" t="n">
        <v>18.4</v>
      </c>
      <c r="D32" s="7" t="n">
        <v>21</v>
      </c>
      <c r="E32" s="7" t="n">
        <v>24.4</v>
      </c>
      <c r="F32" s="7" t="n">
        <v>28</v>
      </c>
      <c r="G32" s="7" t="n">
        <v>33.7</v>
      </c>
      <c r="H32" s="7" t="n">
        <v>34.6</v>
      </c>
      <c r="I32" s="7" t="n">
        <v>41.6</v>
      </c>
      <c r="J32" s="7" t="n">
        <v>59.2</v>
      </c>
      <c r="K32" s="7" t="n">
        <v>73.59999999999999</v>
      </c>
    </row>
    <row r="33">
      <c r="A33" s="6" t="n">
        <v>1998</v>
      </c>
      <c r="B33" s="7" t="n">
        <v>6.6</v>
      </c>
      <c r="C33" s="7" t="n">
        <v>12.4</v>
      </c>
      <c r="D33" s="7" t="n">
        <v>16.4</v>
      </c>
      <c r="E33" s="7" t="n">
        <v>18</v>
      </c>
      <c r="F33" s="7" t="n">
        <v>23</v>
      </c>
      <c r="G33" s="7" t="n">
        <v>26.4</v>
      </c>
      <c r="H33" s="7" t="n">
        <v>28.6</v>
      </c>
      <c r="I33" s="7" t="n">
        <v>39.8</v>
      </c>
      <c r="J33" s="7" t="n">
        <v>40.6</v>
      </c>
      <c r="K33" s="7" t="n">
        <v>49.2</v>
      </c>
    </row>
    <row r="34">
      <c r="A34" s="6" t="n">
        <v>1999</v>
      </c>
      <c r="B34" s="7" t="n">
        <v>4</v>
      </c>
      <c r="C34" s="7" t="n">
        <v>7.6</v>
      </c>
      <c r="D34" s="7" t="n">
        <v>10.2</v>
      </c>
      <c r="E34" s="7" t="n">
        <v>11.4</v>
      </c>
      <c r="F34" s="7" t="n">
        <v>19</v>
      </c>
      <c r="G34" s="7" t="n">
        <v>25.2</v>
      </c>
      <c r="H34" s="7" t="n">
        <v>28.4</v>
      </c>
      <c r="I34" s="7" t="n">
        <v>30.9</v>
      </c>
      <c r="J34" s="7" t="n">
        <v>53.4</v>
      </c>
      <c r="K34" s="7" t="n">
        <v>53.9</v>
      </c>
    </row>
    <row r="35">
      <c r="A35" s="6" t="n">
        <v>2000</v>
      </c>
      <c r="B35" s="7" t="n">
        <v>4.8</v>
      </c>
      <c r="C35" s="7" t="n">
        <v>7.2</v>
      </c>
      <c r="D35" s="7" t="n">
        <v>8</v>
      </c>
      <c r="E35" s="7" t="n">
        <v>11.2</v>
      </c>
      <c r="F35" s="7" t="n">
        <v>13</v>
      </c>
      <c r="G35" s="7" t="n">
        <v>13.7</v>
      </c>
      <c r="H35" s="7" t="n">
        <v>13.8</v>
      </c>
      <c r="I35" s="7" t="n">
        <v>13.8</v>
      </c>
      <c r="J35" s="8" t="n">
        <v>14</v>
      </c>
      <c r="K35" s="8" t="n">
        <v>18.6</v>
      </c>
    </row>
    <row r="36">
      <c r="A36" s="6" t="n">
        <v>2001</v>
      </c>
      <c r="B36" s="7" t="n">
        <v>3.6</v>
      </c>
      <c r="C36" s="7" t="n">
        <v>5.4</v>
      </c>
      <c r="D36" s="7" t="n">
        <v>6.8</v>
      </c>
      <c r="E36" s="7" t="n">
        <v>8</v>
      </c>
      <c r="F36" s="7" t="n">
        <v>10.8</v>
      </c>
      <c r="G36" s="7" t="n">
        <v>15.4</v>
      </c>
      <c r="H36" s="7" t="n">
        <v>16.8</v>
      </c>
      <c r="I36" s="7" t="n">
        <v>23.6</v>
      </c>
      <c r="J36" s="7" t="n">
        <v>24</v>
      </c>
      <c r="K36" s="7" t="n">
        <v>24.1</v>
      </c>
    </row>
    <row r="37">
      <c r="A37" s="6" t="n">
        <v>2002</v>
      </c>
      <c r="B37" s="7" t="n">
        <v>1.8</v>
      </c>
      <c r="C37" s="7" t="n">
        <v>3.6</v>
      </c>
      <c r="D37" s="7" t="n">
        <v>5.2</v>
      </c>
      <c r="E37" s="7" t="n">
        <v>5.8</v>
      </c>
      <c r="F37" s="7" t="n">
        <v>5.8</v>
      </c>
      <c r="G37" s="7" t="n">
        <v>5.8</v>
      </c>
      <c r="H37" s="7" t="n">
        <v>5.8</v>
      </c>
      <c r="I37" s="7" t="n">
        <v>5.8</v>
      </c>
      <c r="J37" s="7" t="n">
        <v>5.9</v>
      </c>
      <c r="K37" s="7" t="n">
        <v>6</v>
      </c>
    </row>
    <row r="38">
      <c r="A38" s="6" t="n">
        <v>2003</v>
      </c>
      <c r="B38" s="7" t="n">
        <v>7.4</v>
      </c>
      <c r="C38" s="7" t="n">
        <v>12</v>
      </c>
      <c r="D38" s="7" t="n">
        <v>14.4</v>
      </c>
      <c r="E38" s="7" t="n">
        <v>17.4</v>
      </c>
      <c r="F38" s="7" t="n">
        <v>17.4</v>
      </c>
      <c r="G38" s="7" t="n">
        <v>17.4</v>
      </c>
      <c r="H38" s="7" t="n">
        <v>17.4</v>
      </c>
      <c r="I38" s="7" t="n">
        <v>17.5</v>
      </c>
      <c r="J38" s="7" t="n">
        <v>22.2</v>
      </c>
      <c r="K38" s="7" t="n">
        <v>22.3</v>
      </c>
    </row>
    <row r="39">
      <c r="A39" s="6" t="n">
        <v>2004</v>
      </c>
      <c r="B39" s="7" t="n">
        <v>4</v>
      </c>
      <c r="C39" s="7" t="n">
        <v>7.2</v>
      </c>
      <c r="D39" s="7" t="n">
        <v>9.4</v>
      </c>
      <c r="E39" s="7" t="n">
        <v>13.8</v>
      </c>
      <c r="F39" s="7" t="n">
        <v>20.2</v>
      </c>
      <c r="G39" s="7" t="n">
        <v>20.2</v>
      </c>
      <c r="H39" s="7" t="n">
        <v>20.2</v>
      </c>
      <c r="I39" s="7" t="n">
        <v>20.2</v>
      </c>
      <c r="J39" s="7" t="n">
        <v>20.3</v>
      </c>
      <c r="K39" s="7" t="n">
        <v>20.4</v>
      </c>
    </row>
    <row r="40">
      <c r="A40" s="6" t="n">
        <v>2005</v>
      </c>
      <c r="B40" s="8" t="n">
        <v>7.5</v>
      </c>
      <c r="C40" s="8" t="n">
        <v>15</v>
      </c>
      <c r="D40" s="8" t="n">
        <v>22.5</v>
      </c>
      <c r="E40" s="8" t="n">
        <v>30.1</v>
      </c>
      <c r="F40" s="8" t="n">
        <v>30.4</v>
      </c>
      <c r="G40" s="8" t="n">
        <v>30.5</v>
      </c>
      <c r="H40" s="8" t="n">
        <v>30.7</v>
      </c>
      <c r="I40" s="8" t="n">
        <v>51.8</v>
      </c>
      <c r="J40" s="8" t="n">
        <v>62.2</v>
      </c>
      <c r="K40" s="8" t="n">
        <v>91.59999999999999</v>
      </c>
    </row>
    <row r="41">
      <c r="A41" s="6" t="n">
        <v>2006</v>
      </c>
      <c r="B41" s="8" t="n">
        <v>6.1</v>
      </c>
      <c r="C41" s="8" t="n">
        <v>9.699999999999999</v>
      </c>
      <c r="D41" s="8" t="n">
        <v>11.8</v>
      </c>
      <c r="E41" s="7" t="n">
        <v>15.4</v>
      </c>
      <c r="F41" s="7" t="n">
        <v>26.4</v>
      </c>
      <c r="G41" s="7" t="n">
        <v>32.6</v>
      </c>
      <c r="H41" s="7" t="n">
        <v>32.9</v>
      </c>
      <c r="I41" s="7" t="n">
        <v>43.1</v>
      </c>
      <c r="J41" s="7" t="n">
        <v>47.9</v>
      </c>
      <c r="K41" s="7" t="n">
        <v>60.6</v>
      </c>
    </row>
    <row r="42">
      <c r="A42" s="6" t="n">
        <v>2007</v>
      </c>
      <c r="B42" s="7" t="n">
        <v>9</v>
      </c>
      <c r="C42" s="7" t="n">
        <v>13</v>
      </c>
      <c r="D42" s="7" t="n">
        <v>15.2</v>
      </c>
      <c r="E42" s="7" t="n">
        <v>23.4</v>
      </c>
      <c r="F42" s="7" t="n">
        <v>37.8</v>
      </c>
      <c r="G42" s="7" t="n">
        <v>52</v>
      </c>
      <c r="H42" s="7" t="n">
        <v>69</v>
      </c>
      <c r="I42" s="7" t="n">
        <v>114.6</v>
      </c>
      <c r="J42" s="7" t="n">
        <v>191</v>
      </c>
      <c r="K42" s="7" t="n">
        <v>290.4</v>
      </c>
    </row>
    <row r="43">
      <c r="A43" s="6" t="n">
        <v>2008</v>
      </c>
      <c r="B43" s="8" t="n">
        <v>2.1</v>
      </c>
      <c r="C43" s="8" t="n">
        <v>3.4</v>
      </c>
      <c r="D43" s="8" t="n">
        <v>5</v>
      </c>
      <c r="E43" s="8" t="n">
        <v>7.4</v>
      </c>
      <c r="F43" s="8" t="n">
        <v>9</v>
      </c>
      <c r="G43" s="8" t="n">
        <v>11.8</v>
      </c>
      <c r="H43" s="8" t="n">
        <v>14.2</v>
      </c>
      <c r="I43" s="8" t="n">
        <v>14.2</v>
      </c>
      <c r="J43" s="8" t="n">
        <v>14.3</v>
      </c>
      <c r="K43" s="8" t="n">
        <v>14.4</v>
      </c>
    </row>
    <row r="44">
      <c r="A44" s="6" t="n">
        <v>2009</v>
      </c>
      <c r="B44" s="8" t="n">
        <v>5.3</v>
      </c>
      <c r="C44" s="8" t="n">
        <v>9.800000000000001</v>
      </c>
      <c r="D44" s="8" t="n">
        <v>11.5</v>
      </c>
      <c r="E44" s="8" t="n">
        <v>12.1</v>
      </c>
      <c r="F44" s="8" t="n">
        <v>12.1</v>
      </c>
      <c r="G44" s="7" t="n">
        <v>16</v>
      </c>
      <c r="H44" s="7" t="n">
        <v>18</v>
      </c>
      <c r="I44" s="7" t="n">
        <v>18.3</v>
      </c>
      <c r="J44" s="7" t="n">
        <v>18.5</v>
      </c>
      <c r="K44" s="7" t="n">
        <v>18.9</v>
      </c>
    </row>
    <row r="45">
      <c r="A45" s="6" t="n">
        <v>2010</v>
      </c>
      <c r="B45" s="7" t="n">
        <v>9.4</v>
      </c>
      <c r="C45" s="7" t="n">
        <v>16.8</v>
      </c>
      <c r="D45" s="7" t="n">
        <v>22.8</v>
      </c>
      <c r="E45" s="7" t="n">
        <v>37.2</v>
      </c>
      <c r="F45" s="7" t="n">
        <v>51</v>
      </c>
      <c r="G45" s="7" t="n">
        <v>54.2</v>
      </c>
      <c r="H45" s="7" t="n">
        <v>54.3</v>
      </c>
      <c r="I45" s="7" t="n">
        <v>57.9</v>
      </c>
      <c r="J45" s="7" t="n">
        <v>59</v>
      </c>
      <c r="K45" s="7" t="n">
        <v>96.40000000000001</v>
      </c>
    </row>
    <row r="46">
      <c r="A46" s="6" t="n">
        <v>2011</v>
      </c>
      <c r="B46" s="7" t="n">
        <v>2.6</v>
      </c>
      <c r="C46" s="7" t="n">
        <v>4.6</v>
      </c>
      <c r="D46" s="7" t="n">
        <v>5.8</v>
      </c>
      <c r="E46" s="7" t="n">
        <v>6.4</v>
      </c>
      <c r="F46" s="7" t="n">
        <v>6.4</v>
      </c>
      <c r="G46" s="7" t="n">
        <v>7.9</v>
      </c>
      <c r="H46" s="7" t="n">
        <v>10</v>
      </c>
      <c r="I46" s="7" t="n">
        <v>10.3</v>
      </c>
      <c r="J46" s="7" t="n">
        <v>13.2</v>
      </c>
      <c r="K46" s="7" t="n">
        <v>13.7</v>
      </c>
    </row>
    <row r="47">
      <c r="A47" s="6" t="n">
        <v>2012</v>
      </c>
      <c r="B47" s="7" t="n">
        <v>10.2</v>
      </c>
      <c r="C47" s="7" t="n">
        <v>14.6</v>
      </c>
      <c r="D47" s="7" t="n">
        <v>20</v>
      </c>
      <c r="E47" s="7" t="n">
        <v>32</v>
      </c>
      <c r="F47" s="7" t="n">
        <v>49</v>
      </c>
      <c r="G47" s="7" t="n">
        <v>65.2</v>
      </c>
      <c r="H47" s="7" t="n">
        <v>69.40000000000001</v>
      </c>
      <c r="I47" s="7" t="n">
        <v>70</v>
      </c>
      <c r="J47" s="7" t="n">
        <v>70.09999999999999</v>
      </c>
      <c r="K47" s="7" t="n">
        <v>79.8</v>
      </c>
    </row>
    <row r="48">
      <c r="A48" s="6" t="n">
        <v>2013</v>
      </c>
      <c r="B48" s="7" t="n">
        <v>5.6</v>
      </c>
      <c r="C48" s="7" t="n">
        <v>7.4</v>
      </c>
      <c r="D48" s="7" t="n">
        <v>9.199999999999999</v>
      </c>
      <c r="E48" s="7" t="n">
        <v>16.6</v>
      </c>
      <c r="F48" s="7" t="n">
        <v>19.4</v>
      </c>
      <c r="G48" s="7" t="n">
        <v>25.2</v>
      </c>
      <c r="H48" s="7" t="n">
        <v>30.2</v>
      </c>
      <c r="I48" s="7" t="n">
        <v>35.6</v>
      </c>
      <c r="J48" s="7" t="n">
        <v>35.7</v>
      </c>
      <c r="K48" s="7" t="n">
        <v>60.4</v>
      </c>
    </row>
    <row r="49">
      <c r="A49" s="6" t="n">
        <v>2014</v>
      </c>
      <c r="B49" s="7" t="n">
        <v>10.6</v>
      </c>
      <c r="C49" s="7" t="n">
        <v>16</v>
      </c>
      <c r="D49" s="7" t="n">
        <v>20.2</v>
      </c>
      <c r="E49" s="7" t="n">
        <v>32.8</v>
      </c>
      <c r="F49" s="7" t="n">
        <v>36.9</v>
      </c>
      <c r="G49" s="7" t="n">
        <v>37.3</v>
      </c>
      <c r="H49" s="7" t="n">
        <v>62.2</v>
      </c>
      <c r="I49" s="7" t="n">
        <v>66.8</v>
      </c>
      <c r="J49" s="7" t="n">
        <v>109</v>
      </c>
      <c r="K49" s="7" t="n">
        <v>136.4</v>
      </c>
    </row>
    <row r="50">
      <c r="A50" s="6" t="n">
        <v>2015</v>
      </c>
      <c r="B50" s="7" t="n">
        <v>3.3</v>
      </c>
      <c r="C50" s="7" t="n">
        <v>5.3</v>
      </c>
      <c r="D50" s="7" t="n">
        <v>6</v>
      </c>
      <c r="E50" s="7" t="n">
        <v>6.8</v>
      </c>
      <c r="F50" s="7" t="n">
        <v>9.4</v>
      </c>
      <c r="G50" s="7" t="n">
        <v>12.4</v>
      </c>
      <c r="H50" s="7" t="n">
        <v>15.5</v>
      </c>
      <c r="I50" s="7" t="n">
        <v>21</v>
      </c>
      <c r="J50" s="7" t="n">
        <v>21.1</v>
      </c>
      <c r="K50" s="7" t="n">
        <v>21.2</v>
      </c>
    </row>
    <row r="51">
      <c r="A51" s="6" t="n">
        <v>2016</v>
      </c>
      <c r="B51" s="7" t="n">
        <v>10.8</v>
      </c>
      <c r="C51" s="7" t="n">
        <v>19</v>
      </c>
      <c r="D51" s="7" t="n">
        <v>26.6</v>
      </c>
      <c r="E51" s="7" t="n">
        <v>29.5</v>
      </c>
      <c r="F51" s="7" t="n">
        <v>33.2</v>
      </c>
      <c r="G51" s="7" t="n">
        <v>34.1</v>
      </c>
      <c r="H51" s="7" t="n">
        <v>37.1</v>
      </c>
      <c r="I51" s="7" t="n">
        <v>40.9</v>
      </c>
      <c r="J51" s="7" t="n">
        <v>45.7</v>
      </c>
      <c r="K51" s="7" t="n">
        <v>50.8</v>
      </c>
    </row>
    <row r="52">
      <c r="A52" s="6" t="n">
        <v>2017</v>
      </c>
      <c r="B52" s="7" t="n">
        <v>8</v>
      </c>
      <c r="C52" s="7" t="n">
        <v>12.6</v>
      </c>
      <c r="D52" s="7" t="n">
        <v>14.4</v>
      </c>
      <c r="E52" s="7" t="n">
        <v>15.8</v>
      </c>
      <c r="F52" s="7" t="n">
        <v>17.2</v>
      </c>
      <c r="G52" s="7" t="n">
        <v>17.8</v>
      </c>
      <c r="H52" s="7" t="n">
        <v>17.8</v>
      </c>
      <c r="I52" s="7" t="n">
        <v>17.8</v>
      </c>
      <c r="J52" s="7" t="n">
        <v>17.9</v>
      </c>
      <c r="K52" s="7" t="n">
        <v>18</v>
      </c>
    </row>
    <row r="53">
      <c r="A53" s="6" t="n">
        <v>2019</v>
      </c>
      <c r="B53" s="7" t="n">
        <v>10</v>
      </c>
      <c r="C53" s="7" t="n">
        <v>15.2</v>
      </c>
      <c r="D53" s="7" t="n">
        <v>18.2</v>
      </c>
      <c r="E53" s="7" t="n">
        <v>25.4</v>
      </c>
      <c r="F53" s="7" t="n">
        <v>28.4</v>
      </c>
      <c r="G53" s="7" t="n">
        <v>28.7</v>
      </c>
      <c r="H53" s="7" t="n">
        <v>29.5</v>
      </c>
      <c r="I53" s="7" t="n">
        <v>34.3</v>
      </c>
      <c r="J53" s="7" t="n">
        <v>34.7</v>
      </c>
      <c r="K53" s="7" t="n">
        <v>35.5</v>
      </c>
    </row>
    <row r="54">
      <c r="A54" s="6" t="n">
        <v>2020</v>
      </c>
      <c r="B54" s="7" t="n">
        <v>6</v>
      </c>
      <c r="C54" s="7" t="n">
        <v>11.8</v>
      </c>
      <c r="D54" s="7" t="n">
        <v>15.8</v>
      </c>
      <c r="E54" s="7" t="n">
        <v>19.8</v>
      </c>
      <c r="F54" s="7" t="n">
        <v>20</v>
      </c>
      <c r="G54" s="7" t="n">
        <v>20</v>
      </c>
      <c r="H54" s="7" t="n">
        <v>20</v>
      </c>
      <c r="I54" s="7" t="n">
        <v>20.1</v>
      </c>
      <c r="J54" s="7" t="n">
        <v>20.1</v>
      </c>
      <c r="K54" s="7" t="n">
        <v>20.2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2026-07-10T10:34:07Z</dcterms:created>
  <dcterms:modified xmlns:dcterms="http://purl.org/dc/terms/" xmlns:xsi="http://www.w3.org/2001/XMLSchema-instance" xsi:type="dcterms:W3CDTF">2026-07-10T10:34:08Z</dcterms:modified>
</cp:coreProperties>
</file>