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2.6.1 Trap Efficiency" sheetId="3" state="visible" r:id="rId3"/>
    <sheet xmlns:r="http://schemas.openxmlformats.org/officeDocument/2006/relationships" name="2.6.2 Density" sheetId="4" state="visible" r:id="rId4"/>
    <sheet xmlns:r="http://schemas.openxmlformats.org/officeDocument/2006/relationships" name="2.6.3 Distribution" sheetId="5" state="visible" r:id="rId5"/>
    <sheet xmlns:r="http://schemas.openxmlformats.org/officeDocument/2006/relationships" name="Revised EAV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0606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Elevation–Capacity: Original vs Revised (50-yr)</a:t>
            </a:r>
          </a:p>
        </rich>
      </tx>
    </title>
    <plotArea>
      <scatterChart>
        <ser>
          <idx val="0"/>
          <order val="0"/>
          <tx>
            <v>Original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EAV'!$D$4:$D$78</f>
            </numRef>
          </xVal>
          <yVal>
            <numRef>
              <f>'Revised EAV'!$A$4:$A$78</f>
            </numRef>
          </yVal>
        </ser>
        <ser>
          <idx val="1"/>
          <order val="1"/>
          <tx>
            <v>Revised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EAV'!$E$4:$E$78</f>
            </numRef>
          </xVal>
          <yVal>
            <numRef>
              <f>'Revised EAV'!$A$4:$A$78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Capacity (Mm³)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Elevation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Majlas Dam — Reservoir Sedimentation Study</t>
        </is>
      </c>
    </row>
    <row r="2">
      <c r="A2" s="2" t="inlineStr">
        <is>
          <t>Revised Elevation–Area–Volume curve after sediment deposition</t>
        </is>
      </c>
    </row>
    <row r="4" ht="18" customHeight="1">
      <c r="A4" s="3" t="inlineStr">
        <is>
          <t>Method</t>
        </is>
      </c>
      <c r="B4" s="4" t="n"/>
      <c r="C4" s="4" t="n"/>
      <c r="D4" s="4" t="n"/>
      <c r="E4" s="4" t="n"/>
      <c r="F4" s="4" t="n"/>
    </row>
    <row r="5">
      <c r="A5" s="5" t="inlineStr">
        <is>
          <t>USBR Erosion and Sedimentation Manual, Chapter 2, Section 2.6:</t>
        </is>
      </c>
    </row>
    <row r="6">
      <c r="A6" s="5" t="inlineStr">
        <is>
          <t xml:space="preserve">   2.6.1  Reservoir Sediment Trap Efficiency  (Brune median curve)</t>
        </is>
      </c>
    </row>
    <row r="7">
      <c r="A7" s="5" t="inlineStr">
        <is>
          <t xml:space="preserve">   2.6.2  Density of Deposited Sediment  (Lara &amp; Pemberton Eq. 2.39; Miller Eq. 2.40–2.41)</t>
        </is>
      </c>
    </row>
    <row r="8">
      <c r="A8" s="5" t="inlineStr">
        <is>
          <t xml:space="preserve">   2.6.3  Sediment Distribution Within a Reservoir  (Empirical Area-Reduction Method,</t>
        </is>
      </c>
    </row>
    <row r="9">
      <c r="A9" s="5" t="inlineStr">
        <is>
          <t xml:space="preserve">              Borland &amp; Miller 1960 / Lara 1962)</t>
        </is>
      </c>
    </row>
    <row r="11" ht="18" customHeight="1">
      <c r="A11" s="3" t="inlineStr">
        <is>
          <t>Workbook legend</t>
        </is>
      </c>
      <c r="B11" s="4" t="n"/>
      <c r="C11" s="4" t="n"/>
      <c r="D11" s="4" t="n"/>
      <c r="E11" s="4" t="n"/>
      <c r="F11" s="4" t="n"/>
    </row>
    <row r="12">
      <c r="A12" s="6" t="inlineStr">
        <is>
          <t>Blue text</t>
        </is>
      </c>
      <c r="B12" s="5" t="inlineStr">
        <is>
          <t>user input (edit these)</t>
        </is>
      </c>
    </row>
    <row r="13">
      <c r="A13" s="5" t="inlineStr">
        <is>
          <t>Black text</t>
        </is>
      </c>
      <c r="B13" s="5" t="inlineStr">
        <is>
          <t>formula or computed result</t>
        </is>
      </c>
    </row>
    <row r="14">
      <c r="A14" s="7" t="inlineStr">
        <is>
          <t>Green text</t>
        </is>
      </c>
      <c r="B14" s="5" t="inlineStr">
        <is>
          <t>link to another sheet</t>
        </is>
      </c>
    </row>
    <row r="15">
      <c r="A15" s="8" t="inlineStr">
        <is>
          <t>Yellow fill</t>
        </is>
      </c>
      <c r="B15" s="5" t="inlineStr">
        <is>
          <t>designated input cell</t>
        </is>
      </c>
    </row>
    <row r="17" ht="18" customHeight="1">
      <c r="A17" s="3" t="inlineStr">
        <is>
          <t>Sheets</t>
        </is>
      </c>
      <c r="B17" s="4" t="n"/>
      <c r="C17" s="4" t="n"/>
      <c r="D17" s="4" t="n"/>
      <c r="E17" s="4" t="n"/>
      <c r="F17" s="4" t="n"/>
    </row>
    <row r="18">
      <c r="A18" s="9" t="inlineStr">
        <is>
          <t>Inputs</t>
        </is>
      </c>
      <c r="B18" s="5" t="inlineStr">
        <is>
          <t>All study parameters (edit here)</t>
        </is>
      </c>
    </row>
    <row r="19">
      <c r="A19" s="9" t="inlineStr">
        <is>
          <t>2.6.1 Trap Efficiency</t>
        </is>
      </c>
      <c r="B19" s="5" t="inlineStr">
        <is>
          <t>Sediment supply &amp; trap efficiency — live formulas</t>
        </is>
      </c>
    </row>
    <row r="20">
      <c r="A20" s="9" t="inlineStr">
        <is>
          <t>2.6.2 Density</t>
        </is>
      </c>
      <c r="B20" s="5" t="inlineStr">
        <is>
          <t>Deposited unit weight — live formulas</t>
        </is>
      </c>
    </row>
    <row r="21">
      <c r="A21" s="9" t="inlineStr">
        <is>
          <t>2.6.3 Distribution</t>
        </is>
      </c>
      <c r="B21" s="5" t="inlineStr">
        <is>
          <t>Area-Reduction redistribution table (computed)</t>
        </is>
      </c>
    </row>
    <row r="22">
      <c r="A22" s="9" t="inlineStr">
        <is>
          <t>Revised EAV</t>
        </is>
      </c>
      <c r="B22" s="5" t="inlineStr">
        <is>
          <t>Original vs revised elevation–area–volume + chart</t>
        </is>
      </c>
    </row>
    <row r="23">
      <c r="A23" s="9" t="inlineStr">
        <is>
          <t>Summary</t>
        </is>
      </c>
      <c r="B23" s="5" t="inlineStr">
        <is>
          <t>Key results (50-yr and 100-yr)</t>
        </is>
      </c>
    </row>
    <row r="25">
      <c r="A25" s="2" t="inlineStr">
        <is>
          <t>Note: 2.6.3 uses iterative root-finding and is written as values. Re-run the Python engine (W1/) to redistribute for changed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Study Inputs — Majlas Dam</t>
        </is>
      </c>
    </row>
    <row r="3">
      <c r="A3" s="10" t="inlineStr">
        <is>
          <t>Parameter</t>
        </is>
      </c>
      <c r="B3" s="11" t="inlineStr">
        <is>
          <t>Value</t>
        </is>
      </c>
      <c r="C3" s="11" t="inlineStr">
        <is>
          <t>Unit</t>
        </is>
      </c>
      <c r="D3" s="10" t="inlineStr">
        <is>
          <t>Source / note</t>
        </is>
      </c>
    </row>
    <row r="4">
      <c r="A4" s="12" t="inlineStr">
        <is>
          <t>Catchment area</t>
        </is>
      </c>
      <c r="B4" s="13" t="n">
        <v>571.3</v>
      </c>
      <c r="C4" s="14" t="inlineStr">
        <is>
          <t>km²</t>
        </is>
      </c>
      <c r="D4" s="15" t="inlineStr">
        <is>
          <t>Basin Majlas.shp (equal-area) = 571.29 km²</t>
        </is>
      </c>
    </row>
    <row r="5">
      <c r="A5" s="12" t="inlineStr">
        <is>
          <t>Sediment yield</t>
        </is>
      </c>
      <c r="B5" s="13" t="n">
        <v>122</v>
      </c>
      <c r="C5" s="14" t="inlineStr">
        <is>
          <t>m³/km²/yr</t>
        </is>
      </c>
      <c r="D5" s="15" t="inlineStr">
        <is>
          <t>Provided (delivered to dam site)</t>
        </is>
      </c>
    </row>
    <row r="6">
      <c r="A6" s="12" t="inlineStr">
        <is>
          <t>Design horizon</t>
        </is>
      </c>
      <c r="B6" s="13" t="n">
        <v>50</v>
      </c>
      <c r="C6" s="14" t="inlineStr">
        <is>
          <t>years</t>
        </is>
      </c>
      <c r="D6" s="15" t="inlineStr">
        <is>
          <t>Primary horizon (adjustable)</t>
        </is>
      </c>
    </row>
    <row r="7">
      <c r="A7" s="12" t="inlineStr">
        <is>
          <t>Trap efficiency</t>
        </is>
      </c>
      <c r="B7" s="13" t="n">
        <v>1</v>
      </c>
      <c r="C7" s="14" t="inlineStr">
        <is>
          <t>fraction</t>
        </is>
      </c>
      <c r="D7" s="15" t="inlineStr">
        <is>
          <t>TE = 100 % (client instruction; Brune needs mean annual inflow)</t>
        </is>
      </c>
    </row>
    <row r="8">
      <c r="A8" s="12" t="inlineStr">
        <is>
          <t>Reservoir operation number</t>
        </is>
      </c>
      <c r="B8" s="13" t="n">
        <v>2</v>
      </c>
      <c r="C8" s="14" t="inlineStr">
        <is>
          <t>1–4</t>
        </is>
      </c>
      <c r="D8" s="15" t="inlineStr">
        <is>
          <t>Flood protection + water retention → moderate/considerable drawdown</t>
        </is>
      </c>
    </row>
    <row r="9">
      <c r="A9" s="12" t="inlineStr">
        <is>
          <t>Clay fraction</t>
        </is>
      </c>
      <c r="B9" s="13" t="n">
        <v>0.1791</v>
      </c>
      <c r="C9" s="14" t="inlineStr">
        <is>
          <t>fraction</t>
        </is>
      </c>
      <c r="D9" s="15" t="inlineStr">
        <is>
          <t>SoilGrids v2.0, topsoil 0–30 cm, basin mean</t>
        </is>
      </c>
    </row>
    <row r="10">
      <c r="A10" s="12" t="inlineStr">
        <is>
          <t>Silt fraction</t>
        </is>
      </c>
      <c r="B10" s="13" t="n">
        <v>0.2683</v>
      </c>
      <c r="C10" s="14" t="inlineStr">
        <is>
          <t>fraction</t>
        </is>
      </c>
      <c r="D10" s="15" t="inlineStr">
        <is>
          <t>SoilGrids v2.0, topsoil 0–30 cm, basin mean</t>
        </is>
      </c>
    </row>
    <row r="11">
      <c r="A11" s="12" t="inlineStr">
        <is>
          <t>Sand fraction</t>
        </is>
      </c>
      <c r="B11" s="13" t="n">
        <v>0.5526</v>
      </c>
      <c r="C11" s="14" t="inlineStr">
        <is>
          <t>fraction</t>
        </is>
      </c>
      <c r="D11" s="15" t="inlineStr">
        <is>
          <t>SoilGrids v2.0, topsoil 0–30 cm, basin mean</t>
        </is>
      </c>
    </row>
    <row r="12">
      <c r="A12" s="12" t="inlineStr">
        <is>
          <t>Full supply level (FSL)</t>
        </is>
      </c>
      <c r="B12" s="13" t="n">
        <v>83</v>
      </c>
      <c r="C12" s="14" t="inlineStr">
        <is>
          <t>m</t>
        </is>
      </c>
      <c r="D12" s="15" t="inlineStr">
        <is>
          <t>Normal pool; sediment distributed below FSL</t>
        </is>
      </c>
    </row>
    <row r="13">
      <c r="A13" s="12" t="inlineStr">
        <is>
          <t>Reservoir bed level</t>
        </is>
      </c>
      <c r="B13" s="13" t="n">
        <v>19.405</v>
      </c>
      <c r="C13" s="14" t="inlineStr">
        <is>
          <t>m</t>
        </is>
      </c>
      <c r="D13" s="15" t="inlineStr">
        <is>
          <t>Wadi bed = EAV minimum</t>
        </is>
      </c>
    </row>
    <row r="14">
      <c r="A14" s="12" t="inlineStr">
        <is>
          <t>Reference unit weight (optional)</t>
        </is>
      </c>
      <c r="B14" s="13" t="inlineStr"/>
      <c r="C14" s="14" t="inlineStr">
        <is>
          <t>kg/m³</t>
        </is>
      </c>
      <c r="D14" s="15" t="inlineStr">
        <is>
          <t>Blank = treat given yield as deposited volume (no rescale)</t>
        </is>
      </c>
    </row>
    <row r="16">
      <c r="A16" s="2" t="inlineStr">
        <is>
          <t>Edit the yellow cells. 2.6.1 and 2.6.2 recompute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6" customWidth="1" min="4" max="4"/>
  </cols>
  <sheetData>
    <row r="1">
      <c r="A1" s="1" t="inlineStr">
        <is>
          <t>2.6.1  Sediment Supply and Trap Efficiency</t>
        </is>
      </c>
    </row>
    <row r="3" ht="18" customHeight="1">
      <c r="A3" s="3" t="inlineStr">
        <is>
          <t>Sediment supply</t>
        </is>
      </c>
      <c r="B3" s="4" t="n"/>
      <c r="C3" s="4" t="n"/>
      <c r="D3" s="4" t="n"/>
    </row>
    <row r="4">
      <c r="A4" s="12" t="inlineStr">
        <is>
          <t>Gross sediment delivered = yield × area × horizon</t>
        </is>
      </c>
      <c r="B4" s="16">
        <f>Inputs!$B$5*Inputs!$B$4*Inputs!$B$6</f>
        <v/>
      </c>
      <c r="C4" s="14" t="inlineStr">
        <is>
          <t>m³</t>
        </is>
      </c>
    </row>
    <row r="5">
      <c r="A5" s="12" t="inlineStr">
        <is>
          <t>Gross sediment delivered</t>
        </is>
      </c>
      <c r="B5" s="17">
        <f>B4/1000000</f>
        <v/>
      </c>
      <c r="C5" s="14" t="inlineStr">
        <is>
          <t>Mm³</t>
        </is>
      </c>
    </row>
    <row r="6">
      <c r="A6" s="12" t="inlineStr">
        <is>
          <t>Trap efficiency (Brune median curve)</t>
        </is>
      </c>
      <c r="B6" s="18">
        <f>Inputs!$B$7</f>
        <v/>
      </c>
      <c r="C6" s="14" t="inlineStr">
        <is>
          <t>fraction</t>
        </is>
      </c>
    </row>
    <row r="7">
      <c r="A7" s="12" t="inlineStr">
        <is>
          <t>Trapped sediment = gross × TE</t>
        </is>
      </c>
      <c r="B7" s="17">
        <f>B5*B6</f>
        <v/>
      </c>
      <c r="C7" s="14" t="inlineStr">
        <is>
          <t>Mm³</t>
        </is>
      </c>
    </row>
    <row r="9">
      <c r="A9" s="2" t="inlineStr">
        <is>
          <t>Brune method applies to large storage reservoirs. TE = 100 % is used here per client instruction; to compute TE from Brune's curve, supply the mean annual inflow volume and use capacity/inflow ratio.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2.6.2  Density of Deposited Sediment</t>
        </is>
      </c>
    </row>
    <row r="2">
      <c r="A2" s="2" t="inlineStr">
        <is>
          <t>Lara &amp; Pemberton (Eq. 2.39), Miller compaction (Eq. 2.40–2.41) — metric (kg/m³)</t>
        </is>
      </c>
    </row>
    <row r="4" ht="18" customHeight="1">
      <c r="A4" s="3" t="inlineStr">
        <is>
          <t>Coefficient tables (kg/m³)</t>
        </is>
      </c>
      <c r="B4" s="4" t="n"/>
      <c r="C4" s="4" t="n"/>
      <c r="D4" s="4" t="n"/>
      <c r="E4" s="4" t="n"/>
      <c r="F4" s="4" t="n"/>
    </row>
    <row r="5">
      <c r="A5" s="11" t="inlineStr">
        <is>
          <t>Operation</t>
        </is>
      </c>
      <c r="B5" s="11" t="inlineStr">
        <is>
          <t>Wc (clay)</t>
        </is>
      </c>
      <c r="C5" s="11" t="inlineStr">
        <is>
          <t>Wm (silt)</t>
        </is>
      </c>
      <c r="D5" s="11" t="inlineStr">
        <is>
          <t>Ws (sand)</t>
        </is>
      </c>
      <c r="E5" s="11" t="inlineStr">
        <is>
          <t>Kc</t>
        </is>
      </c>
      <c r="F5" s="11" t="inlineStr">
        <is>
          <t>Km</t>
        </is>
      </c>
    </row>
    <row r="6">
      <c r="A6" s="14" t="n">
        <v>1</v>
      </c>
      <c r="B6" s="14" t="n">
        <v>416</v>
      </c>
      <c r="C6" s="14" t="n">
        <v>1120</v>
      </c>
      <c r="D6" s="14" t="n">
        <v>1550</v>
      </c>
      <c r="E6" s="14" t="n">
        <v>256</v>
      </c>
      <c r="F6" s="14" t="n">
        <v>91</v>
      </c>
    </row>
    <row r="7">
      <c r="A7" s="14" t="n">
        <v>2</v>
      </c>
      <c r="B7" s="14" t="n">
        <v>561</v>
      </c>
      <c r="C7" s="14" t="n">
        <v>1140</v>
      </c>
      <c r="D7" s="14" t="n">
        <v>1550</v>
      </c>
      <c r="E7" s="14" t="n">
        <v>135</v>
      </c>
      <c r="F7" s="14" t="n">
        <v>29</v>
      </c>
    </row>
    <row r="8">
      <c r="A8" s="14" t="n">
        <v>3</v>
      </c>
      <c r="B8" s="14" t="n">
        <v>641</v>
      </c>
      <c r="C8" s="14" t="n">
        <v>1150</v>
      </c>
      <c r="D8" s="14" t="n">
        <v>1550</v>
      </c>
      <c r="E8" s="14" t="n">
        <v>0</v>
      </c>
      <c r="F8" s="14" t="n">
        <v>0</v>
      </c>
    </row>
    <row r="9">
      <c r="A9" s="14" t="n">
        <v>4</v>
      </c>
      <c r="B9" s="14" t="n">
        <v>961</v>
      </c>
      <c r="C9" s="14" t="n">
        <v>1170</v>
      </c>
      <c r="D9" s="14" t="n">
        <v>1550</v>
      </c>
      <c r="E9" s="14" t="n">
        <v>0</v>
      </c>
      <c r="F9" s="14" t="n">
        <v>0</v>
      </c>
    </row>
    <row r="11">
      <c r="A11" s="2" t="inlineStr">
        <is>
          <t>Ks (sand) = 0 for all operations.</t>
        </is>
      </c>
    </row>
    <row r="13" ht="18" customHeight="1">
      <c r="A13" s="3" t="inlineStr">
        <is>
          <t>Deposited unit weight</t>
        </is>
      </c>
      <c r="B13" s="4" t="n"/>
      <c r="C13" s="4" t="n"/>
      <c r="D13" s="4" t="n"/>
      <c r="E13" s="4" t="n"/>
      <c r="F13" s="4" t="n"/>
    </row>
    <row r="14">
      <c r="A14" s="12" t="inlineStr">
        <is>
          <t>Operation number</t>
        </is>
      </c>
      <c r="B14" s="16">
        <f>Inputs!$B$8</f>
        <v/>
      </c>
    </row>
    <row r="15">
      <c r="A15" s="12" t="inlineStr">
        <is>
          <t>Wc, Wm, Ws (selected)</t>
        </is>
      </c>
      <c r="B15" s="14">
        <f>INDEX($B$6:$B$9,MATCH(Inputs!$B$8,$A$6:$A$9,0))</f>
        <v/>
      </c>
      <c r="C15" s="14">
        <f>INDEX($C$6:$C$9,MATCH(Inputs!$B$8,$A$6:$A$9,0))</f>
        <v/>
      </c>
      <c r="D15" s="14">
        <f>INDEX($D$6:$D$9,MATCH(Inputs!$B$8,$A$6:$A$9,0))</f>
        <v/>
      </c>
    </row>
    <row r="16">
      <c r="A16" s="12" t="inlineStr">
        <is>
          <t>Kc, Km (selected)</t>
        </is>
      </c>
      <c r="B16" s="14">
        <f>INDEX($E$6:$E$9,MATCH(Inputs!$B$8,$A$6:$A$9,0))</f>
        <v/>
      </c>
      <c r="C16" s="14">
        <f>INDEX($F$6:$F$9,MATCH(Inputs!$B$8,$A$6:$A$9,0))</f>
        <v/>
      </c>
    </row>
    <row r="18">
      <c r="A18" s="12" t="inlineStr">
        <is>
          <t>Clay / silt / sand fractions</t>
        </is>
      </c>
      <c r="B18" s="18">
        <f>Inputs!$B$9</f>
        <v/>
      </c>
      <c r="C18" s="18">
        <f>Inputs!$B$10</f>
        <v/>
      </c>
      <c r="D18" s="18">
        <f>Inputs!$B$11</f>
        <v/>
      </c>
    </row>
    <row r="20">
      <c r="A20" s="12" t="inlineStr">
        <is>
          <t>Initial unit weight W1 = Wc·pc+Wm·pm+Ws·ps  (Eq. 2.39)</t>
        </is>
      </c>
      <c r="B20" s="19">
        <f>B15*B18+C15*C18+D15*D18</f>
        <v/>
      </c>
      <c r="C20" s="14" t="inlineStr">
        <is>
          <t>kg/m³</t>
        </is>
      </c>
    </row>
    <row r="21">
      <c r="A21" s="12" t="inlineStr">
        <is>
          <t>Compaction constant K = Kc·pc+Km·pm  (Eq. 2.41)</t>
        </is>
      </c>
      <c r="B21" s="20">
        <f>B16*B18+C16*C18</f>
        <v/>
      </c>
    </row>
    <row r="22">
      <c r="A22" s="12" t="inlineStr">
        <is>
          <t>Design horizon T</t>
        </is>
      </c>
      <c r="B22" s="16">
        <f>Inputs!$B$6</f>
        <v/>
      </c>
      <c r="C22" s="14" t="inlineStr">
        <is>
          <t>years</t>
        </is>
      </c>
    </row>
    <row r="23">
      <c r="A23" s="12" t="inlineStr">
        <is>
          <t>Average unit weight W_T = W1 + 0.4343·K·(T/(T-1)·ln T − 1)  (Eq. 2.40)</t>
        </is>
      </c>
      <c r="B23" s="19">
        <f>B20+0.4343*B21*((B22/(B22-1))*LN(B22)-1)</f>
        <v/>
      </c>
      <c r="C23" s="14" t="inlineStr">
        <is>
          <t>kg/m³</t>
        </is>
      </c>
    </row>
    <row r="24">
      <c r="A24" s="12" t="inlineStr">
        <is>
          <t>Deposited unit weight (t/m³)</t>
        </is>
      </c>
      <c r="B24" s="17">
        <f>B23/1000</f>
        <v/>
      </c>
    </row>
    <row r="26" ht="18" customHeight="1">
      <c r="A26" s="3" t="inlineStr">
        <is>
          <t>Deposited sediment volume</t>
        </is>
      </c>
      <c r="B26" s="4" t="n"/>
      <c r="C26" s="4" t="n"/>
      <c r="D26" s="4" t="n"/>
      <c r="E26" s="4" t="n"/>
      <c r="F26" s="4" t="n"/>
    </row>
    <row r="27">
      <c r="A27" s="12" t="inlineStr">
        <is>
          <t>Trapped sediment</t>
        </is>
      </c>
      <c r="B27" s="21">
        <f>'2.6.1 Trap Efficiency'!B7</f>
        <v/>
      </c>
      <c r="C27" s="14" t="inlineStr">
        <is>
          <t>Mm³</t>
        </is>
      </c>
    </row>
    <row r="28">
      <c r="A28" s="12" t="inlineStr">
        <is>
          <t>Reference unit weight (optional)</t>
        </is>
      </c>
      <c r="B28" s="16">
        <f>Inputs!$B$14</f>
        <v/>
      </c>
      <c r="C28" s="14" t="inlineStr">
        <is>
          <t>kg/m³</t>
        </is>
      </c>
    </row>
    <row r="29">
      <c r="A29" s="12" t="inlineStr">
        <is>
          <t>Deposited volume (rescaled if ref given)</t>
        </is>
      </c>
      <c r="B29" s="17">
        <f>IF(B28="",B27,B27*B28/B23)</f>
        <v/>
      </c>
      <c r="C29" s="14" t="inlineStr">
        <is>
          <t>Mm³</t>
        </is>
      </c>
    </row>
    <row r="31">
      <c r="A31" s="2" t="inlineStr">
        <is>
          <t>If the supplied yield volume was computed at a reference density, enter it in Inputs to rescale to the deposited unit weight (deposited = trapped × ref / W_T). Blank = no rescale.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2.6.3  Sediment Distribution — Empirical Area-Reduction Method</t>
        </is>
      </c>
    </row>
    <row r="2">
      <c r="A2" s="2" t="inlineStr">
        <is>
          <t>Borland &amp; Miller (1960) / Lara (1962). Values computed by the Python engine.</t>
        </is>
      </c>
    </row>
    <row r="4" ht="18" customHeight="1">
      <c r="A4" s="3" t="inlineStr">
        <is>
          <t>Distribution parameters</t>
        </is>
      </c>
      <c r="B4" s="4" t="n"/>
      <c r="C4" s="4" t="n"/>
      <c r="D4" s="4" t="n"/>
    </row>
    <row r="5">
      <c r="A5" s="12" t="inlineStr">
        <is>
          <t>Reservoir shape factor m (ln V vs ln depth)</t>
        </is>
      </c>
      <c r="C5" s="14" t="n">
        <v>2.902</v>
      </c>
      <c r="D5" s="14" t="inlineStr"/>
    </row>
    <row r="6">
      <c r="A6" s="12" t="inlineStr">
        <is>
          <t>Reservoir type</t>
        </is>
      </c>
      <c r="C6" s="14" t="inlineStr">
        <is>
          <t>II</t>
        </is>
      </c>
      <c r="D6" s="14" t="inlineStr">
        <is>
          <t>by shape</t>
        </is>
      </c>
    </row>
    <row r="7">
      <c r="A7" s="12" t="inlineStr">
        <is>
          <t>Design curve a(p) = 2.487·p^0.57·(1−p)^0.41</t>
        </is>
      </c>
      <c r="C7" s="14" t="inlineStr"/>
      <c r="D7" s="14" t="inlineStr"/>
    </row>
    <row r="8">
      <c r="A8" s="12" t="inlineStr">
        <is>
          <t>Sediment volume distributed (50-yr)</t>
        </is>
      </c>
      <c r="C8" s="14" t="n">
        <v>3.485</v>
      </c>
      <c r="D8" s="14" t="inlineStr">
        <is>
          <t>Mm³</t>
        </is>
      </c>
    </row>
    <row r="9">
      <c r="A9" s="12" t="inlineStr">
        <is>
          <t>Relative depth at new zero capacity, p0</t>
        </is>
      </c>
      <c r="C9" s="14" t="n">
        <v>0.0585</v>
      </c>
      <c r="D9" s="14" t="inlineStr"/>
    </row>
    <row r="10">
      <c r="A10" s="12" t="inlineStr">
        <is>
          <t>New zero-capacity (sediment) elevation at dam</t>
        </is>
      </c>
      <c r="C10" s="14" t="n">
        <v>23.12</v>
      </c>
      <c r="D10" s="14" t="inlineStr">
        <is>
          <t>m</t>
        </is>
      </c>
    </row>
    <row r="12" ht="18" customHeight="1">
      <c r="A12" s="3" t="inlineStr">
        <is>
          <t>Redistribution table (below FSL)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11" t="inlineStr">
        <is>
          <t>Elevation (m)</t>
        </is>
      </c>
      <c r="B13" s="11" t="inlineStr">
        <is>
          <t>Orig area (m²)</t>
        </is>
      </c>
      <c r="C13" s="11" t="inlineStr">
        <is>
          <t>Orig cap (Mm³)</t>
        </is>
      </c>
      <c r="D13" s="11" t="inlineStr">
        <is>
          <t>Rel depth p</t>
        </is>
      </c>
      <c r="E13" s="11" t="inlineStr">
        <is>
          <t>Sediment area (m²)</t>
        </is>
      </c>
      <c r="F13" s="11" t="inlineStr">
        <is>
          <t>Sed vol below (Mm³)</t>
        </is>
      </c>
      <c r="G13" s="11" t="inlineStr">
        <is>
          <t>Revised area (m²)</t>
        </is>
      </c>
      <c r="H13" s="11" t="inlineStr">
        <is>
          <t>Revised cap (Mm³)</t>
        </is>
      </c>
    </row>
    <row r="14">
      <c r="A14" s="14" t="n">
        <v>19.4</v>
      </c>
      <c r="B14" s="22" t="n">
        <v>25</v>
      </c>
      <c r="C14" s="17" t="n">
        <v>0</v>
      </c>
      <c r="D14" s="14" t="n">
        <v>0</v>
      </c>
      <c r="E14" s="22" t="n">
        <v>25</v>
      </c>
      <c r="F14" s="17" t="n">
        <v>0</v>
      </c>
      <c r="G14" s="22" t="n">
        <v>0</v>
      </c>
      <c r="H14" s="17" t="n">
        <v>0</v>
      </c>
    </row>
    <row r="15">
      <c r="A15" s="14" t="n">
        <v>20.4</v>
      </c>
      <c r="B15" s="22" t="n">
        <v>1072</v>
      </c>
      <c r="C15" s="17" t="n">
        <v>0</v>
      </c>
      <c r="D15" s="14" t="n">
        <v>0.016</v>
      </c>
      <c r="E15" s="22" t="n">
        <v>1072</v>
      </c>
      <c r="F15" s="17" t="n">
        <v>0</v>
      </c>
      <c r="G15" s="22" t="n">
        <v>0</v>
      </c>
      <c r="H15" s="17" t="n">
        <v>0</v>
      </c>
    </row>
    <row r="16">
      <c r="A16" s="14" t="n">
        <v>21.4</v>
      </c>
      <c r="B16" s="22" t="n">
        <v>4189</v>
      </c>
      <c r="C16" s="17" t="n">
        <v>0.002</v>
      </c>
      <c r="D16" s="14" t="n">
        <v>0.031</v>
      </c>
      <c r="E16" s="22" t="n">
        <v>4189</v>
      </c>
      <c r="F16" s="17" t="n">
        <v>0.002</v>
      </c>
      <c r="G16" s="22" t="n">
        <v>0</v>
      </c>
      <c r="H16" s="17" t="n">
        <v>0</v>
      </c>
    </row>
    <row r="17">
      <c r="A17" s="14" t="n">
        <v>22.4</v>
      </c>
      <c r="B17" s="22" t="n">
        <v>16633</v>
      </c>
      <c r="C17" s="17" t="n">
        <v>0.013</v>
      </c>
      <c r="D17" s="14" t="n">
        <v>0.047</v>
      </c>
      <c r="E17" s="22" t="n">
        <v>16633</v>
      </c>
      <c r="F17" s="17" t="n">
        <v>0.013</v>
      </c>
      <c r="G17" s="22" t="n">
        <v>0</v>
      </c>
      <c r="H17" s="17" t="n">
        <v>0</v>
      </c>
    </row>
    <row r="18">
      <c r="A18" s="14" t="n">
        <v>23.4</v>
      </c>
      <c r="B18" s="22" t="n">
        <v>29949</v>
      </c>
      <c r="C18" s="17" t="n">
        <v>0.037</v>
      </c>
      <c r="D18" s="14" t="n">
        <v>0.063</v>
      </c>
      <c r="E18" s="22" t="n">
        <v>27689</v>
      </c>
      <c r="F18" s="17" t="n">
        <v>0.037</v>
      </c>
      <c r="G18" s="22" t="n">
        <v>2260</v>
      </c>
      <c r="H18" s="17" t="n">
        <v>0</v>
      </c>
    </row>
    <row r="19">
      <c r="A19" s="14" t="n">
        <v>24.4</v>
      </c>
      <c r="B19" s="22" t="n">
        <v>41743</v>
      </c>
      <c r="C19" s="17" t="n">
        <v>0.073</v>
      </c>
      <c r="D19" s="14" t="n">
        <v>0.079</v>
      </c>
      <c r="E19" s="22" t="n">
        <v>31227</v>
      </c>
      <c r="F19" s="17" t="n">
        <v>0.066</v>
      </c>
      <c r="G19" s="22" t="n">
        <v>10517</v>
      </c>
      <c r="H19" s="17" t="n">
        <v>0.007</v>
      </c>
    </row>
    <row r="20">
      <c r="A20" s="14" t="n">
        <v>25.4</v>
      </c>
      <c r="B20" s="22" t="n">
        <v>55209</v>
      </c>
      <c r="C20" s="17" t="n">
        <v>0.121</v>
      </c>
      <c r="D20" s="14" t="n">
        <v>0.094</v>
      </c>
      <c r="E20" s="22" t="n">
        <v>34403</v>
      </c>
      <c r="F20" s="17" t="n">
        <v>0.099</v>
      </c>
      <c r="G20" s="22" t="n">
        <v>20806</v>
      </c>
      <c r="H20" s="17" t="n">
        <v>0.022</v>
      </c>
    </row>
    <row r="21">
      <c r="A21" s="14" t="n">
        <v>26.4</v>
      </c>
      <c r="B21" s="22" t="n">
        <v>76679</v>
      </c>
      <c r="C21" s="17" t="n">
        <v>0.186</v>
      </c>
      <c r="D21" s="14" t="n">
        <v>0.11</v>
      </c>
      <c r="E21" s="22" t="n">
        <v>37294</v>
      </c>
      <c r="F21" s="17" t="n">
        <v>0.135</v>
      </c>
      <c r="G21" s="22" t="n">
        <v>39386</v>
      </c>
      <c r="H21" s="17" t="n">
        <v>0.051</v>
      </c>
    </row>
    <row r="22">
      <c r="A22" s="14" t="n">
        <v>27.4</v>
      </c>
      <c r="B22" s="22" t="n">
        <v>103311</v>
      </c>
      <c r="C22" s="17" t="n">
        <v>0.275</v>
      </c>
      <c r="D22" s="14" t="n">
        <v>0.126</v>
      </c>
      <c r="E22" s="22" t="n">
        <v>39950</v>
      </c>
      <c r="F22" s="17" t="n">
        <v>0.174</v>
      </c>
      <c r="G22" s="22" t="n">
        <v>63361</v>
      </c>
      <c r="H22" s="17" t="n">
        <v>0.101</v>
      </c>
    </row>
    <row r="23">
      <c r="A23" s="14" t="n">
        <v>28.4</v>
      </c>
      <c r="B23" s="22" t="n">
        <v>151788</v>
      </c>
      <c r="C23" s="17" t="n">
        <v>0.406</v>
      </c>
      <c r="D23" s="14" t="n">
        <v>0.142</v>
      </c>
      <c r="E23" s="22" t="n">
        <v>42407</v>
      </c>
      <c r="F23" s="17" t="n">
        <v>0.215</v>
      </c>
      <c r="G23" s="22" t="n">
        <v>109380</v>
      </c>
      <c r="H23" s="17" t="n">
        <v>0.191</v>
      </c>
    </row>
    <row r="24">
      <c r="A24" s="14" t="n">
        <v>29.4</v>
      </c>
      <c r="B24" s="22" t="n">
        <v>202483</v>
      </c>
      <c r="C24" s="17" t="n">
        <v>0.58</v>
      </c>
      <c r="D24" s="14" t="n">
        <v>0.157</v>
      </c>
      <c r="E24" s="22" t="n">
        <v>44692</v>
      </c>
      <c r="F24" s="17" t="n">
        <v>0.259</v>
      </c>
      <c r="G24" s="22" t="n">
        <v>157791</v>
      </c>
      <c r="H24" s="17" t="n">
        <v>0.322</v>
      </c>
    </row>
    <row r="25">
      <c r="A25" s="14" t="n">
        <v>30.4</v>
      </c>
      <c r="B25" s="22" t="n">
        <v>261134</v>
      </c>
      <c r="C25" s="17" t="n">
        <v>0.8120000000000001</v>
      </c>
      <c r="D25" s="14" t="n">
        <v>0.173</v>
      </c>
      <c r="E25" s="22" t="n">
        <v>46824</v>
      </c>
      <c r="F25" s="17" t="n">
        <v>0.304</v>
      </c>
      <c r="G25" s="22" t="n">
        <v>214309</v>
      </c>
      <c r="H25" s="17" t="n">
        <v>0.507</v>
      </c>
    </row>
    <row r="26">
      <c r="A26" s="14" t="n">
        <v>31.4</v>
      </c>
      <c r="B26" s="22" t="n">
        <v>319784</v>
      </c>
      <c r="C26" s="17" t="n">
        <v>1.104</v>
      </c>
      <c r="D26" s="14" t="n">
        <v>0.189</v>
      </c>
      <c r="E26" s="22" t="n">
        <v>48819</v>
      </c>
      <c r="F26" s="17" t="n">
        <v>0.352</v>
      </c>
      <c r="G26" s="22" t="n">
        <v>270965</v>
      </c>
      <c r="H26" s="17" t="n">
        <v>0.752</v>
      </c>
    </row>
    <row r="27">
      <c r="A27" s="14" t="n">
        <v>32.4</v>
      </c>
      <c r="B27" s="22" t="n">
        <v>362301</v>
      </c>
      <c r="C27" s="17" t="n">
        <v>1.444</v>
      </c>
      <c r="D27" s="14" t="n">
        <v>0.204</v>
      </c>
      <c r="E27" s="22" t="n">
        <v>50690</v>
      </c>
      <c r="F27" s="17" t="n">
        <v>0.402</v>
      </c>
      <c r="G27" s="22" t="n">
        <v>311611</v>
      </c>
      <c r="H27" s="17" t="n">
        <v>1.042</v>
      </c>
    </row>
    <row r="28">
      <c r="A28" s="14" t="n">
        <v>33.4</v>
      </c>
      <c r="B28" s="22" t="n">
        <v>412597</v>
      </c>
      <c r="C28" s="17" t="n">
        <v>1.831</v>
      </c>
      <c r="D28" s="14" t="n">
        <v>0.22</v>
      </c>
      <c r="E28" s="22" t="n">
        <v>52446</v>
      </c>
      <c r="F28" s="17" t="n">
        <v>0.453</v>
      </c>
      <c r="G28" s="22" t="n">
        <v>360151</v>
      </c>
      <c r="H28" s="17" t="n">
        <v>1.377</v>
      </c>
    </row>
    <row r="29">
      <c r="A29" s="14" t="n">
        <v>34.4</v>
      </c>
      <c r="B29" s="22" t="n">
        <v>478130</v>
      </c>
      <c r="C29" s="17" t="n">
        <v>2.275</v>
      </c>
      <c r="D29" s="14" t="n">
        <v>0.236</v>
      </c>
      <c r="E29" s="22" t="n">
        <v>54096</v>
      </c>
      <c r="F29" s="17" t="n">
        <v>0.507</v>
      </c>
      <c r="G29" s="22" t="n">
        <v>424034</v>
      </c>
      <c r="H29" s="17" t="n">
        <v>1.769</v>
      </c>
    </row>
    <row r="30">
      <c r="A30" s="14" t="n">
        <v>35.4</v>
      </c>
      <c r="B30" s="22" t="n">
        <v>536182</v>
      </c>
      <c r="C30" s="17" t="n">
        <v>2.787</v>
      </c>
      <c r="D30" s="14" t="n">
        <v>0.252</v>
      </c>
      <c r="E30" s="22" t="n">
        <v>55646</v>
      </c>
      <c r="F30" s="17" t="n">
        <v>0.5620000000000001</v>
      </c>
      <c r="G30" s="22" t="n">
        <v>480535</v>
      </c>
      <c r="H30" s="17" t="n">
        <v>2.225</v>
      </c>
    </row>
    <row r="31">
      <c r="A31" s="14" t="n">
        <v>36.4</v>
      </c>
      <c r="B31" s="22" t="n">
        <v>593935</v>
      </c>
      <c r="C31" s="17" t="n">
        <v>3.348</v>
      </c>
      <c r="D31" s="14" t="n">
        <v>0.267</v>
      </c>
      <c r="E31" s="22" t="n">
        <v>57104</v>
      </c>
      <c r="F31" s="17" t="n">
        <v>0.618</v>
      </c>
      <c r="G31" s="22" t="n">
        <v>536831</v>
      </c>
      <c r="H31" s="17" t="n">
        <v>2.73</v>
      </c>
    </row>
    <row r="32">
      <c r="A32" s="14" t="n">
        <v>37.4</v>
      </c>
      <c r="B32" s="22" t="n">
        <v>688269</v>
      </c>
      <c r="C32" s="17" t="n">
        <v>3.989</v>
      </c>
      <c r="D32" s="14" t="n">
        <v>0.283</v>
      </c>
      <c r="E32" s="22" t="n">
        <v>58472</v>
      </c>
      <c r="F32" s="17" t="n">
        <v>0.676</v>
      </c>
      <c r="G32" s="22" t="n">
        <v>629797</v>
      </c>
      <c r="H32" s="17" t="n">
        <v>3.313</v>
      </c>
    </row>
    <row r="33">
      <c r="A33" s="14" t="n">
        <v>38.4</v>
      </c>
      <c r="B33" s="22" t="n">
        <v>754525</v>
      </c>
      <c r="C33" s="17" t="n">
        <v>4.715</v>
      </c>
      <c r="D33" s="14" t="n">
        <v>0.299</v>
      </c>
      <c r="E33" s="22" t="n">
        <v>59757</v>
      </c>
      <c r="F33" s="17" t="n">
        <v>0.735</v>
      </c>
      <c r="G33" s="22" t="n">
        <v>694768</v>
      </c>
      <c r="H33" s="17" t="n">
        <v>3.98</v>
      </c>
    </row>
    <row r="34">
      <c r="A34" s="14" t="n">
        <v>39.4</v>
      </c>
      <c r="B34" s="22" t="n">
        <v>799236</v>
      </c>
      <c r="C34" s="17" t="n">
        <v>5.492</v>
      </c>
      <c r="D34" s="14" t="n">
        <v>0.314</v>
      </c>
      <c r="E34" s="22" t="n">
        <v>60960</v>
      </c>
      <c r="F34" s="17" t="n">
        <v>0.795</v>
      </c>
      <c r="G34" s="22" t="n">
        <v>738276</v>
      </c>
      <c r="H34" s="17" t="n">
        <v>4.697</v>
      </c>
    </row>
    <row r="35">
      <c r="A35" s="14" t="n">
        <v>40.4</v>
      </c>
      <c r="B35" s="22" t="n">
        <v>867711</v>
      </c>
      <c r="C35" s="17" t="n">
        <v>6.322</v>
      </c>
      <c r="D35" s="14" t="n">
        <v>0.33</v>
      </c>
      <c r="E35" s="22" t="n">
        <v>62086</v>
      </c>
      <c r="F35" s="17" t="n">
        <v>0.857</v>
      </c>
      <c r="G35" s="22" t="n">
        <v>805625</v>
      </c>
      <c r="H35" s="17" t="n">
        <v>5.465</v>
      </c>
    </row>
    <row r="36">
      <c r="A36" s="14" t="n">
        <v>41.4</v>
      </c>
      <c r="B36" s="22" t="n">
        <v>925189</v>
      </c>
      <c r="C36" s="17" t="n">
        <v>7.221</v>
      </c>
      <c r="D36" s="14" t="n">
        <v>0.346</v>
      </c>
      <c r="E36" s="22" t="n">
        <v>63136</v>
      </c>
      <c r="F36" s="17" t="n">
        <v>0.919</v>
      </c>
      <c r="G36" s="22" t="n">
        <v>862053</v>
      </c>
      <c r="H36" s="17" t="n">
        <v>6.302</v>
      </c>
    </row>
    <row r="37">
      <c r="A37" s="14" t="n">
        <v>42.4</v>
      </c>
      <c r="B37" s="22" t="n">
        <v>962744</v>
      </c>
      <c r="C37" s="17" t="n">
        <v>8.166</v>
      </c>
      <c r="D37" s="14" t="n">
        <v>0.362</v>
      </c>
      <c r="E37" s="22" t="n">
        <v>64113</v>
      </c>
      <c r="F37" s="17" t="n">
        <v>0.983</v>
      </c>
      <c r="G37" s="22" t="n">
        <v>898630</v>
      </c>
      <c r="H37" s="17" t="n">
        <v>7.183</v>
      </c>
    </row>
    <row r="38">
      <c r="A38" s="14" t="n">
        <v>43.4</v>
      </c>
      <c r="B38" s="22" t="n">
        <v>1010646</v>
      </c>
      <c r="C38" s="17" t="n">
        <v>9.151999999999999</v>
      </c>
      <c r="D38" s="14" t="n">
        <v>0.377</v>
      </c>
      <c r="E38" s="22" t="n">
        <v>65019</v>
      </c>
      <c r="F38" s="17" t="n">
        <v>1.048</v>
      </c>
      <c r="G38" s="22" t="n">
        <v>945627</v>
      </c>
      <c r="H38" s="17" t="n">
        <v>8.103999999999999</v>
      </c>
    </row>
    <row r="39">
      <c r="A39" s="14" t="n">
        <v>44.4</v>
      </c>
      <c r="B39" s="22" t="n">
        <v>1071666</v>
      </c>
      <c r="C39" s="17" t="n">
        <v>10.192</v>
      </c>
      <c r="D39" s="14" t="n">
        <v>0.393</v>
      </c>
      <c r="E39" s="22" t="n">
        <v>65856</v>
      </c>
      <c r="F39" s="17" t="n">
        <v>1.113</v>
      </c>
      <c r="G39" s="22" t="n">
        <v>1005810</v>
      </c>
      <c r="H39" s="17" t="n">
        <v>9.079000000000001</v>
      </c>
    </row>
    <row r="40">
      <c r="A40" s="14" t="n">
        <v>45.4</v>
      </c>
      <c r="B40" s="22" t="n">
        <v>1115454</v>
      </c>
      <c r="C40" s="17" t="n">
        <v>11.288</v>
      </c>
      <c r="D40" s="14" t="n">
        <v>0.409</v>
      </c>
      <c r="E40" s="22" t="n">
        <v>66623</v>
      </c>
      <c r="F40" s="17" t="n">
        <v>1.179</v>
      </c>
      <c r="G40" s="22" t="n">
        <v>1048831</v>
      </c>
      <c r="H40" s="17" t="n">
        <v>10.108</v>
      </c>
    </row>
    <row r="41">
      <c r="A41" s="14" t="n">
        <v>46.4</v>
      </c>
      <c r="B41" s="22" t="n">
        <v>1151487</v>
      </c>
      <c r="C41" s="17" t="n">
        <v>12.421</v>
      </c>
      <c r="D41" s="14" t="n">
        <v>0.425</v>
      </c>
      <c r="E41" s="22" t="n">
        <v>67324</v>
      </c>
      <c r="F41" s="17" t="n">
        <v>1.246</v>
      </c>
      <c r="G41" s="22" t="n">
        <v>1084163</v>
      </c>
      <c r="H41" s="17" t="n">
        <v>11.175</v>
      </c>
    </row>
    <row r="42">
      <c r="A42" s="14" t="n">
        <v>47.4</v>
      </c>
      <c r="B42" s="22" t="n">
        <v>1195425</v>
      </c>
      <c r="C42" s="17" t="n">
        <v>13.593</v>
      </c>
      <c r="D42" s="14" t="n">
        <v>0.44</v>
      </c>
      <c r="E42" s="22" t="n">
        <v>67958</v>
      </c>
      <c r="F42" s="17" t="n">
        <v>1.314</v>
      </c>
      <c r="G42" s="22" t="n">
        <v>1127467</v>
      </c>
      <c r="H42" s="17" t="n">
        <v>12.279</v>
      </c>
    </row>
    <row r="43">
      <c r="A43" s="14" t="n">
        <v>48.4</v>
      </c>
      <c r="B43" s="22" t="n">
        <v>1250709</v>
      </c>
      <c r="C43" s="17" t="n">
        <v>14.818</v>
      </c>
      <c r="D43" s="14" t="n">
        <v>0.456</v>
      </c>
      <c r="E43" s="22" t="n">
        <v>68525</v>
      </c>
      <c r="F43" s="17" t="n">
        <v>1.382</v>
      </c>
      <c r="G43" s="22" t="n">
        <v>1182183</v>
      </c>
      <c r="H43" s="17" t="n">
        <v>13.436</v>
      </c>
    </row>
    <row r="44">
      <c r="A44" s="14" t="n">
        <v>49.4</v>
      </c>
      <c r="B44" s="22" t="n">
        <v>1285819</v>
      </c>
      <c r="C44" s="17" t="n">
        <v>16.087</v>
      </c>
      <c r="D44" s="14" t="n">
        <v>0.472</v>
      </c>
      <c r="E44" s="22" t="n">
        <v>69027</v>
      </c>
      <c r="F44" s="17" t="n">
        <v>1.451</v>
      </c>
      <c r="G44" s="22" t="n">
        <v>1216792</v>
      </c>
      <c r="H44" s="17" t="n">
        <v>14.636</v>
      </c>
    </row>
    <row r="45">
      <c r="A45" s="14" t="n">
        <v>50.4</v>
      </c>
      <c r="B45" s="22" t="n">
        <v>1332026</v>
      </c>
      <c r="C45" s="17" t="n">
        <v>17.393</v>
      </c>
      <c r="D45" s="14" t="n">
        <v>0.487</v>
      </c>
      <c r="E45" s="22" t="n">
        <v>69464</v>
      </c>
      <c r="F45" s="17" t="n">
        <v>1.52</v>
      </c>
      <c r="G45" s="22" t="n">
        <v>1262563</v>
      </c>
      <c r="H45" s="17" t="n">
        <v>15.873</v>
      </c>
    </row>
    <row r="46">
      <c r="A46" s="14" t="n">
        <v>51.4</v>
      </c>
      <c r="B46" s="22" t="n">
        <v>1383645</v>
      </c>
      <c r="C46" s="17" t="n">
        <v>18.753</v>
      </c>
      <c r="D46" s="14" t="n">
        <v>0.503</v>
      </c>
      <c r="E46" s="22" t="n">
        <v>69834</v>
      </c>
      <c r="F46" s="17" t="n">
        <v>1.59</v>
      </c>
      <c r="G46" s="22" t="n">
        <v>1313810</v>
      </c>
      <c r="H46" s="17" t="n">
        <v>17.163</v>
      </c>
    </row>
    <row r="47">
      <c r="A47" s="14" t="n">
        <v>52.4</v>
      </c>
      <c r="B47" s="22" t="n">
        <v>1446434</v>
      </c>
      <c r="C47" s="17" t="n">
        <v>20.17</v>
      </c>
      <c r="D47" s="14" t="n">
        <v>0.519</v>
      </c>
      <c r="E47" s="22" t="n">
        <v>70139</v>
      </c>
      <c r="F47" s="17" t="n">
        <v>1.66</v>
      </c>
      <c r="G47" s="22" t="n">
        <v>1376296</v>
      </c>
      <c r="H47" s="17" t="n">
        <v>18.51</v>
      </c>
    </row>
    <row r="48">
      <c r="A48" s="14" t="n">
        <v>53.4</v>
      </c>
      <c r="B48" s="22" t="n">
        <v>1493739</v>
      </c>
      <c r="C48" s="17" t="n">
        <v>21.64</v>
      </c>
      <c r="D48" s="14" t="n">
        <v>0.535</v>
      </c>
      <c r="E48" s="22" t="n">
        <v>70377</v>
      </c>
      <c r="F48" s="17" t="n">
        <v>1.73</v>
      </c>
      <c r="G48" s="22" t="n">
        <v>1423362</v>
      </c>
      <c r="H48" s="17" t="n">
        <v>19.91</v>
      </c>
    </row>
    <row r="49">
      <c r="A49" s="14" t="n">
        <v>54.4</v>
      </c>
      <c r="B49" s="22" t="n">
        <v>1544808</v>
      </c>
      <c r="C49" s="17" t="n">
        <v>23.16</v>
      </c>
      <c r="D49" s="14" t="n">
        <v>0.55</v>
      </c>
      <c r="E49" s="22" t="n">
        <v>70548</v>
      </c>
      <c r="F49" s="17" t="n">
        <v>1.801</v>
      </c>
      <c r="G49" s="22" t="n">
        <v>1474260</v>
      </c>
      <c r="H49" s="17" t="n">
        <v>21.359</v>
      </c>
    </row>
    <row r="50">
      <c r="A50" s="14" t="n">
        <v>55.4</v>
      </c>
      <c r="B50" s="22" t="n">
        <v>1587101</v>
      </c>
      <c r="C50" s="17" t="n">
        <v>24.726</v>
      </c>
      <c r="D50" s="14" t="n">
        <v>0.5659999999999999</v>
      </c>
      <c r="E50" s="22" t="n">
        <v>70652</v>
      </c>
      <c r="F50" s="17" t="n">
        <v>1.871</v>
      </c>
      <c r="G50" s="22" t="n">
        <v>1516449</v>
      </c>
      <c r="H50" s="17" t="n">
        <v>22.855</v>
      </c>
    </row>
    <row r="51">
      <c r="A51" s="14" t="n">
        <v>56.4</v>
      </c>
      <c r="B51" s="22" t="n">
        <v>1638370</v>
      </c>
      <c r="C51" s="17" t="n">
        <v>26.338</v>
      </c>
      <c r="D51" s="14" t="n">
        <v>0.582</v>
      </c>
      <c r="E51" s="22" t="n">
        <v>70686</v>
      </c>
      <c r="F51" s="17" t="n">
        <v>1.942</v>
      </c>
      <c r="G51" s="22" t="n">
        <v>1567684</v>
      </c>
      <c r="H51" s="17" t="n">
        <v>24.396</v>
      </c>
    </row>
    <row r="52">
      <c r="A52" s="14" t="n">
        <v>57.4</v>
      </c>
      <c r="B52" s="22" t="n">
        <v>1692955</v>
      </c>
      <c r="C52" s="17" t="n">
        <v>28.005</v>
      </c>
      <c r="D52" s="14" t="n">
        <v>0.598</v>
      </c>
      <c r="E52" s="22" t="n">
        <v>70650</v>
      </c>
      <c r="F52" s="17" t="n">
        <v>2.013</v>
      </c>
      <c r="G52" s="22" t="n">
        <v>1622306</v>
      </c>
      <c r="H52" s="17" t="n">
        <v>25.993</v>
      </c>
    </row>
    <row r="53">
      <c r="A53" s="14" t="n">
        <v>58.4</v>
      </c>
      <c r="B53" s="22" t="n">
        <v>1739437</v>
      </c>
      <c r="C53" s="17" t="n">
        <v>29.721</v>
      </c>
      <c r="D53" s="14" t="n">
        <v>0.613</v>
      </c>
      <c r="E53" s="22" t="n">
        <v>70542</v>
      </c>
      <c r="F53" s="17" t="n">
        <v>2.083</v>
      </c>
      <c r="G53" s="22" t="n">
        <v>1668895</v>
      </c>
      <c r="H53" s="17" t="n">
        <v>27.638</v>
      </c>
    </row>
    <row r="54">
      <c r="A54" s="14" t="n">
        <v>59.4</v>
      </c>
      <c r="B54" s="22" t="n">
        <v>1812500</v>
      </c>
      <c r="C54" s="17" t="n">
        <v>31.498</v>
      </c>
      <c r="D54" s="14" t="n">
        <v>0.629</v>
      </c>
      <c r="E54" s="22" t="n">
        <v>70359</v>
      </c>
      <c r="F54" s="17" t="n">
        <v>2.154</v>
      </c>
      <c r="G54" s="22" t="n">
        <v>1742141</v>
      </c>
      <c r="H54" s="17" t="n">
        <v>29.345</v>
      </c>
    </row>
    <row r="55">
      <c r="A55" s="14" t="n">
        <v>60.4</v>
      </c>
      <c r="B55" s="22" t="n">
        <v>1857311</v>
      </c>
      <c r="C55" s="17" t="n">
        <v>33.333</v>
      </c>
      <c r="D55" s="14" t="n">
        <v>0.645</v>
      </c>
      <c r="E55" s="22" t="n">
        <v>70101</v>
      </c>
      <c r="F55" s="17" t="n">
        <v>2.224</v>
      </c>
      <c r="G55" s="22" t="n">
        <v>1787210</v>
      </c>
      <c r="H55" s="17" t="n">
        <v>31.109</v>
      </c>
    </row>
    <row r="56">
      <c r="A56" s="14" t="n">
        <v>61.4</v>
      </c>
      <c r="B56" s="22" t="n">
        <v>1913243</v>
      </c>
      <c r="C56" s="17" t="n">
        <v>35.216</v>
      </c>
      <c r="D56" s="14" t="n">
        <v>0.66</v>
      </c>
      <c r="E56" s="22" t="n">
        <v>69764</v>
      </c>
      <c r="F56" s="17" t="n">
        <v>2.294</v>
      </c>
      <c r="G56" s="22" t="n">
        <v>1843480</v>
      </c>
      <c r="H56" s="17" t="n">
        <v>32.923</v>
      </c>
    </row>
    <row r="57">
      <c r="A57" s="14" t="n">
        <v>62.4</v>
      </c>
      <c r="B57" s="22" t="n">
        <v>1970622</v>
      </c>
      <c r="C57" s="17" t="n">
        <v>37.16</v>
      </c>
      <c r="D57" s="14" t="n">
        <v>0.676</v>
      </c>
      <c r="E57" s="22" t="n">
        <v>69344</v>
      </c>
      <c r="F57" s="17" t="n">
        <v>2.363</v>
      </c>
      <c r="G57" s="22" t="n">
        <v>1901278</v>
      </c>
      <c r="H57" s="17" t="n">
        <v>34.796</v>
      </c>
    </row>
    <row r="58">
      <c r="A58" s="14" t="n">
        <v>63.4</v>
      </c>
      <c r="B58" s="22" t="n">
        <v>2032863</v>
      </c>
      <c r="C58" s="17" t="n">
        <v>39.162</v>
      </c>
      <c r="D58" s="14" t="n">
        <v>0.6919999999999999</v>
      </c>
      <c r="E58" s="22" t="n">
        <v>68840</v>
      </c>
      <c r="F58" s="17" t="n">
        <v>2.432</v>
      </c>
      <c r="G58" s="22" t="n">
        <v>1964023</v>
      </c>
      <c r="H58" s="17" t="n">
        <v>36.729</v>
      </c>
    </row>
    <row r="59">
      <c r="A59" s="14" t="n">
        <v>64.40000000000001</v>
      </c>
      <c r="B59" s="22" t="n">
        <v>2099344</v>
      </c>
      <c r="C59" s="17" t="n">
        <v>41.227</v>
      </c>
      <c r="D59" s="14" t="n">
        <v>0.708</v>
      </c>
      <c r="E59" s="22" t="n">
        <v>68246</v>
      </c>
      <c r="F59" s="17" t="n">
        <v>2.501</v>
      </c>
      <c r="G59" s="22" t="n">
        <v>2031098</v>
      </c>
      <c r="H59" s="17" t="n">
        <v>38.726</v>
      </c>
    </row>
    <row r="60">
      <c r="A60" s="14" t="n">
        <v>65.40000000000001</v>
      </c>
      <c r="B60" s="22" t="n">
        <v>2193553</v>
      </c>
      <c r="C60" s="17" t="n">
        <v>43.372</v>
      </c>
      <c r="D60" s="14" t="n">
        <v>0.723</v>
      </c>
      <c r="E60" s="22" t="n">
        <v>67558</v>
      </c>
      <c r="F60" s="17" t="n">
        <v>2.569</v>
      </c>
      <c r="G60" s="22" t="n">
        <v>2125995</v>
      </c>
      <c r="H60" s="17" t="n">
        <v>40.804</v>
      </c>
    </row>
    <row r="61">
      <c r="A61" s="14" t="n">
        <v>66.40000000000001</v>
      </c>
      <c r="B61" s="22" t="n">
        <v>2283349</v>
      </c>
      <c r="C61" s="17" t="n">
        <v>45.61</v>
      </c>
      <c r="D61" s="14" t="n">
        <v>0.739</v>
      </c>
      <c r="E61" s="22" t="n">
        <v>66770</v>
      </c>
      <c r="F61" s="17" t="n">
        <v>2.636</v>
      </c>
      <c r="G61" s="22" t="n">
        <v>2216579</v>
      </c>
      <c r="H61" s="17" t="n">
        <v>42.974</v>
      </c>
    </row>
    <row r="62">
      <c r="A62" s="14" t="n">
        <v>67.40000000000001</v>
      </c>
      <c r="B62" s="22" t="n">
        <v>2372970</v>
      </c>
      <c r="C62" s="17" t="n">
        <v>47.936</v>
      </c>
      <c r="D62" s="14" t="n">
        <v>0.755</v>
      </c>
      <c r="E62" s="22" t="n">
        <v>65876</v>
      </c>
      <c r="F62" s="17" t="n">
        <v>2.702</v>
      </c>
      <c r="G62" s="22" t="n">
        <v>2307095</v>
      </c>
      <c r="H62" s="17" t="n">
        <v>45.233</v>
      </c>
    </row>
    <row r="63">
      <c r="A63" s="14" t="n">
        <v>68.40000000000001</v>
      </c>
      <c r="B63" s="22" t="n">
        <v>2457604</v>
      </c>
      <c r="C63" s="17" t="n">
        <v>50.349</v>
      </c>
      <c r="D63" s="14" t="n">
        <v>0.77</v>
      </c>
      <c r="E63" s="22" t="n">
        <v>64868</v>
      </c>
      <c r="F63" s="17" t="n">
        <v>2.768</v>
      </c>
      <c r="G63" s="22" t="n">
        <v>2392736</v>
      </c>
      <c r="H63" s="17" t="n">
        <v>47.582</v>
      </c>
    </row>
    <row r="64">
      <c r="A64" s="14" t="n">
        <v>69.40000000000001</v>
      </c>
      <c r="B64" s="22" t="n">
        <v>2540293</v>
      </c>
      <c r="C64" s="17" t="n">
        <v>52.849</v>
      </c>
      <c r="D64" s="14" t="n">
        <v>0.786</v>
      </c>
      <c r="E64" s="22" t="n">
        <v>63737</v>
      </c>
      <c r="F64" s="17" t="n">
        <v>2.832</v>
      </c>
      <c r="G64" s="22" t="n">
        <v>2476556</v>
      </c>
      <c r="H64" s="17" t="n">
        <v>50.017</v>
      </c>
    </row>
    <row r="65">
      <c r="A65" s="14" t="n">
        <v>70.40000000000001</v>
      </c>
      <c r="B65" s="22" t="n">
        <v>2608694</v>
      </c>
      <c r="C65" s="17" t="n">
        <v>55.424</v>
      </c>
      <c r="D65" s="14" t="n">
        <v>0.802</v>
      </c>
      <c r="E65" s="22" t="n">
        <v>62473</v>
      </c>
      <c r="F65" s="17" t="n">
        <v>2.895</v>
      </c>
      <c r="G65" s="22" t="n">
        <v>2546221</v>
      </c>
      <c r="H65" s="17" t="n">
        <v>52.529</v>
      </c>
    </row>
    <row r="66">
      <c r="A66" s="14" t="n">
        <v>71.40000000000001</v>
      </c>
      <c r="B66" s="22" t="n">
        <v>2673055</v>
      </c>
      <c r="C66" s="17" t="n">
        <v>58.064</v>
      </c>
      <c r="D66" s="14" t="n">
        <v>0.8179999999999999</v>
      </c>
      <c r="E66" s="22" t="n">
        <v>61062</v>
      </c>
      <c r="F66" s="17" t="n">
        <v>2.957</v>
      </c>
      <c r="G66" s="22" t="n">
        <v>2611993</v>
      </c>
      <c r="H66" s="17" t="n">
        <v>55.107</v>
      </c>
    </row>
    <row r="67">
      <c r="A67" s="14" t="n">
        <v>72.40000000000001</v>
      </c>
      <c r="B67" s="22" t="n">
        <v>2743774</v>
      </c>
      <c r="C67" s="17" t="n">
        <v>60.772</v>
      </c>
      <c r="D67" s="14" t="n">
        <v>0.833</v>
      </c>
      <c r="E67" s="22" t="n">
        <v>59488</v>
      </c>
      <c r="F67" s="17" t="n">
        <v>3.017</v>
      </c>
      <c r="G67" s="22" t="n">
        <v>2684286</v>
      </c>
      <c r="H67" s="17" t="n">
        <v>57.755</v>
      </c>
    </row>
    <row r="68">
      <c r="A68" s="14" t="n">
        <v>73.40000000000001</v>
      </c>
      <c r="B68" s="22" t="n">
        <v>2818085</v>
      </c>
      <c r="C68" s="17" t="n">
        <v>63.552</v>
      </c>
      <c r="D68" s="14" t="n">
        <v>0.849</v>
      </c>
      <c r="E68" s="22" t="n">
        <v>57730</v>
      </c>
      <c r="F68" s="17" t="n">
        <v>3.076</v>
      </c>
      <c r="G68" s="22" t="n">
        <v>2760354</v>
      </c>
      <c r="H68" s="17" t="n">
        <v>60.476</v>
      </c>
    </row>
    <row r="69">
      <c r="A69" s="14" t="n">
        <v>74.40000000000001</v>
      </c>
      <c r="B69" s="22" t="n">
        <v>2900300</v>
      </c>
      <c r="C69" s="17" t="n">
        <v>66.40900000000001</v>
      </c>
      <c r="D69" s="14" t="n">
        <v>0.865</v>
      </c>
      <c r="E69" s="22" t="n">
        <v>55764</v>
      </c>
      <c r="F69" s="17" t="n">
        <v>3.133</v>
      </c>
      <c r="G69" s="22" t="n">
        <v>2844536</v>
      </c>
      <c r="H69" s="17" t="n">
        <v>63.276</v>
      </c>
    </row>
    <row r="70">
      <c r="A70" s="14" t="n">
        <v>75.40000000000001</v>
      </c>
      <c r="B70" s="22" t="n">
        <v>2983338</v>
      </c>
      <c r="C70" s="17" t="n">
        <v>69.35599999999999</v>
      </c>
      <c r="D70" s="14" t="n">
        <v>0.881</v>
      </c>
      <c r="E70" s="22" t="n">
        <v>53554</v>
      </c>
      <c r="F70" s="17" t="n">
        <v>3.187</v>
      </c>
      <c r="G70" s="22" t="n">
        <v>2929784</v>
      </c>
      <c r="H70" s="17" t="n">
        <v>66.16800000000001</v>
      </c>
    </row>
    <row r="71">
      <c r="A71" s="14" t="n">
        <v>76.40000000000001</v>
      </c>
      <c r="B71" s="22" t="n">
        <v>3041664</v>
      </c>
      <c r="C71" s="17" t="n">
        <v>72.367</v>
      </c>
      <c r="D71" s="14" t="n">
        <v>0.896</v>
      </c>
      <c r="E71" s="22" t="n">
        <v>51055</v>
      </c>
      <c r="F71" s="17" t="n">
        <v>3.24</v>
      </c>
      <c r="G71" s="22" t="n">
        <v>2990609</v>
      </c>
      <c r="H71" s="17" t="n">
        <v>69.128</v>
      </c>
    </row>
    <row r="72">
      <c r="A72" s="14" t="n">
        <v>77.40000000000001</v>
      </c>
      <c r="B72" s="22" t="n">
        <v>3106299</v>
      </c>
      <c r="C72" s="17" t="n">
        <v>75.44</v>
      </c>
      <c r="D72" s="14" t="n">
        <v>0.912</v>
      </c>
      <c r="E72" s="22" t="n">
        <v>48202</v>
      </c>
      <c r="F72" s="17" t="n">
        <v>3.289</v>
      </c>
      <c r="G72" s="22" t="n">
        <v>3058097</v>
      </c>
      <c r="H72" s="17" t="n">
        <v>72.151</v>
      </c>
    </row>
    <row r="73">
      <c r="A73" s="14" t="n">
        <v>78.40000000000001</v>
      </c>
      <c r="B73" s="22" t="n">
        <v>3180310</v>
      </c>
      <c r="C73" s="17" t="n">
        <v>78.58199999999999</v>
      </c>
      <c r="D73" s="14" t="n">
        <v>0.928</v>
      </c>
      <c r="E73" s="22" t="n">
        <v>44900</v>
      </c>
      <c r="F73" s="17" t="n">
        <v>3.336</v>
      </c>
      <c r="G73" s="22" t="n">
        <v>3135411</v>
      </c>
      <c r="H73" s="17" t="n">
        <v>75.246</v>
      </c>
    </row>
    <row r="74">
      <c r="A74" s="14" t="n">
        <v>79.40000000000001</v>
      </c>
      <c r="B74" s="22" t="n">
        <v>3252850</v>
      </c>
      <c r="C74" s="17" t="n">
        <v>81.79900000000001</v>
      </c>
      <c r="D74" s="14" t="n">
        <v>0.9429999999999999</v>
      </c>
      <c r="E74" s="22" t="n">
        <v>40994</v>
      </c>
      <c r="F74" s="17" t="n">
        <v>3.379</v>
      </c>
      <c r="G74" s="22" t="n">
        <v>3211857</v>
      </c>
      <c r="H74" s="17" t="n">
        <v>78.42</v>
      </c>
    </row>
    <row r="75">
      <c r="A75" s="14" t="n">
        <v>80.40000000000001</v>
      </c>
      <c r="B75" s="22" t="n">
        <v>3328009</v>
      </c>
      <c r="C75" s="17" t="n">
        <v>85.08799999999999</v>
      </c>
      <c r="D75" s="14" t="n">
        <v>0.959</v>
      </c>
      <c r="E75" s="22" t="n">
        <v>36207</v>
      </c>
      <c r="F75" s="17" t="n">
        <v>3.418</v>
      </c>
      <c r="G75" s="22" t="n">
        <v>3291802</v>
      </c>
      <c r="H75" s="17" t="n">
        <v>81.67100000000001</v>
      </c>
    </row>
    <row r="76">
      <c r="A76" s="14" t="n">
        <v>81.40000000000001</v>
      </c>
      <c r="B76" s="22" t="n">
        <v>3405685</v>
      </c>
      <c r="C76" s="17" t="n">
        <v>88.45399999999999</v>
      </c>
      <c r="D76" s="14" t="n">
        <v>0.975</v>
      </c>
      <c r="E76" s="22" t="n">
        <v>29936</v>
      </c>
      <c r="F76" s="17" t="n">
        <v>3.451</v>
      </c>
      <c r="G76" s="22" t="n">
        <v>3375749</v>
      </c>
      <c r="H76" s="17" t="n">
        <v>85.004</v>
      </c>
    </row>
    <row r="77">
      <c r="A77" s="14" t="n">
        <v>82.40000000000001</v>
      </c>
      <c r="B77" s="22" t="n">
        <v>3492289</v>
      </c>
      <c r="C77" s="17" t="n">
        <v>91.90300000000001</v>
      </c>
      <c r="D77" s="14" t="n">
        <v>0.991</v>
      </c>
      <c r="E77" s="22" t="n">
        <v>20173</v>
      </c>
      <c r="F77" s="17" t="n">
        <v>3.476</v>
      </c>
      <c r="G77" s="22" t="n">
        <v>3472117</v>
      </c>
      <c r="H77" s="17" t="n">
        <v>88.42700000000001</v>
      </c>
    </row>
    <row r="78">
      <c r="A78" s="14" t="n">
        <v>83</v>
      </c>
      <c r="B78" s="22" t="n">
        <v>3547167</v>
      </c>
      <c r="C78" s="17" t="n">
        <v>94.001</v>
      </c>
      <c r="D78" s="14" t="n">
        <v>1</v>
      </c>
      <c r="E78" s="22" t="n">
        <v>0</v>
      </c>
      <c r="F78" s="17" t="n">
        <v>3.485</v>
      </c>
      <c r="G78" s="22" t="n">
        <v>3547167</v>
      </c>
      <c r="H78" s="17" t="n">
        <v>90.51600000000001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Revised Elevation–Area–Volume Curve (50-yr)</t>
        </is>
      </c>
    </row>
    <row r="3">
      <c r="A3" s="11" t="inlineStr">
        <is>
          <t>Elevation (m)</t>
        </is>
      </c>
      <c r="B3" s="11" t="inlineStr">
        <is>
          <t>Original area (m²)</t>
        </is>
      </c>
      <c r="C3" s="11" t="inlineStr">
        <is>
          <t>Revised area (m²)</t>
        </is>
      </c>
      <c r="D3" s="11" t="inlineStr">
        <is>
          <t>Original capacity (Mm³)</t>
        </is>
      </c>
      <c r="E3" s="11" t="inlineStr">
        <is>
          <t>Revised capacity (Mm³)</t>
        </is>
      </c>
      <c r="F3" s="11" t="inlineStr">
        <is>
          <t>Capacity lost (Mm³)</t>
        </is>
      </c>
    </row>
    <row r="4">
      <c r="A4" s="23" t="n">
        <v>20</v>
      </c>
      <c r="B4" s="22" t="n">
        <v>515</v>
      </c>
      <c r="C4" s="22" t="n">
        <v>0</v>
      </c>
      <c r="D4" s="17" t="n">
        <v>0</v>
      </c>
      <c r="E4" s="17" t="n">
        <v>0</v>
      </c>
      <c r="F4" s="17">
        <f>D4-E4</f>
        <v/>
      </c>
    </row>
    <row r="5">
      <c r="A5" s="23" t="n">
        <v>21</v>
      </c>
      <c r="B5" s="22" t="n">
        <v>2033</v>
      </c>
      <c r="C5" s="22" t="n">
        <v>0</v>
      </c>
      <c r="D5" s="17" t="n">
        <v>0.001</v>
      </c>
      <c r="E5" s="17" t="n">
        <v>0</v>
      </c>
      <c r="F5" s="17">
        <f>D5-E5</f>
        <v/>
      </c>
    </row>
    <row r="6">
      <c r="A6" s="23" t="n">
        <v>22</v>
      </c>
      <c r="B6" s="22" t="n">
        <v>11576</v>
      </c>
      <c r="C6" s="22" t="n">
        <v>0</v>
      </c>
      <c r="D6" s="17" t="n">
        <v>0.008</v>
      </c>
      <c r="E6" s="17" t="n">
        <v>0</v>
      </c>
      <c r="F6" s="17">
        <f>D6-E6</f>
        <v/>
      </c>
    </row>
    <row r="7">
      <c r="A7" s="23" t="n">
        <v>23</v>
      </c>
      <c r="B7" s="22" t="n">
        <v>25267</v>
      </c>
      <c r="C7" s="22" t="n">
        <v>0</v>
      </c>
      <c r="D7" s="17" t="n">
        <v>0.026</v>
      </c>
      <c r="E7" s="17" t="n">
        <v>0</v>
      </c>
      <c r="F7" s="17">
        <f>D7-E7</f>
        <v/>
      </c>
    </row>
    <row r="8">
      <c r="A8" s="23" t="n">
        <v>24</v>
      </c>
      <c r="B8" s="22" t="n">
        <v>36987</v>
      </c>
      <c r="C8" s="22" t="n">
        <v>7143</v>
      </c>
      <c r="D8" s="17" t="n">
        <v>0.057</v>
      </c>
      <c r="E8" s="17" t="n">
        <v>0.003</v>
      </c>
      <c r="F8" s="17">
        <f>D8-E8</f>
        <v/>
      </c>
    </row>
    <row r="9">
      <c r="A9" s="23" t="n">
        <v>25</v>
      </c>
      <c r="B9" s="22" t="n">
        <v>49581</v>
      </c>
      <c r="C9" s="22" t="n">
        <v>16426</v>
      </c>
      <c r="D9" s="17" t="n">
        <v>0.1</v>
      </c>
      <c r="E9" s="17" t="n">
        <v>0.014</v>
      </c>
      <c r="F9" s="17">
        <f>D9-E9</f>
        <v/>
      </c>
    </row>
    <row r="10">
      <c r="A10" s="23" t="n">
        <v>26</v>
      </c>
      <c r="B10" s="22" t="n">
        <v>66452</v>
      </c>
      <c r="C10" s="22" t="n">
        <v>30297</v>
      </c>
      <c r="D10" s="17" t="n">
        <v>0.157</v>
      </c>
      <c r="E10" s="17" t="n">
        <v>0.037</v>
      </c>
      <c r="F10" s="17">
        <f>D10-E10</f>
        <v/>
      </c>
    </row>
    <row r="11">
      <c r="A11" s="23" t="n">
        <v>27</v>
      </c>
      <c r="B11" s="22" t="n">
        <v>90329</v>
      </c>
      <c r="C11" s="22" t="n">
        <v>51428</v>
      </c>
      <c r="D11" s="17" t="n">
        <v>0.236</v>
      </c>
      <c r="E11" s="17" t="n">
        <v>0.078</v>
      </c>
      <c r="F11" s="17">
        <f>D11-E11</f>
        <v/>
      </c>
    </row>
    <row r="12">
      <c r="A12" s="23" t="n">
        <v>28</v>
      </c>
      <c r="B12" s="22" t="n">
        <v>137414</v>
      </c>
      <c r="C12" s="22" t="n">
        <v>95979</v>
      </c>
      <c r="D12" s="17" t="n">
        <v>0.347</v>
      </c>
      <c r="E12" s="17" t="n">
        <v>0.149</v>
      </c>
      <c r="F12" s="17">
        <f>D12-E12</f>
        <v/>
      </c>
    </row>
    <row r="13">
      <c r="A13" s="23" t="n">
        <v>29</v>
      </c>
      <c r="B13" s="22" t="n">
        <v>178100</v>
      </c>
      <c r="C13" s="22" t="n">
        <v>134313</v>
      </c>
      <c r="D13" s="17" t="n">
        <v>0.503</v>
      </c>
      <c r="E13" s="17" t="n">
        <v>0.262</v>
      </c>
      <c r="F13" s="17">
        <f>D13-E13</f>
        <v/>
      </c>
    </row>
    <row r="14">
      <c r="A14" s="23" t="n">
        <v>30</v>
      </c>
      <c r="B14" s="22" t="n">
        <v>236893</v>
      </c>
      <c r="C14" s="22" t="n">
        <v>190914</v>
      </c>
      <c r="D14" s="17" t="n">
        <v>0.711</v>
      </c>
      <c r="E14" s="17" t="n">
        <v>0.425</v>
      </c>
      <c r="F14" s="17">
        <f>D14-E14</f>
        <v/>
      </c>
    </row>
    <row r="15">
      <c r="A15" s="23" t="n">
        <v>31</v>
      </c>
      <c r="B15" s="22" t="n">
        <v>298814</v>
      </c>
      <c r="C15" s="22" t="n">
        <v>250787</v>
      </c>
      <c r="D15" s="17" t="n">
        <v>0.978</v>
      </c>
      <c r="E15" s="17" t="n">
        <v>0.646</v>
      </c>
      <c r="F15" s="17">
        <f>D15-E15</f>
        <v/>
      </c>
    </row>
    <row r="16">
      <c r="A16" s="23" t="n">
        <v>32</v>
      </c>
      <c r="B16" s="22" t="n">
        <v>342971</v>
      </c>
      <c r="C16" s="22" t="n">
        <v>293024</v>
      </c>
      <c r="D16" s="17" t="n">
        <v>1.301</v>
      </c>
      <c r="E16" s="17" t="n">
        <v>0.92</v>
      </c>
      <c r="F16" s="17">
        <f>D16-E16</f>
        <v/>
      </c>
    </row>
    <row r="17">
      <c r="A17" s="23" t="n">
        <v>33</v>
      </c>
      <c r="B17" s="22" t="n">
        <v>390160</v>
      </c>
      <c r="C17" s="22" t="n">
        <v>338412</v>
      </c>
      <c r="D17" s="17" t="n">
        <v>1.668</v>
      </c>
      <c r="E17" s="17" t="n">
        <v>1.236</v>
      </c>
      <c r="F17" s="17">
        <f>D17-E17</f>
        <v/>
      </c>
    </row>
    <row r="18">
      <c r="A18" s="23" t="n">
        <v>34</v>
      </c>
      <c r="B18" s="22" t="n">
        <v>451114</v>
      </c>
      <c r="C18" s="22" t="n">
        <v>397674</v>
      </c>
      <c r="D18" s="17" t="n">
        <v>2.088</v>
      </c>
      <c r="E18" s="17" t="n">
        <v>1.603</v>
      </c>
      <c r="F18" s="17">
        <f>D18-E18</f>
        <v/>
      </c>
    </row>
    <row r="19">
      <c r="A19" s="23" t="n">
        <v>35</v>
      </c>
      <c r="B19" s="22" t="n">
        <v>519648</v>
      </c>
      <c r="C19" s="22" t="n">
        <v>464617</v>
      </c>
      <c r="D19" s="17" t="n">
        <v>2.573</v>
      </c>
      <c r="E19" s="17" t="n">
        <v>2.034</v>
      </c>
      <c r="F19" s="17">
        <f>D19-E19</f>
        <v/>
      </c>
    </row>
    <row r="20">
      <c r="A20" s="23" t="n">
        <v>36</v>
      </c>
      <c r="B20" s="22" t="n">
        <v>563922</v>
      </c>
      <c r="C20" s="22" t="n">
        <v>507397</v>
      </c>
      <c r="D20" s="17" t="n">
        <v>3.114</v>
      </c>
      <c r="E20" s="17" t="n">
        <v>2.519</v>
      </c>
      <c r="F20" s="17">
        <f>D20-E20</f>
        <v/>
      </c>
    </row>
    <row r="21">
      <c r="A21" s="23" t="n">
        <v>37</v>
      </c>
      <c r="B21" s="22" t="n">
        <v>650941</v>
      </c>
      <c r="C21" s="22" t="n">
        <v>593012</v>
      </c>
      <c r="D21" s="17" t="n">
        <v>3.719</v>
      </c>
      <c r="E21" s="17" t="n">
        <v>3.067</v>
      </c>
      <c r="F21" s="17">
        <f>D21-E21</f>
        <v/>
      </c>
    </row>
    <row r="22">
      <c r="A22" s="23" t="n">
        <v>38</v>
      </c>
      <c r="B22" s="22" t="n">
        <v>731874</v>
      </c>
      <c r="C22" s="22" t="n">
        <v>672627</v>
      </c>
      <c r="D22" s="17" t="n">
        <v>4.414</v>
      </c>
      <c r="E22" s="17" t="n">
        <v>3.703</v>
      </c>
      <c r="F22" s="17">
        <f>D22-E22</f>
        <v/>
      </c>
    </row>
    <row r="23">
      <c r="A23" s="23" t="n">
        <v>39</v>
      </c>
      <c r="B23" s="22" t="n">
        <v>781644</v>
      </c>
      <c r="C23" s="22" t="n">
        <v>721162</v>
      </c>
      <c r="D23" s="17" t="n">
        <v>5.172</v>
      </c>
      <c r="E23" s="17" t="n">
        <v>4.402</v>
      </c>
      <c r="F23" s="17">
        <f>D23-E23</f>
        <v/>
      </c>
    </row>
    <row r="24">
      <c r="A24" s="23" t="n">
        <v>40</v>
      </c>
      <c r="B24" s="22" t="n">
        <v>833821</v>
      </c>
      <c r="C24" s="22" t="n">
        <v>772181</v>
      </c>
      <c r="D24" s="17" t="n">
        <v>5.978</v>
      </c>
      <c r="E24" s="17" t="n">
        <v>5.146</v>
      </c>
      <c r="F24" s="17">
        <f>D24-E24</f>
        <v/>
      </c>
    </row>
    <row r="25">
      <c r="A25" s="23" t="n">
        <v>41</v>
      </c>
      <c r="B25" s="22" t="n">
        <v>904840</v>
      </c>
      <c r="C25" s="22" t="n">
        <v>842120</v>
      </c>
      <c r="D25" s="17" t="n">
        <v>6.851</v>
      </c>
      <c r="E25" s="17" t="n">
        <v>5.957</v>
      </c>
      <c r="F25" s="17">
        <f>D25-E25</f>
        <v/>
      </c>
    </row>
    <row r="26">
      <c r="A26" s="23" t="n">
        <v>42</v>
      </c>
      <c r="B26" s="22" t="n">
        <v>948600</v>
      </c>
      <c r="C26" s="22" t="n">
        <v>884874</v>
      </c>
      <c r="D26" s="17" t="n">
        <v>7.78</v>
      </c>
      <c r="E26" s="17" t="n">
        <v>6.822</v>
      </c>
      <c r="F26" s="17">
        <f>D26-E26</f>
        <v/>
      </c>
    </row>
    <row r="27">
      <c r="A27" s="23" t="n">
        <v>43</v>
      </c>
      <c r="B27" s="22" t="n">
        <v>990500</v>
      </c>
      <c r="C27" s="22" t="n">
        <v>925839</v>
      </c>
      <c r="D27" s="17" t="n">
        <v>8.747</v>
      </c>
      <c r="E27" s="17" t="n">
        <v>7.726</v>
      </c>
      <c r="F27" s="17">
        <f>D27-E27</f>
        <v/>
      </c>
    </row>
    <row r="28">
      <c r="A28" s="23" t="n">
        <v>44</v>
      </c>
      <c r="B28" s="22" t="n">
        <v>1044676</v>
      </c>
      <c r="C28" s="22" t="n">
        <v>979151</v>
      </c>
      <c r="D28" s="17" t="n">
        <v>9.763999999999999</v>
      </c>
      <c r="E28" s="17" t="n">
        <v>8.677</v>
      </c>
      <c r="F28" s="17">
        <f>D28-E28</f>
        <v/>
      </c>
    </row>
    <row r="29">
      <c r="A29" s="23" t="n">
        <v>45</v>
      </c>
      <c r="B29" s="22" t="n">
        <v>1100675</v>
      </c>
      <c r="C29" s="22" t="n">
        <v>1034354</v>
      </c>
      <c r="D29" s="17" t="n">
        <v>10.839</v>
      </c>
      <c r="E29" s="17" t="n">
        <v>9.686999999999999</v>
      </c>
      <c r="F29" s="17">
        <f>D29-E29</f>
        <v/>
      </c>
    </row>
    <row r="30">
      <c r="A30" s="23" t="n">
        <v>46</v>
      </c>
      <c r="B30" s="22" t="n">
        <v>1137115</v>
      </c>
      <c r="C30" s="22" t="n">
        <v>1070067</v>
      </c>
      <c r="D30" s="17" t="n">
        <v>11.959</v>
      </c>
      <c r="E30" s="17" t="n">
        <v>10.739</v>
      </c>
      <c r="F30" s="17">
        <f>D30-E30</f>
        <v/>
      </c>
    </row>
    <row r="31">
      <c r="A31" s="23" t="n">
        <v>47</v>
      </c>
      <c r="B31" s="22" t="n">
        <v>1174877</v>
      </c>
      <c r="C31" s="22" t="n">
        <v>1107168</v>
      </c>
      <c r="D31" s="17" t="n">
        <v>13.114</v>
      </c>
      <c r="E31" s="17" t="n">
        <v>11.827</v>
      </c>
      <c r="F31" s="17">
        <f>D31-E31</f>
        <v/>
      </c>
    </row>
    <row r="32">
      <c r="A32" s="23" t="n">
        <v>48</v>
      </c>
      <c r="B32" s="22" t="n">
        <v>1231236</v>
      </c>
      <c r="C32" s="22" t="n">
        <v>1162933</v>
      </c>
      <c r="D32" s="17" t="n">
        <v>14.316</v>
      </c>
      <c r="E32" s="17" t="n">
        <v>12.962</v>
      </c>
      <c r="F32" s="17">
        <f>D32-E32</f>
        <v/>
      </c>
    </row>
    <row r="33">
      <c r="A33" s="23" t="n">
        <v>49</v>
      </c>
      <c r="B33" s="22" t="n">
        <v>1271773</v>
      </c>
      <c r="C33" s="22" t="n">
        <v>1202941</v>
      </c>
      <c r="D33" s="17" t="n">
        <v>15.569</v>
      </c>
      <c r="E33" s="17" t="n">
        <v>14.146</v>
      </c>
      <c r="F33" s="17">
        <f>D33-E33</f>
        <v/>
      </c>
    </row>
    <row r="34">
      <c r="A34" s="23" t="n">
        <v>50</v>
      </c>
      <c r="B34" s="22" t="n">
        <v>1308946</v>
      </c>
      <c r="C34" s="22" t="n">
        <v>1239651</v>
      </c>
      <c r="D34" s="17" t="n">
        <v>16.859</v>
      </c>
      <c r="E34" s="17" t="n">
        <v>15.367</v>
      </c>
      <c r="F34" s="17">
        <f>D34-E34</f>
        <v/>
      </c>
    </row>
    <row r="35">
      <c r="A35" s="23" t="n">
        <v>51</v>
      </c>
      <c r="B35" s="22" t="n">
        <v>1365715</v>
      </c>
      <c r="C35" s="22" t="n">
        <v>1296023</v>
      </c>
      <c r="D35" s="17" t="n">
        <v>18.197</v>
      </c>
      <c r="E35" s="17" t="n">
        <v>16.635</v>
      </c>
      <c r="F35" s="17">
        <f>D35-E35</f>
        <v/>
      </c>
    </row>
    <row r="36">
      <c r="A36" s="23" t="n">
        <v>52</v>
      </c>
      <c r="B36" s="22" t="n">
        <v>1424703</v>
      </c>
      <c r="C36" s="22" t="n">
        <v>1354679</v>
      </c>
      <c r="D36" s="17" t="n">
        <v>19.589</v>
      </c>
      <c r="E36" s="17" t="n">
        <v>17.958</v>
      </c>
      <c r="F36" s="17">
        <f>D36-E36</f>
        <v/>
      </c>
    </row>
    <row r="37">
      <c r="A37" s="23" t="n">
        <v>53</v>
      </c>
      <c r="B37" s="22" t="n">
        <v>1473919</v>
      </c>
      <c r="C37" s="22" t="n">
        <v>1403630</v>
      </c>
      <c r="D37" s="17" t="n">
        <v>21.04</v>
      </c>
      <c r="E37" s="17" t="n">
        <v>19.338</v>
      </c>
      <c r="F37" s="17">
        <f>D37-E37</f>
        <v/>
      </c>
    </row>
    <row r="38">
      <c r="A38" s="23" t="n">
        <v>54</v>
      </c>
      <c r="B38" s="22" t="n">
        <v>1525131</v>
      </c>
      <c r="C38" s="22" t="n">
        <v>1454644</v>
      </c>
      <c r="D38" s="17" t="n">
        <v>22.539</v>
      </c>
      <c r="E38" s="17" t="n">
        <v>20.767</v>
      </c>
      <c r="F38" s="17">
        <f>D38-E38</f>
        <v/>
      </c>
    </row>
    <row r="39">
      <c r="A39" s="23" t="n">
        <v>55</v>
      </c>
      <c r="B39" s="22" t="n">
        <v>1571590</v>
      </c>
      <c r="C39" s="22" t="n">
        <v>1500972</v>
      </c>
      <c r="D39" s="17" t="n">
        <v>24.088</v>
      </c>
      <c r="E39" s="17" t="n">
        <v>22.245</v>
      </c>
      <c r="F39" s="17">
        <f>D39-E39</f>
        <v/>
      </c>
    </row>
    <row r="40">
      <c r="A40" s="23" t="n">
        <v>56</v>
      </c>
      <c r="B40" s="22" t="n">
        <v>1615586</v>
      </c>
      <c r="C40" s="22" t="n">
        <v>1544905</v>
      </c>
      <c r="D40" s="17" t="n">
        <v>25.68</v>
      </c>
      <c r="E40" s="17" t="n">
        <v>23.767</v>
      </c>
      <c r="F40" s="17">
        <f>D40-E40</f>
        <v/>
      </c>
    </row>
    <row r="41">
      <c r="A41" s="23" t="n">
        <v>57</v>
      </c>
      <c r="B41" s="22" t="n">
        <v>1673322</v>
      </c>
      <c r="C41" s="22" t="n">
        <v>1602649</v>
      </c>
      <c r="D41" s="17" t="n">
        <v>27.325</v>
      </c>
      <c r="E41" s="17" t="n">
        <v>25.341</v>
      </c>
      <c r="F41" s="17">
        <f>D41-E41</f>
        <v/>
      </c>
    </row>
    <row r="42">
      <c r="A42" s="23" t="n">
        <v>58</v>
      </c>
      <c r="B42" s="22" t="n">
        <v>1719122</v>
      </c>
      <c r="C42" s="22" t="n">
        <v>1648528</v>
      </c>
      <c r="D42" s="17" t="n">
        <v>29.022</v>
      </c>
      <c r="E42" s="17" t="n">
        <v>26.967</v>
      </c>
      <c r="F42" s="17">
        <f>D42-E42</f>
        <v/>
      </c>
    </row>
    <row r="43">
      <c r="A43" s="23" t="n">
        <v>59</v>
      </c>
      <c r="B43" s="22" t="n">
        <v>1786419</v>
      </c>
      <c r="C43" s="22" t="n">
        <v>1715977</v>
      </c>
      <c r="D43" s="17" t="n">
        <v>30.77</v>
      </c>
      <c r="E43" s="17" t="n">
        <v>28.645</v>
      </c>
      <c r="F43" s="17">
        <f>D43-E43</f>
        <v/>
      </c>
    </row>
    <row r="44">
      <c r="A44" s="23" t="n">
        <v>60</v>
      </c>
      <c r="B44" s="22" t="n">
        <v>1838755</v>
      </c>
      <c r="C44" s="22" t="n">
        <v>1768540</v>
      </c>
      <c r="D44" s="17" t="n">
        <v>32.586</v>
      </c>
      <c r="E44" s="17" t="n">
        <v>30.39</v>
      </c>
      <c r="F44" s="17">
        <f>D44-E44</f>
        <v/>
      </c>
    </row>
    <row r="45">
      <c r="A45" s="23" t="n">
        <v>61</v>
      </c>
      <c r="B45" s="22" t="n">
        <v>1887643</v>
      </c>
      <c r="C45" s="22" t="n">
        <v>1817734</v>
      </c>
      <c r="D45" s="17" t="n">
        <v>34.448</v>
      </c>
      <c r="E45" s="17" t="n">
        <v>32.182</v>
      </c>
      <c r="F45" s="17">
        <f>D45-E45</f>
        <v/>
      </c>
    </row>
    <row r="46">
      <c r="A46" s="23" t="n">
        <v>62</v>
      </c>
      <c r="B46" s="22" t="n">
        <v>1948706</v>
      </c>
      <c r="C46" s="22" t="n">
        <v>1879182</v>
      </c>
      <c r="D46" s="17" t="n">
        <v>36.367</v>
      </c>
      <c r="E46" s="17" t="n">
        <v>34.032</v>
      </c>
      <c r="F46" s="17">
        <f>D46-E46</f>
        <v/>
      </c>
    </row>
    <row r="47">
      <c r="A47" s="23" t="n">
        <v>63</v>
      </c>
      <c r="B47" s="22" t="n">
        <v>2007857</v>
      </c>
      <c r="C47" s="22" t="n">
        <v>1938803</v>
      </c>
      <c r="D47" s="17" t="n">
        <v>38.345</v>
      </c>
      <c r="E47" s="17" t="n">
        <v>35.941</v>
      </c>
      <c r="F47" s="17">
        <f>D47-E47</f>
        <v/>
      </c>
    </row>
    <row r="48">
      <c r="A48" s="23" t="n">
        <v>64</v>
      </c>
      <c r="B48" s="22" t="n">
        <v>2070757</v>
      </c>
      <c r="C48" s="22" t="n">
        <v>2002260</v>
      </c>
      <c r="D48" s="17" t="n">
        <v>40.384</v>
      </c>
      <c r="E48" s="17" t="n">
        <v>37.911</v>
      </c>
      <c r="F48" s="17">
        <f>D48-E48</f>
        <v/>
      </c>
    </row>
    <row r="49">
      <c r="A49" s="23" t="n">
        <v>65</v>
      </c>
      <c r="B49" s="22" t="n">
        <v>2151364</v>
      </c>
      <c r="C49" s="22" t="n">
        <v>2083516</v>
      </c>
      <c r="D49" s="17" t="n">
        <v>42.494</v>
      </c>
      <c r="E49" s="17" t="n">
        <v>39.952</v>
      </c>
      <c r="F49" s="17">
        <f>D49-E49</f>
        <v/>
      </c>
    </row>
    <row r="50">
      <c r="A50" s="23" t="n">
        <v>66</v>
      </c>
      <c r="B50" s="22" t="n">
        <v>2246590</v>
      </c>
      <c r="C50" s="22" t="n">
        <v>2179489</v>
      </c>
      <c r="D50" s="17" t="n">
        <v>44.695</v>
      </c>
      <c r="E50" s="17" t="n">
        <v>42.086</v>
      </c>
      <c r="F50" s="17">
        <f>D50-E50</f>
        <v/>
      </c>
    </row>
    <row r="51">
      <c r="A51" s="23" t="n">
        <v>67</v>
      </c>
      <c r="B51" s="22" t="n">
        <v>2330784</v>
      </c>
      <c r="C51" s="22" t="n">
        <v>2264533</v>
      </c>
      <c r="D51" s="17" t="n">
        <v>46.985</v>
      </c>
      <c r="E51" s="17" t="n">
        <v>44.309</v>
      </c>
      <c r="F51" s="17">
        <f>D51-E51</f>
        <v/>
      </c>
    </row>
    <row r="52">
      <c r="A52" s="23" t="n">
        <v>68</v>
      </c>
      <c r="B52" s="22" t="n">
        <v>2419897</v>
      </c>
      <c r="C52" s="22" t="n">
        <v>2354607</v>
      </c>
      <c r="D52" s="17" t="n">
        <v>49.364</v>
      </c>
      <c r="E52" s="17" t="n">
        <v>46.622</v>
      </c>
      <c r="F52" s="17">
        <f>D52-E52</f>
        <v/>
      </c>
    </row>
    <row r="53">
      <c r="A53" s="23" t="n">
        <v>69</v>
      </c>
      <c r="B53" s="22" t="n">
        <v>2507258</v>
      </c>
      <c r="C53" s="22" t="n">
        <v>2443048</v>
      </c>
      <c r="D53" s="17" t="n">
        <v>51.828</v>
      </c>
      <c r="E53" s="17" t="n">
        <v>49.022</v>
      </c>
      <c r="F53" s="17">
        <f>D53-E53</f>
        <v/>
      </c>
    </row>
    <row r="54">
      <c r="A54" s="23" t="n">
        <v>70</v>
      </c>
      <c r="B54" s="22" t="n">
        <v>2581848</v>
      </c>
      <c r="C54" s="22" t="n">
        <v>2518847</v>
      </c>
      <c r="D54" s="17" t="n">
        <v>54.375</v>
      </c>
      <c r="E54" s="17" t="n">
        <v>51.506</v>
      </c>
      <c r="F54" s="17">
        <f>D54-E54</f>
        <v/>
      </c>
    </row>
    <row r="55">
      <c r="A55" s="23" t="n">
        <v>71</v>
      </c>
      <c r="B55" s="22" t="n">
        <v>2645169</v>
      </c>
      <c r="C55" s="22" t="n">
        <v>2583518</v>
      </c>
      <c r="D55" s="17" t="n">
        <v>56.99</v>
      </c>
      <c r="E55" s="17" t="n">
        <v>54.057</v>
      </c>
      <c r="F55" s="17">
        <f>D55-E55</f>
        <v/>
      </c>
    </row>
    <row r="56">
      <c r="A56" s="23" t="n">
        <v>72</v>
      </c>
      <c r="B56" s="22" t="n">
        <v>2714084</v>
      </c>
      <c r="C56" s="22" t="n">
        <v>2653939</v>
      </c>
      <c r="D56" s="17" t="n">
        <v>59.669</v>
      </c>
      <c r="E56" s="17" t="n">
        <v>56.676</v>
      </c>
      <c r="F56" s="17">
        <f>D56-E56</f>
        <v/>
      </c>
    </row>
    <row r="57">
      <c r="A57" s="23" t="n">
        <v>73</v>
      </c>
      <c r="B57" s="22" t="n">
        <v>2786755</v>
      </c>
      <c r="C57" s="22" t="n">
        <v>2728290</v>
      </c>
      <c r="D57" s="17" t="n">
        <v>62.42</v>
      </c>
      <c r="E57" s="17" t="n">
        <v>59.367</v>
      </c>
      <c r="F57" s="17">
        <f>D57-E57</f>
        <v/>
      </c>
    </row>
    <row r="58">
      <c r="A58" s="23" t="n">
        <v>74</v>
      </c>
      <c r="B58" s="22" t="n">
        <v>2862934</v>
      </c>
      <c r="C58" s="22" t="n">
        <v>2806348</v>
      </c>
      <c r="D58" s="17" t="n">
        <v>65.245</v>
      </c>
      <c r="E58" s="17" t="n">
        <v>62.135</v>
      </c>
      <c r="F58" s="17">
        <f>D58-E58</f>
        <v/>
      </c>
    </row>
    <row r="59">
      <c r="A59" s="23" t="n">
        <v>75</v>
      </c>
      <c r="B59" s="22" t="n">
        <v>2957232</v>
      </c>
      <c r="C59" s="22" t="n">
        <v>2902754</v>
      </c>
      <c r="D59" s="17" t="n">
        <v>68.155</v>
      </c>
      <c r="E59" s="17" t="n">
        <v>64.98999999999999</v>
      </c>
      <c r="F59" s="17">
        <f>D59-E59</f>
        <v/>
      </c>
    </row>
    <row r="60">
      <c r="A60" s="23" t="n">
        <v>76</v>
      </c>
      <c r="B60" s="22" t="n">
        <v>3017077</v>
      </c>
      <c r="C60" s="22" t="n">
        <v>2964974</v>
      </c>
      <c r="D60" s="17" t="n">
        <v>71.143</v>
      </c>
      <c r="E60" s="17" t="n">
        <v>67.92400000000001</v>
      </c>
      <c r="F60" s="17">
        <f>D60-E60</f>
        <v/>
      </c>
    </row>
    <row r="61">
      <c r="A61" s="23" t="n">
        <v>77</v>
      </c>
      <c r="B61" s="22" t="n">
        <v>3078686</v>
      </c>
      <c r="C61" s="22" t="n">
        <v>3029283</v>
      </c>
      <c r="D61" s="17" t="n">
        <v>74.191</v>
      </c>
      <c r="E61" s="17" t="n">
        <v>70.92100000000001</v>
      </c>
      <c r="F61" s="17">
        <f>D61-E61</f>
        <v/>
      </c>
    </row>
    <row r="62">
      <c r="A62" s="23" t="n">
        <v>78</v>
      </c>
      <c r="B62" s="22" t="n">
        <v>3147950</v>
      </c>
      <c r="C62" s="22" t="n">
        <v>3101654</v>
      </c>
      <c r="D62" s="17" t="n">
        <v>77.304</v>
      </c>
      <c r="E62" s="17" t="n">
        <v>73.986</v>
      </c>
      <c r="F62" s="17">
        <f>D62-E62</f>
        <v/>
      </c>
    </row>
    <row r="63">
      <c r="A63" s="23" t="n">
        <v>79</v>
      </c>
      <c r="B63" s="22" t="n">
        <v>3223409</v>
      </c>
      <c r="C63" s="22" t="n">
        <v>3180751</v>
      </c>
      <c r="D63" s="17" t="n">
        <v>80.48999999999999</v>
      </c>
      <c r="E63" s="17" t="n">
        <v>77.128</v>
      </c>
      <c r="F63" s="17">
        <f>D63-E63</f>
        <v/>
      </c>
    </row>
    <row r="64">
      <c r="A64" s="23" t="n">
        <v>80</v>
      </c>
      <c r="B64" s="22" t="n">
        <v>3296549</v>
      </c>
      <c r="C64" s="22" t="n">
        <v>3258275</v>
      </c>
      <c r="D64" s="17" t="n">
        <v>83.75</v>
      </c>
      <c r="E64" s="17" t="n">
        <v>80.348</v>
      </c>
      <c r="F64" s="17">
        <f>D64-E64</f>
        <v/>
      </c>
    </row>
    <row r="65">
      <c r="A65" s="23" t="n">
        <v>81</v>
      </c>
      <c r="B65" s="22" t="n">
        <v>3373805</v>
      </c>
      <c r="C65" s="22" t="n">
        <v>3341090</v>
      </c>
      <c r="D65" s="17" t="n">
        <v>87.08499999999999</v>
      </c>
      <c r="E65" s="17" t="n">
        <v>83.64700000000001</v>
      </c>
      <c r="F65" s="17">
        <f>D65-E65</f>
        <v/>
      </c>
    </row>
    <row r="66">
      <c r="A66" s="23" t="n">
        <v>82</v>
      </c>
      <c r="B66" s="22" t="n">
        <v>3456782</v>
      </c>
      <c r="C66" s="22" t="n">
        <v>3431934</v>
      </c>
      <c r="D66" s="17" t="n">
        <v>90.5</v>
      </c>
      <c r="E66" s="17" t="n">
        <v>87.032</v>
      </c>
      <c r="F66" s="17">
        <f>D66-E66</f>
        <v/>
      </c>
    </row>
    <row r="67">
      <c r="A67" s="23" t="n">
        <v>83</v>
      </c>
      <c r="B67" s="22" t="n">
        <v>3547167</v>
      </c>
      <c r="C67" s="22" t="n">
        <v>3547167</v>
      </c>
      <c r="D67" s="17" t="n">
        <v>94.001</v>
      </c>
      <c r="E67" s="17" t="n">
        <v>90.51600000000001</v>
      </c>
      <c r="F67" s="17">
        <f>D67-E67</f>
        <v/>
      </c>
    </row>
    <row r="68">
      <c r="A68" s="23" t="n">
        <v>84</v>
      </c>
      <c r="B68" s="22" t="n">
        <v>3666374</v>
      </c>
      <c r="C68" s="22" t="n">
        <v>3666374</v>
      </c>
      <c r="D68" s="17" t="n">
        <v>97.60299999999999</v>
      </c>
      <c r="E68" s="17" t="n">
        <v>94.119</v>
      </c>
      <c r="F68" s="17">
        <f>D68-E68</f>
        <v/>
      </c>
    </row>
    <row r="69">
      <c r="A69" s="23" t="n">
        <v>85</v>
      </c>
      <c r="B69" s="22" t="n">
        <v>3814044</v>
      </c>
      <c r="C69" s="22" t="n">
        <v>3814044</v>
      </c>
      <c r="D69" s="17" t="n">
        <v>101.338</v>
      </c>
      <c r="E69" s="17" t="n">
        <v>97.85299999999999</v>
      </c>
      <c r="F69" s="17">
        <f>D69-E69</f>
        <v/>
      </c>
    </row>
    <row r="70">
      <c r="A70" s="23" t="n">
        <v>86</v>
      </c>
      <c r="B70" s="22" t="n">
        <v>3902435</v>
      </c>
      <c r="C70" s="22" t="n">
        <v>3902435</v>
      </c>
      <c r="D70" s="17" t="n">
        <v>105.196</v>
      </c>
      <c r="E70" s="17" t="n">
        <v>101.712</v>
      </c>
      <c r="F70" s="17">
        <f>D70-E70</f>
        <v/>
      </c>
    </row>
    <row r="71">
      <c r="A71" s="23" t="n">
        <v>87</v>
      </c>
      <c r="B71" s="22" t="n">
        <v>3974160</v>
      </c>
      <c r="C71" s="22" t="n">
        <v>3974160</v>
      </c>
      <c r="D71" s="17" t="n">
        <v>109.137</v>
      </c>
      <c r="E71" s="17" t="n">
        <v>105.652</v>
      </c>
      <c r="F71" s="17">
        <f>D71-E71</f>
        <v/>
      </c>
    </row>
    <row r="72">
      <c r="A72" s="23" t="n">
        <v>88</v>
      </c>
      <c r="B72" s="22" t="n">
        <v>4039796</v>
      </c>
      <c r="C72" s="22" t="n">
        <v>4039796</v>
      </c>
      <c r="D72" s="17" t="n">
        <v>113.143</v>
      </c>
      <c r="E72" s="17" t="n">
        <v>109.659</v>
      </c>
      <c r="F72" s="17">
        <f>D72-E72</f>
        <v/>
      </c>
    </row>
    <row r="73">
      <c r="A73" s="23" t="n">
        <v>89</v>
      </c>
      <c r="B73" s="22" t="n">
        <v>4104182</v>
      </c>
      <c r="C73" s="22" t="n">
        <v>4104182</v>
      </c>
      <c r="D73" s="17" t="n">
        <v>117.215</v>
      </c>
      <c r="E73" s="17" t="n">
        <v>113.731</v>
      </c>
      <c r="F73" s="17">
        <f>D73-E73</f>
        <v/>
      </c>
    </row>
    <row r="74">
      <c r="A74" s="23" t="n">
        <v>90</v>
      </c>
      <c r="B74" s="22" t="n">
        <v>4167857</v>
      </c>
      <c r="C74" s="22" t="n">
        <v>4167857</v>
      </c>
      <c r="D74" s="17" t="n">
        <v>121.352</v>
      </c>
      <c r="E74" s="17" t="n">
        <v>117.867</v>
      </c>
      <c r="F74" s="17">
        <f>D74-E74</f>
        <v/>
      </c>
    </row>
    <row r="75">
      <c r="A75" s="23" t="n">
        <v>91</v>
      </c>
      <c r="B75" s="22" t="n">
        <v>4232064</v>
      </c>
      <c r="C75" s="22" t="n">
        <v>4232064</v>
      </c>
      <c r="D75" s="17" t="n">
        <v>125.551</v>
      </c>
      <c r="E75" s="17" t="n">
        <v>122.067</v>
      </c>
      <c r="F75" s="17">
        <f>D75-E75</f>
        <v/>
      </c>
    </row>
    <row r="76">
      <c r="A76" s="23" t="n">
        <v>92</v>
      </c>
      <c r="B76" s="22" t="n">
        <v>4295158</v>
      </c>
      <c r="C76" s="22" t="n">
        <v>4295158</v>
      </c>
      <c r="D76" s="17" t="n">
        <v>129.815</v>
      </c>
      <c r="E76" s="17" t="n">
        <v>126.331</v>
      </c>
      <c r="F76" s="17">
        <f>D76-E76</f>
        <v/>
      </c>
    </row>
    <row r="77">
      <c r="A77" s="23" t="n">
        <v>93</v>
      </c>
      <c r="B77" s="22" t="n">
        <v>4357646</v>
      </c>
      <c r="C77" s="22" t="n">
        <v>4357646</v>
      </c>
      <c r="D77" s="17" t="n">
        <v>134.142</v>
      </c>
      <c r="E77" s="17" t="n">
        <v>130.657</v>
      </c>
      <c r="F77" s="17">
        <f>D77-E77</f>
        <v/>
      </c>
    </row>
    <row r="78">
      <c r="A78" s="23" t="n">
        <v>94</v>
      </c>
      <c r="B78" s="22" t="n">
        <v>4422151</v>
      </c>
      <c r="C78" s="22" t="n">
        <v>4422151</v>
      </c>
      <c r="D78" s="17" t="n">
        <v>138.532</v>
      </c>
      <c r="E78" s="17" t="n">
        <v>135.047</v>
      </c>
      <c r="F78" s="17">
        <f>D78-E78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Summary of Results — Majlas Dam</t>
        </is>
      </c>
    </row>
    <row r="3">
      <c r="A3" s="10" t="inlineStr">
        <is>
          <t>Quantity</t>
        </is>
      </c>
      <c r="B3" s="11" t="inlineStr">
        <is>
          <t>50-year</t>
        </is>
      </c>
      <c r="C3" s="11" t="inlineStr">
        <is>
          <t>100-year</t>
        </is>
      </c>
      <c r="D3" s="11" t="inlineStr">
        <is>
          <t>Unit</t>
        </is>
      </c>
    </row>
    <row r="4">
      <c r="A4" s="12" t="inlineStr">
        <is>
          <t>Deposited unit weight W_T</t>
        </is>
      </c>
      <c r="B4" s="19" t="n">
        <v>1304.394</v>
      </c>
      <c r="C4" s="19" t="n">
        <v>1313.552</v>
      </c>
      <c r="D4" s="14" t="inlineStr">
        <is>
          <t>kg/m³</t>
        </is>
      </c>
    </row>
    <row r="5">
      <c r="A5" s="12" t="inlineStr">
        <is>
          <t>Deposited sediment volume</t>
        </is>
      </c>
      <c r="B5" s="17" t="n">
        <v>3.485</v>
      </c>
      <c r="C5" s="17" t="n">
        <v>6.97</v>
      </c>
      <c r="D5" s="14" t="inlineStr">
        <is>
          <t>Mm³</t>
        </is>
      </c>
    </row>
    <row r="6">
      <c r="A6" s="12" t="inlineStr">
        <is>
          <t>Original capacity at FSL</t>
        </is>
      </c>
      <c r="B6" s="17" t="n">
        <v>94.001</v>
      </c>
      <c r="C6" s="17" t="n">
        <v>94.001</v>
      </c>
      <c r="D6" s="14" t="inlineStr">
        <is>
          <t>Mm³</t>
        </is>
      </c>
    </row>
    <row r="7">
      <c r="A7" s="12" t="inlineStr">
        <is>
          <t>Revised capacity at FSL</t>
        </is>
      </c>
      <c r="B7" s="17" t="n">
        <v>90.51600000000001</v>
      </c>
      <c r="C7" s="17" t="n">
        <v>87.032</v>
      </c>
      <c r="D7" s="14" t="inlineStr">
        <is>
          <t>Mm³</t>
        </is>
      </c>
    </row>
    <row r="8">
      <c r="A8" s="12" t="inlineStr">
        <is>
          <t>Storage lost at FSL</t>
        </is>
      </c>
      <c r="B8" s="17" t="n">
        <v>3.485</v>
      </c>
      <c r="C8" s="17" t="n">
        <v>6.969</v>
      </c>
      <c r="D8" s="14" t="inlineStr">
        <is>
          <t>Mm³</t>
        </is>
      </c>
    </row>
    <row r="9">
      <c r="A9" s="12" t="inlineStr">
        <is>
          <t>Storage lost at FSL</t>
        </is>
      </c>
      <c r="B9" s="20" t="n">
        <v>3.707</v>
      </c>
      <c r="C9" s="20" t="n">
        <v>7.414</v>
      </c>
      <c r="D9" s="14" t="inlineStr">
        <is>
          <t>%</t>
        </is>
      </c>
    </row>
    <row r="10">
      <c r="A10" s="12" t="inlineStr">
        <is>
          <t>New zero-capacity elevation at dam</t>
        </is>
      </c>
      <c r="B10" s="20" t="n">
        <v>23.122</v>
      </c>
      <c r="C10" s="20" t="n">
        <v>26.337</v>
      </c>
      <c r="D10" s="14" t="inlineStr">
        <is>
          <t>m</t>
        </is>
      </c>
    </row>
    <row r="11">
      <c r="A11" s="12" t="inlineStr">
        <is>
          <t>Reservoir type / shape factor m</t>
        </is>
      </c>
      <c r="B11" s="17" t="n">
        <v>2</v>
      </c>
      <c r="C11" s="17" t="n">
        <v>2.902</v>
      </c>
      <c r="D11" s="14" t="inlineStr">
        <is>
          <t>type / m</t>
        </is>
      </c>
    </row>
    <row r="13">
      <c r="A13" s="2" t="inlineStr">
        <is>
          <t>Catchment soil texture (SoilGrids, 0–30 cm): clay 17.9%, silt 26.8%, sand 55.3%.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2026-07-11T20:05:48Z</dcterms:created>
  <dcterms:modified xmlns:dcterms="http://purl.org/dc/terms/" xmlns:xsi="http://www.w3.org/2001/XMLSchema-instance" xsi:type="dcterms:W3CDTF">2026-07-11T20:05:48Z</dcterms:modified>
</cp:coreProperties>
</file>